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ustomProperty1.bin" ContentType="application/vnd.openxmlformats-officedocument.spreadsheetml.customProperty"/>
  <Override PartName="/xl/drawings/drawing4.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436a660e4d023c1/Desktop/"/>
    </mc:Choice>
  </mc:AlternateContent>
  <xr:revisionPtr revIDLastSave="15" documentId="13_ncr:1_{75FFCFA9-B798-4ED1-9DA7-A87E1139B90B}" xr6:coauthVersionLast="47" xr6:coauthVersionMax="47" xr10:uidLastSave="{24B40FB3-A013-4130-B301-4FE68642B215}"/>
  <bookViews>
    <workbookView xWindow="-120" yWindow="-120" windowWidth="20730" windowHeight="11040" tabRatio="839" firstSheet="5" activeTab="9" xr2:uid="{5ECF019B-D745-4453-A5C5-3DCD8AB4A758}"/>
  </bookViews>
  <sheets>
    <sheet name="Data&gt;" sheetId="6" r:id="rId1"/>
    <sheet name="Data Room&gt;" sheetId="12" r:id="rId2"/>
    <sheet name="Football Field Analysis" sheetId="17" r:id="rId3"/>
    <sheet name="VAR" sheetId="18" r:id="rId4"/>
    <sheet name="Altman Z Score" sheetId="25" r:id="rId5"/>
    <sheet name="DCF&gt;" sheetId="5" r:id="rId6"/>
    <sheet name="WACC" sheetId="1" r:id="rId7"/>
    <sheet name="Intrisic Growth" sheetId="14" r:id="rId8"/>
    <sheet name="Beta - Regression" sheetId="7" r:id="rId9"/>
    <sheet name="Relative valuation" sheetId="19" r:id="rId10"/>
    <sheet name="Beta - Comps" sheetId="8" r:id="rId11"/>
    <sheet name="Rm" sheetId="9" r:id="rId12"/>
    <sheet name="Analysis" sheetId="21" r:id="rId13"/>
    <sheet name="HistoricalFS" sheetId="10" r:id="rId14"/>
    <sheet name="Raw FS" sheetId="13" r:id="rId15"/>
    <sheet name="Data Sheet" sheetId="11" r:id="rId16"/>
    <sheet name="Data Sheet 2" sheetId="16" r:id="rId17"/>
    <sheet name="Relative Data" sheetId="20" r:id="rId18"/>
    <sheet name="List Of Stocks" sheetId="23" r:id="rId19"/>
  </sheets>
  <definedNames>
    <definedName name="_xlnm._FilterDatabase" localSheetId="8" hidden="1">'Beta - Regression'!$B$6:$D$111</definedName>
    <definedName name="_xlnm._FilterDatabase" localSheetId="18" hidden="1">'List Of Stocks'!$B$2:$E$5442</definedName>
    <definedName name="_xlnm._FilterDatabase" localSheetId="3" hidden="1">VAR!$G$3:$H$5003</definedName>
    <definedName name="_xlchart.v1.0" hidden="1">VAR!$H$4:$H$5003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"01/26/2023 09:21:20"</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4">'Altman Z Score'!$A$1:$J$106</definedName>
    <definedName name="_xlnm.Print_Area" localSheetId="12">Analysis!$A$1:$J$129</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19" l="1"/>
  <c r="Q32" i="19"/>
  <c r="O32" i="19"/>
  <c r="D20" i="5"/>
  <c r="D22" i="5"/>
  <c r="D21" i="5"/>
  <c r="D95" i="25"/>
  <c r="E95" i="25"/>
  <c r="F95" i="25"/>
  <c r="G95" i="25"/>
  <c r="H95" i="25"/>
  <c r="I95" i="25"/>
  <c r="C95" i="25"/>
  <c r="D88" i="25"/>
  <c r="E88" i="25"/>
  <c r="F88" i="25"/>
  <c r="G88" i="25"/>
  <c r="H88" i="25"/>
  <c r="I88" i="25"/>
  <c r="C88" i="25"/>
  <c r="C87" i="25"/>
  <c r="D87" i="25"/>
  <c r="E87" i="25"/>
  <c r="F87" i="25"/>
  <c r="G87" i="25"/>
  <c r="H87" i="25"/>
  <c r="I87" i="25"/>
  <c r="D81" i="25"/>
  <c r="E81" i="25"/>
  <c r="F81" i="25"/>
  <c r="G81" i="25"/>
  <c r="H81" i="25"/>
  <c r="I81" i="25"/>
  <c r="C81" i="25"/>
  <c r="D75" i="25"/>
  <c r="E75" i="25"/>
  <c r="F75" i="25"/>
  <c r="G75" i="25"/>
  <c r="H75" i="25"/>
  <c r="I75" i="25"/>
  <c r="C44" i="10"/>
  <c r="C75" i="25"/>
  <c r="B76" i="25"/>
  <c r="B82" i="25" s="1"/>
  <c r="D70" i="25"/>
  <c r="E70" i="25"/>
  <c r="E76" i="25" s="1"/>
  <c r="E82" i="25" s="1"/>
  <c r="E96" i="25" s="1"/>
  <c r="F70" i="25"/>
  <c r="G70" i="25"/>
  <c r="G76" i="25" s="1"/>
  <c r="G82" i="25" s="1"/>
  <c r="G96" i="25" s="1"/>
  <c r="H70" i="25"/>
  <c r="H76" i="25" s="1"/>
  <c r="I70" i="25"/>
  <c r="I76" i="25" s="1"/>
  <c r="I82" i="25" s="1"/>
  <c r="I96" i="25" s="1"/>
  <c r="C70" i="25"/>
  <c r="C76" i="25" s="1"/>
  <c r="C82" i="25" s="1"/>
  <c r="C96" i="25" s="1"/>
  <c r="D69" i="25"/>
  <c r="E69" i="25"/>
  <c r="F69" i="25"/>
  <c r="G69" i="25"/>
  <c r="H69" i="25"/>
  <c r="I69" i="25"/>
  <c r="C69" i="25"/>
  <c r="I68" i="25"/>
  <c r="I74" i="25" s="1"/>
  <c r="I80" i="25" s="1"/>
  <c r="I86" i="25" s="1"/>
  <c r="I94" i="25" s="1"/>
  <c r="I100" i="25" s="1"/>
  <c r="H68" i="25"/>
  <c r="H74" i="25" s="1"/>
  <c r="H80" i="25" s="1"/>
  <c r="H86" i="25" s="1"/>
  <c r="H94" i="25" s="1"/>
  <c r="H100" i="25" s="1"/>
  <c r="G68" i="25"/>
  <c r="G74" i="25" s="1"/>
  <c r="G80" i="25" s="1"/>
  <c r="G86" i="25" s="1"/>
  <c r="G94" i="25" s="1"/>
  <c r="G100" i="25" s="1"/>
  <c r="F68" i="25"/>
  <c r="F74" i="25" s="1"/>
  <c r="F80" i="25" s="1"/>
  <c r="F86" i="25" s="1"/>
  <c r="F94" i="25" s="1"/>
  <c r="F100" i="25" s="1"/>
  <c r="E68" i="25"/>
  <c r="E74" i="25" s="1"/>
  <c r="E80" i="25" s="1"/>
  <c r="E86" i="25" s="1"/>
  <c r="E94" i="25" s="1"/>
  <c r="E100" i="25" s="1"/>
  <c r="D68" i="25"/>
  <c r="D74" i="25" s="1"/>
  <c r="D80" i="25" s="1"/>
  <c r="D86" i="25" s="1"/>
  <c r="D94" i="25" s="1"/>
  <c r="D100" i="25" s="1"/>
  <c r="C68" i="25"/>
  <c r="C74" i="25" s="1"/>
  <c r="C80" i="25" s="1"/>
  <c r="C86" i="25" s="1"/>
  <c r="C94" i="25" s="1"/>
  <c r="C100" i="25" s="1"/>
  <c r="B6" i="25"/>
  <c r="B5" i="25"/>
  <c r="B3" i="25"/>
  <c r="B4" i="25" s="1"/>
  <c r="B94" i="21"/>
  <c r="C86" i="21"/>
  <c r="D86" i="21"/>
  <c r="E86" i="21"/>
  <c r="F86" i="21"/>
  <c r="G86" i="21"/>
  <c r="H86" i="21"/>
  <c r="I86" i="21"/>
  <c r="I70" i="21"/>
  <c r="G85" i="21"/>
  <c r="G105" i="21" s="1"/>
  <c r="F85" i="21"/>
  <c r="F94" i="21" s="1"/>
  <c r="E85" i="21"/>
  <c r="E105" i="21" s="1"/>
  <c r="D85" i="21"/>
  <c r="D94" i="21" s="1"/>
  <c r="C85" i="21"/>
  <c r="C94" i="21" s="1"/>
  <c r="I85" i="21"/>
  <c r="H85" i="21"/>
  <c r="H94" i="21" s="1"/>
  <c r="C81" i="21"/>
  <c r="D81" i="21"/>
  <c r="E81" i="21"/>
  <c r="F81" i="21"/>
  <c r="G81" i="21"/>
  <c r="H81" i="21"/>
  <c r="I81" i="21"/>
  <c r="D76" i="21"/>
  <c r="D80" i="21" s="1"/>
  <c r="D100" i="21" s="1"/>
  <c r="D104" i="21" s="1"/>
  <c r="E76" i="21"/>
  <c r="E80" i="21" s="1"/>
  <c r="E82" i="21" s="1"/>
  <c r="F76" i="21"/>
  <c r="F80" i="21" s="1"/>
  <c r="F100" i="21" s="1"/>
  <c r="F104" i="21" s="1"/>
  <c r="G76" i="21"/>
  <c r="G80" i="21" s="1"/>
  <c r="G82" i="21" s="1"/>
  <c r="H76" i="21"/>
  <c r="H80" i="21" s="1"/>
  <c r="H100" i="21" s="1"/>
  <c r="H104" i="21" s="1"/>
  <c r="I76" i="21"/>
  <c r="I80" i="21" s="1"/>
  <c r="I82" i="21" s="1"/>
  <c r="C76" i="21"/>
  <c r="C80" i="21" s="1"/>
  <c r="B75" i="21"/>
  <c r="C70" i="21"/>
  <c r="D70" i="21"/>
  <c r="E70" i="21"/>
  <c r="F70" i="21"/>
  <c r="G70" i="21"/>
  <c r="H70" i="21"/>
  <c r="C69" i="21"/>
  <c r="C71" i="21" s="1"/>
  <c r="D69" i="21"/>
  <c r="D75" i="21" s="1"/>
  <c r="E69" i="21"/>
  <c r="E71" i="21" s="1"/>
  <c r="F69" i="21"/>
  <c r="F75" i="21" s="1"/>
  <c r="G69" i="21"/>
  <c r="G71" i="21" s="1"/>
  <c r="H69" i="21"/>
  <c r="H75" i="21" s="1"/>
  <c r="I69" i="21"/>
  <c r="C68" i="21"/>
  <c r="C74" i="21" s="1"/>
  <c r="C79" i="21" s="1"/>
  <c r="C84" i="21" s="1"/>
  <c r="C92" i="21" s="1"/>
  <c r="C98" i="21" s="1"/>
  <c r="C103" i="21" s="1"/>
  <c r="D68" i="21"/>
  <c r="D74" i="21" s="1"/>
  <c r="D79" i="21" s="1"/>
  <c r="D84" i="21" s="1"/>
  <c r="D92" i="21" s="1"/>
  <c r="D98" i="21" s="1"/>
  <c r="D103" i="21" s="1"/>
  <c r="E68" i="21"/>
  <c r="E74" i="21" s="1"/>
  <c r="E79" i="21" s="1"/>
  <c r="E84" i="21" s="1"/>
  <c r="E92" i="21" s="1"/>
  <c r="E98" i="21" s="1"/>
  <c r="E103" i="21" s="1"/>
  <c r="F68" i="21"/>
  <c r="F74" i="21" s="1"/>
  <c r="F79" i="21" s="1"/>
  <c r="F84" i="21" s="1"/>
  <c r="F92" i="21" s="1"/>
  <c r="F98" i="21" s="1"/>
  <c r="F103" i="21" s="1"/>
  <c r="G68" i="21"/>
  <c r="G74" i="21" s="1"/>
  <c r="G79" i="21" s="1"/>
  <c r="G84" i="21" s="1"/>
  <c r="G92" i="21" s="1"/>
  <c r="G98" i="21" s="1"/>
  <c r="G103" i="21" s="1"/>
  <c r="H68" i="21"/>
  <c r="H74" i="21" s="1"/>
  <c r="H79" i="21" s="1"/>
  <c r="H84" i="21" s="1"/>
  <c r="H92" i="21" s="1"/>
  <c r="H98" i="21" s="1"/>
  <c r="H103" i="21" s="1"/>
  <c r="I68" i="21"/>
  <c r="I74" i="21" s="1"/>
  <c r="I79" i="21" s="1"/>
  <c r="I84" i="21" s="1"/>
  <c r="I92" i="21" s="1"/>
  <c r="I98" i="21" s="1"/>
  <c r="I103" i="21" s="1"/>
  <c r="B6" i="21"/>
  <c r="B5" i="21"/>
  <c r="B3" i="21"/>
  <c r="B4" i="21" s="1"/>
  <c r="H82" i="25" l="1"/>
  <c r="H96" i="25" s="1"/>
  <c r="H77" i="25"/>
  <c r="E71" i="25"/>
  <c r="F71" i="25"/>
  <c r="D71" i="25"/>
  <c r="F76" i="25"/>
  <c r="D76" i="25"/>
  <c r="E89" i="25"/>
  <c r="I89" i="25"/>
  <c r="C71" i="25"/>
  <c r="H71" i="25"/>
  <c r="G83" i="25"/>
  <c r="C83" i="25"/>
  <c r="D89" i="25"/>
  <c r="F89" i="25"/>
  <c r="H89" i="25"/>
  <c r="G77" i="25"/>
  <c r="C77" i="25"/>
  <c r="G71" i="25"/>
  <c r="I71" i="25"/>
  <c r="E77" i="25"/>
  <c r="I77" i="25"/>
  <c r="E83" i="25"/>
  <c r="I83" i="25"/>
  <c r="C97" i="25"/>
  <c r="G97" i="25"/>
  <c r="C89" i="25"/>
  <c r="G89" i="25"/>
  <c r="I71" i="21"/>
  <c r="E87" i="21"/>
  <c r="G94" i="21"/>
  <c r="C87" i="21"/>
  <c r="G87" i="21"/>
  <c r="I87" i="21"/>
  <c r="H87" i="21"/>
  <c r="C105" i="21"/>
  <c r="F71" i="21"/>
  <c r="E94" i="21"/>
  <c r="H105" i="21"/>
  <c r="H106" i="21" s="1"/>
  <c r="C82" i="21"/>
  <c r="C100" i="21"/>
  <c r="C104" i="21" s="1"/>
  <c r="I94" i="21"/>
  <c r="F105" i="21"/>
  <c r="F106" i="21" s="1"/>
  <c r="D105" i="21"/>
  <c r="D106" i="21" s="1"/>
  <c r="H77" i="21"/>
  <c r="F77" i="21"/>
  <c r="D77" i="21"/>
  <c r="H71" i="21"/>
  <c r="D71" i="21"/>
  <c r="H93" i="21"/>
  <c r="F93" i="21"/>
  <c r="D93" i="21"/>
  <c r="E100" i="21"/>
  <c r="E104" i="21" s="1"/>
  <c r="E106" i="21" s="1"/>
  <c r="G100" i="21"/>
  <c r="G104" i="21" s="1"/>
  <c r="G106" i="21" s="1"/>
  <c r="I100" i="21"/>
  <c r="I104" i="21" s="1"/>
  <c r="I105" i="21"/>
  <c r="C75" i="21"/>
  <c r="E75" i="21"/>
  <c r="G75" i="21"/>
  <c r="I75" i="21"/>
  <c r="H82" i="21"/>
  <c r="F82" i="21"/>
  <c r="D82" i="21"/>
  <c r="D87" i="21"/>
  <c r="F87" i="21"/>
  <c r="K27" i="18"/>
  <c r="K26" i="18"/>
  <c r="K25" i="18"/>
  <c r="N22" i="18"/>
  <c r="K14" i="18"/>
  <c r="K15" i="18"/>
  <c r="K13" i="18"/>
  <c r="L13" i="18"/>
  <c r="N10" i="18"/>
  <c r="L14" i="18"/>
  <c r="L15" i="18"/>
  <c r="N7" i="18"/>
  <c r="N8" i="18"/>
  <c r="N9" i="18"/>
  <c r="N6" i="18"/>
  <c r="D983" i="18"/>
  <c r="D1647" i="18"/>
  <c r="D1624" i="18"/>
  <c r="D2478" i="18"/>
  <c r="D2451" i="18"/>
  <c r="D740" i="18"/>
  <c r="D2724" i="18"/>
  <c r="D1724" i="18"/>
  <c r="D2272" i="18"/>
  <c r="D678" i="18"/>
  <c r="D731" i="18"/>
  <c r="D122" i="18"/>
  <c r="D337" i="18"/>
  <c r="D664" i="18"/>
  <c r="D575" i="18"/>
  <c r="D1283" i="18"/>
  <c r="D1467" i="18"/>
  <c r="D1261" i="18"/>
  <c r="D2541" i="18"/>
  <c r="D143" i="18"/>
  <c r="D814" i="18"/>
  <c r="D1122" i="18"/>
  <c r="D466" i="18"/>
  <c r="D350" i="18"/>
  <c r="D15" i="18"/>
  <c r="D2652" i="18"/>
  <c r="D1841" i="18"/>
  <c r="D1525" i="18"/>
  <c r="D134" i="18"/>
  <c r="D776" i="18"/>
  <c r="D349" i="18"/>
  <c r="D473" i="18"/>
  <c r="D2628" i="18"/>
  <c r="D89" i="18"/>
  <c r="D2722" i="18"/>
  <c r="D94" i="18"/>
  <c r="D1151" i="18"/>
  <c r="D1051" i="18"/>
  <c r="D985" i="18"/>
  <c r="D2525" i="18"/>
  <c r="D437" i="18"/>
  <c r="D534" i="18"/>
  <c r="D70" i="18"/>
  <c r="D2037" i="18"/>
  <c r="D80" i="18"/>
  <c r="D232" i="18"/>
  <c r="D2157" i="18"/>
  <c r="D2468" i="18"/>
  <c r="D1377" i="18"/>
  <c r="D2519" i="18"/>
  <c r="D2449" i="18"/>
  <c r="D999" i="18"/>
  <c r="D152" i="18"/>
  <c r="D958" i="18"/>
  <c r="D1344" i="18"/>
  <c r="D1645" i="18"/>
  <c r="D2555" i="18"/>
  <c r="D1107" i="18"/>
  <c r="D2739" i="18"/>
  <c r="D334" i="18"/>
  <c r="D1364" i="18"/>
  <c r="D1218" i="18"/>
  <c r="D818" i="18"/>
  <c r="D2225" i="18"/>
  <c r="D2714" i="18"/>
  <c r="D2372" i="18"/>
  <c r="D186" i="18"/>
  <c r="D2497" i="18"/>
  <c r="D2665" i="18"/>
  <c r="D819" i="18"/>
  <c r="D67" i="18"/>
  <c r="D2459" i="18"/>
  <c r="D770" i="18"/>
  <c r="D97" i="18"/>
  <c r="D2321" i="18"/>
  <c r="D2128" i="18"/>
  <c r="D210" i="18"/>
  <c r="D2403" i="18"/>
  <c r="D2679" i="18"/>
  <c r="D2311" i="18"/>
  <c r="D371" i="18"/>
  <c r="D2266" i="18"/>
  <c r="D356" i="18"/>
  <c r="D42" i="18"/>
  <c r="D1533" i="18"/>
  <c r="D195" i="18"/>
  <c r="D1896" i="18"/>
  <c r="D360" i="18"/>
  <c r="D560" i="18"/>
  <c r="D2589" i="18"/>
  <c r="D1055" i="18"/>
  <c r="D698" i="18"/>
  <c r="D1782" i="18"/>
  <c r="D641" i="18"/>
  <c r="D527" i="18"/>
  <c r="D1781" i="18"/>
  <c r="D1685" i="18"/>
  <c r="D2564" i="18"/>
  <c r="D1799" i="18"/>
  <c r="D2729" i="18"/>
  <c r="D389" i="18"/>
  <c r="D1065" i="18"/>
  <c r="D1362" i="18"/>
  <c r="D951" i="18"/>
  <c r="D1492" i="18"/>
  <c r="D2480" i="18"/>
  <c r="D2442" i="18"/>
  <c r="D980" i="18"/>
  <c r="D1909" i="18"/>
  <c r="D387" i="18"/>
  <c r="D2572" i="18"/>
  <c r="D926" i="18"/>
  <c r="D1571" i="18"/>
  <c r="D1290" i="18"/>
  <c r="D850" i="18"/>
  <c r="D375" i="18"/>
  <c r="D833" i="18"/>
  <c r="D1083" i="18"/>
  <c r="D121" i="18"/>
  <c r="D762" i="18"/>
  <c r="D915" i="18"/>
  <c r="D1045" i="18"/>
  <c r="D2603" i="18"/>
  <c r="D845" i="18"/>
  <c r="D900" i="18"/>
  <c r="D2165" i="18"/>
  <c r="D2055" i="18"/>
  <c r="D36" i="18"/>
  <c r="D2281" i="18"/>
  <c r="D2609" i="18"/>
  <c r="D181" i="18"/>
  <c r="D1865" i="18"/>
  <c r="D225" i="18"/>
  <c r="D1109" i="18"/>
  <c r="D2300" i="18"/>
  <c r="D594" i="18"/>
  <c r="D861" i="18"/>
  <c r="D2060" i="18"/>
  <c r="D826" i="18"/>
  <c r="D1521" i="18"/>
  <c r="D889" i="18"/>
  <c r="D1830" i="18"/>
  <c r="D1405" i="18"/>
  <c r="D1669" i="18"/>
  <c r="D848" i="18"/>
  <c r="D1353" i="18"/>
  <c r="D1626" i="18"/>
  <c r="D127" i="18"/>
  <c r="D2487" i="18"/>
  <c r="D2505" i="18"/>
  <c r="D1160" i="18"/>
  <c r="D1426" i="18"/>
  <c r="D1515" i="18"/>
  <c r="D1918" i="18"/>
  <c r="D139" i="18"/>
  <c r="D2376" i="18"/>
  <c r="D2699" i="18"/>
  <c r="D2047" i="18"/>
  <c r="D2002" i="18"/>
  <c r="D924" i="18"/>
  <c r="D112" i="18"/>
  <c r="D574" i="18"/>
  <c r="D2588" i="18"/>
  <c r="D1561" i="18"/>
  <c r="D343" i="18"/>
  <c r="D242" i="18"/>
  <c r="D1998" i="18"/>
  <c r="D2503" i="18"/>
  <c r="D120" i="18"/>
  <c r="D621" i="18"/>
  <c r="D2302" i="18"/>
  <c r="D1565" i="18"/>
  <c r="D2101" i="18"/>
  <c r="D2664" i="18"/>
  <c r="D1369" i="18"/>
  <c r="D1066" i="18"/>
  <c r="D2585" i="18"/>
  <c r="D312" i="18"/>
  <c r="D2599" i="18"/>
  <c r="D227" i="18"/>
  <c r="D241" i="18"/>
  <c r="D841" i="18"/>
  <c r="D883" i="18"/>
  <c r="D2549" i="18"/>
  <c r="D1176" i="18"/>
  <c r="D2473" i="18"/>
  <c r="D140" i="18"/>
  <c r="D1469" i="18"/>
  <c r="D606" i="18"/>
  <c r="D2463" i="18"/>
  <c r="D1081" i="18"/>
  <c r="D564" i="18"/>
  <c r="D320" i="18"/>
  <c r="D962" i="18"/>
  <c r="D1212" i="18"/>
  <c r="D2313" i="18"/>
  <c r="D2597" i="18"/>
  <c r="D975" i="18"/>
  <c r="D1266" i="18"/>
  <c r="D2488" i="18"/>
  <c r="D1901" i="18"/>
  <c r="D1806" i="18"/>
  <c r="D1898" i="18"/>
  <c r="D540" i="18"/>
  <c r="D114" i="18"/>
  <c r="D2424" i="18"/>
  <c r="D894" i="18"/>
  <c r="D281" i="18"/>
  <c r="D2552" i="18"/>
  <c r="D2108" i="18"/>
  <c r="D1957" i="18"/>
  <c r="D1987" i="18"/>
  <c r="D499" i="18"/>
  <c r="D812" i="18"/>
  <c r="D656" i="18"/>
  <c r="D597" i="18"/>
  <c r="D988" i="18"/>
  <c r="D1375" i="18"/>
  <c r="D2511" i="18"/>
  <c r="D2269" i="18"/>
  <c r="D294" i="18"/>
  <c r="D420" i="18"/>
  <c r="D2574" i="18"/>
  <c r="D1457" i="18"/>
  <c r="D1758" i="18"/>
  <c r="D716" i="18"/>
  <c r="D1371" i="18"/>
  <c r="D1999" i="18"/>
  <c r="D179" i="18"/>
  <c r="D214" i="18"/>
  <c r="D1996" i="18"/>
  <c r="D745" i="18"/>
  <c r="D157" i="18"/>
  <c r="D411" i="18"/>
  <c r="D532" i="18"/>
  <c r="D299" i="18"/>
  <c r="D1864" i="18"/>
  <c r="D2166" i="18"/>
  <c r="D1245" i="18"/>
  <c r="D2248" i="18"/>
  <c r="D570" i="18"/>
  <c r="D174" i="18"/>
  <c r="D604" i="18"/>
  <c r="D467" i="18"/>
  <c r="D2394" i="18"/>
  <c r="D1491" i="18"/>
  <c r="D74" i="18"/>
  <c r="D1118" i="18"/>
  <c r="D1293" i="18"/>
  <c r="D1067" i="18"/>
  <c r="D932" i="18"/>
  <c r="D2362" i="18"/>
  <c r="D2560" i="18"/>
  <c r="D2048" i="18"/>
  <c r="D1177" i="18"/>
  <c r="D2211" i="18"/>
  <c r="D480" i="18"/>
  <c r="D535" i="18"/>
  <c r="D2051" i="18"/>
  <c r="D1829" i="18"/>
  <c r="D2303" i="18"/>
  <c r="D1164" i="18"/>
  <c r="D1412" i="18"/>
  <c r="D1137" i="18"/>
  <c r="D2366" i="18"/>
  <c r="D893" i="18"/>
  <c r="D454" i="18"/>
  <c r="D647" i="18"/>
  <c r="D849" i="18"/>
  <c r="D1714" i="18"/>
  <c r="D2441" i="18"/>
  <c r="D1057" i="18"/>
  <c r="D212" i="18"/>
  <c r="D302" i="18"/>
  <c r="D2087" i="18"/>
  <c r="D2205" i="18"/>
  <c r="D622" i="18"/>
  <c r="D796" i="18"/>
  <c r="D1435" i="18"/>
  <c r="D1213" i="18"/>
  <c r="D1352" i="18"/>
  <c r="D525" i="18"/>
  <c r="D934" i="18"/>
  <c r="D207" i="18"/>
  <c r="D2210" i="18"/>
  <c r="D1035" i="18"/>
  <c r="D12" i="18"/>
  <c r="D1804" i="18"/>
  <c r="D982" i="18"/>
  <c r="D1087" i="18"/>
  <c r="D382" i="18"/>
  <c r="D2334" i="18"/>
  <c r="D465" i="18"/>
  <c r="D865" i="18"/>
  <c r="D1748" i="18"/>
  <c r="D2318" i="18"/>
  <c r="D538" i="18"/>
  <c r="D2022" i="18"/>
  <c r="D1890" i="18"/>
  <c r="D2443" i="18"/>
  <c r="D1947" i="18"/>
  <c r="D905" i="18"/>
  <c r="D1554" i="18"/>
  <c r="D498" i="18"/>
  <c r="D2024" i="18"/>
  <c r="D2342" i="18"/>
  <c r="D228" i="18"/>
  <c r="D2213" i="18"/>
  <c r="D99" i="18"/>
  <c r="D503" i="18"/>
  <c r="D1675" i="18"/>
  <c r="D639" i="18"/>
  <c r="D95" i="18"/>
  <c r="D2551" i="18"/>
  <c r="D887" i="18"/>
  <c r="D2287" i="18"/>
  <c r="D2437" i="18"/>
  <c r="D642" i="18"/>
  <c r="D827" i="18"/>
  <c r="D2419" i="18"/>
  <c r="D823" i="18"/>
  <c r="D1210" i="18"/>
  <c r="D1024" i="18"/>
  <c r="D274" i="18"/>
  <c r="D1485" i="18"/>
  <c r="D2137" i="18"/>
  <c r="D653" i="18"/>
  <c r="D1320" i="18"/>
  <c r="D2641" i="18"/>
  <c r="D1208" i="18"/>
  <c r="D129" i="18"/>
  <c r="D1842" i="18"/>
  <c r="D269" i="18"/>
  <c r="D1639" i="18"/>
  <c r="D2517" i="18"/>
  <c r="D153" i="18"/>
  <c r="D1582" i="18"/>
  <c r="D1967" i="18"/>
  <c r="D2594" i="18"/>
  <c r="D1820" i="18"/>
  <c r="D1834" i="18"/>
  <c r="D1776" i="18"/>
  <c r="D2271" i="18"/>
  <c r="D2598" i="18"/>
  <c r="D638" i="18"/>
  <c r="D2452" i="18"/>
  <c r="D2702" i="18"/>
  <c r="D2254" i="18"/>
  <c r="D1144" i="18"/>
  <c r="D1205" i="18"/>
  <c r="D2238" i="18"/>
  <c r="D2635" i="18"/>
  <c r="D1031" i="18"/>
  <c r="D1809" i="18"/>
  <c r="D327" i="18"/>
  <c r="D1908" i="18"/>
  <c r="D2706" i="18"/>
  <c r="D2733" i="18"/>
  <c r="D2743" i="18"/>
  <c r="D20" i="18"/>
  <c r="D2529" i="18"/>
  <c r="D2236" i="18"/>
  <c r="D2245" i="18"/>
  <c r="D629" i="18"/>
  <c r="D61" i="18"/>
  <c r="D1823" i="18"/>
  <c r="D568" i="18"/>
  <c r="D1949" i="18"/>
  <c r="D200" i="18"/>
  <c r="D459" i="18"/>
  <c r="D2676" i="18"/>
  <c r="D2707" i="18"/>
  <c r="D60" i="18"/>
  <c r="D1931" i="18"/>
  <c r="D1603" i="18"/>
  <c r="D923" i="18"/>
  <c r="D1040" i="18"/>
  <c r="D2693" i="18"/>
  <c r="D1733" i="18"/>
  <c r="D877" i="18"/>
  <c r="D2196" i="18"/>
  <c r="D1860" i="18"/>
  <c r="D2616" i="18"/>
  <c r="D2428" i="18"/>
  <c r="D1500" i="18"/>
  <c r="D937" i="18"/>
  <c r="D1184" i="18"/>
  <c r="D2008" i="18"/>
  <c r="D592" i="18"/>
  <c r="D1425" i="18"/>
  <c r="D948" i="18"/>
  <c r="D433" i="18"/>
  <c r="D317" i="18"/>
  <c r="D2093" i="18"/>
  <c r="D583" i="18"/>
  <c r="D502" i="18"/>
  <c r="D410" i="18"/>
  <c r="D2547" i="18"/>
  <c r="D368" i="18"/>
  <c r="D474" i="18"/>
  <c r="D1815" i="18"/>
  <c r="D1224" i="18"/>
  <c r="D1113" i="18"/>
  <c r="D171" i="18"/>
  <c r="D1152" i="18"/>
  <c r="D1380" i="18"/>
  <c r="D1029" i="18"/>
  <c r="D1516" i="18"/>
  <c r="D627" i="18"/>
  <c r="D1015" i="18"/>
  <c r="D1633" i="18"/>
  <c r="D1275" i="18"/>
  <c r="D1703" i="18"/>
  <c r="D196" i="18"/>
  <c r="D1790" i="18"/>
  <c r="D1788" i="18"/>
  <c r="D660" i="18"/>
  <c r="D913" i="18"/>
  <c r="D1458" i="18"/>
  <c r="D995" i="18"/>
  <c r="D2148" i="18"/>
  <c r="D2086" i="18"/>
  <c r="D1792" i="18"/>
  <c r="D1345" i="18"/>
  <c r="D2324" i="18"/>
  <c r="D2259" i="18"/>
  <c r="D322" i="18"/>
  <c r="D383" i="18"/>
  <c r="D130" i="18"/>
  <c r="D2167" i="18"/>
  <c r="D1601" i="18"/>
  <c r="D173" i="18"/>
  <c r="D795" i="18"/>
  <c r="D1941" i="18"/>
  <c r="D2314" i="18"/>
  <c r="D429" i="18"/>
  <c r="D1783" i="18"/>
  <c r="D1445" i="18"/>
  <c r="D652" i="18"/>
  <c r="D1523" i="18"/>
  <c r="D57" i="18"/>
  <c r="D1814" i="18"/>
  <c r="D253" i="18"/>
  <c r="D2091" i="18"/>
  <c r="D1061" i="18"/>
  <c r="D2282" i="18"/>
  <c r="D2294" i="18"/>
  <c r="D922" i="18"/>
  <c r="D1254" i="18"/>
  <c r="D2566" i="18"/>
  <c r="D422" i="18"/>
  <c r="D683" i="18"/>
  <c r="D1220" i="18"/>
  <c r="D747" i="18"/>
  <c r="D431" i="18"/>
  <c r="D1889" i="18"/>
  <c r="D1250" i="18"/>
  <c r="D1713" i="18"/>
  <c r="D2534" i="18"/>
  <c r="D423" i="18"/>
  <c r="D1727" i="18"/>
  <c r="D854" i="18"/>
  <c r="D2467" i="18"/>
  <c r="D2539" i="18"/>
  <c r="D576" i="18"/>
  <c r="D759" i="18"/>
  <c r="D1064" i="18"/>
  <c r="D804" i="18"/>
  <c r="D161" i="18"/>
  <c r="D677" i="18"/>
  <c r="D1599" i="18"/>
  <c r="D273" i="18"/>
  <c r="D1935" i="18"/>
  <c r="D1104" i="18"/>
  <c r="D496" i="18"/>
  <c r="D490" i="18"/>
  <c r="D250" i="18"/>
  <c r="D1562" i="18"/>
  <c r="D1979" i="18"/>
  <c r="D561" i="18"/>
  <c r="D2697" i="18"/>
  <c r="D458" i="18"/>
  <c r="D1631" i="18"/>
  <c r="D646" i="18"/>
  <c r="D1825" i="18"/>
  <c r="D2614" i="18"/>
  <c r="D2159" i="18"/>
  <c r="D2312" i="18"/>
  <c r="D2006" i="18"/>
  <c r="D412" i="18"/>
  <c r="D220" i="18"/>
  <c r="D463" i="18"/>
  <c r="D533" i="18"/>
  <c r="D1983" i="18"/>
  <c r="D815" i="18"/>
  <c r="D994" i="18"/>
  <c r="D1767" i="18"/>
  <c r="D1902" i="18"/>
  <c r="D706" i="18"/>
  <c r="D2483" i="18"/>
  <c r="D580" i="18"/>
  <c r="D2136" i="18"/>
  <c r="D1481" i="18"/>
  <c r="D1376" i="18"/>
  <c r="D1331" i="18"/>
  <c r="D1088" i="18"/>
  <c r="D635" i="18"/>
  <c r="D1925" i="18"/>
  <c r="D952" i="18"/>
  <c r="D899" i="18"/>
  <c r="D1858" i="18"/>
  <c r="D2561" i="18"/>
  <c r="D2606" i="18"/>
  <c r="D1775" i="18"/>
  <c r="D1187" i="18"/>
  <c r="D374" i="18"/>
  <c r="D2216" i="18"/>
  <c r="D308" i="18"/>
  <c r="D1206" i="18"/>
  <c r="D2348" i="18"/>
  <c r="D495" i="18"/>
  <c r="D1333" i="18"/>
  <c r="D1189" i="18"/>
  <c r="D2023" i="18"/>
  <c r="D1990" i="18"/>
  <c r="D708" i="18"/>
  <c r="D267" i="18"/>
  <c r="D873" i="18"/>
  <c r="D1501" i="18"/>
  <c r="D1551" i="18"/>
  <c r="D1465" i="18"/>
  <c r="D1712" i="18"/>
  <c r="D2341" i="18"/>
  <c r="D544" i="18"/>
  <c r="D676" i="18"/>
  <c r="D742" i="18"/>
  <c r="D2127" i="18"/>
  <c r="D1878" i="18"/>
  <c r="D1200" i="18"/>
  <c r="D593" i="18"/>
  <c r="D2057" i="18"/>
  <c r="D1827" i="18"/>
  <c r="D791" i="18"/>
  <c r="D1577" i="18"/>
  <c r="D2171" i="18"/>
  <c r="D600" i="18"/>
  <c r="D2309" i="18"/>
  <c r="D2016" i="18"/>
  <c r="D748" i="18"/>
  <c r="D2043" i="18"/>
  <c r="D1849" i="18"/>
  <c r="D549" i="18"/>
  <c r="D1954" i="18"/>
  <c r="D265" i="18"/>
  <c r="D1740" i="18"/>
  <c r="D1274" i="18"/>
  <c r="D521" i="18"/>
  <c r="D19" i="18"/>
  <c r="D2516" i="18"/>
  <c r="D584" i="18"/>
  <c r="D1537" i="18"/>
  <c r="D1915" i="18"/>
  <c r="D1277" i="18"/>
  <c r="D86" i="18"/>
  <c r="D508" i="18"/>
  <c r="D1649" i="18"/>
  <c r="D1939" i="18"/>
  <c r="D1284" i="18"/>
  <c r="D661" i="18"/>
  <c r="D1547" i="18"/>
  <c r="D2336" i="18"/>
  <c r="D2033" i="18"/>
  <c r="D2373" i="18"/>
  <c r="D2461" i="18"/>
  <c r="D2600" i="18"/>
  <c r="D2131" i="18"/>
  <c r="D2651" i="18"/>
  <c r="D1046" i="18"/>
  <c r="D428" i="18"/>
  <c r="D863" i="18"/>
  <c r="D1684" i="18"/>
  <c r="D786" i="18"/>
  <c r="D1360" i="18"/>
  <c r="D1207" i="18"/>
  <c r="D1681" i="18"/>
  <c r="D1390" i="18"/>
  <c r="D399" i="18"/>
  <c r="D1588" i="18"/>
  <c r="D233" i="18"/>
  <c r="D2406" i="18"/>
  <c r="D1566" i="18"/>
  <c r="D1961" i="18"/>
  <c r="D28" i="18"/>
  <c r="D2522" i="18"/>
  <c r="D2200" i="18"/>
  <c r="D1431" i="18"/>
  <c r="D1808" i="18"/>
  <c r="D1506" i="18"/>
  <c r="D1711" i="18"/>
  <c r="D1340" i="18"/>
  <c r="D1907" i="18"/>
  <c r="D2090" i="18"/>
  <c r="D2465" i="18"/>
  <c r="D155" i="18"/>
  <c r="D288" i="18"/>
  <c r="D2410" i="18"/>
  <c r="D1597" i="18"/>
  <c r="D2460" i="18"/>
  <c r="D243" i="18"/>
  <c r="D1605" i="18"/>
  <c r="D1840" i="18"/>
  <c r="D1843" i="18"/>
  <c r="D1812" i="18"/>
  <c r="D718" i="18"/>
  <c r="D2158" i="18"/>
  <c r="D1464" i="18"/>
  <c r="D1746" i="18"/>
  <c r="D524" i="18"/>
  <c r="D2416" i="18"/>
  <c r="D2061" i="18"/>
  <c r="D1986" i="18"/>
  <c r="D2354" i="18"/>
  <c r="D1946" i="18"/>
  <c r="D2288" i="18"/>
  <c r="D64" i="18"/>
  <c r="D1756" i="18"/>
  <c r="D2153" i="18"/>
  <c r="D2185" i="18"/>
  <c r="D1530" i="18"/>
  <c r="D834" i="18"/>
  <c r="D1721" i="18"/>
  <c r="D408" i="18"/>
  <c r="D1246" i="18"/>
  <c r="D1637" i="18"/>
  <c r="D1330" i="18"/>
  <c r="D1459" i="18"/>
  <c r="D603" i="18"/>
  <c r="D1564" i="18"/>
  <c r="D1559" i="18"/>
  <c r="D310" i="18"/>
  <c r="D2305" i="18"/>
  <c r="D1887" i="18"/>
  <c r="D1342" i="18"/>
  <c r="D166" i="18"/>
  <c r="D515" i="18"/>
  <c r="D1636" i="18"/>
  <c r="D577" i="18"/>
  <c r="D2345" i="18"/>
  <c r="D778" i="18"/>
  <c r="D1385" i="18"/>
  <c r="D435" i="18"/>
  <c r="D2335" i="18"/>
  <c r="D1071" i="18"/>
  <c r="D1868" i="18"/>
  <c r="D1232" i="18"/>
  <c r="D2381" i="18"/>
  <c r="D1927" i="18"/>
  <c r="D2423" i="18"/>
  <c r="D1583" i="18"/>
  <c r="D896" i="18"/>
  <c r="D2570" i="18"/>
  <c r="D1240" i="18"/>
  <c r="D289" i="18"/>
  <c r="D2421" i="18"/>
  <c r="D1704" i="18"/>
  <c r="D2550" i="18"/>
  <c r="D682" i="18"/>
  <c r="D1004" i="18"/>
  <c r="D925" i="18"/>
  <c r="D551" i="18"/>
  <c r="D1880" i="18"/>
  <c r="D1642" i="18"/>
  <c r="D810" i="18"/>
  <c r="D2573" i="18"/>
  <c r="D967" i="18"/>
  <c r="D1215" i="18"/>
  <c r="D2112" i="18"/>
  <c r="D2066" i="18"/>
  <c r="D1225" i="18"/>
  <c r="D1159" i="18"/>
  <c r="D950" i="18"/>
  <c r="D1486" i="18"/>
  <c r="D2253" i="18"/>
  <c r="D1870" i="18"/>
  <c r="D822" i="18"/>
  <c r="D237" i="18"/>
  <c r="D1468" i="18"/>
  <c r="D794" i="18"/>
  <c r="D832" i="18"/>
  <c r="D1490" i="18"/>
  <c r="D297" i="18"/>
  <c r="D2672" i="18"/>
  <c r="D2535" i="18"/>
  <c r="D1493" i="18"/>
  <c r="D1487" i="18"/>
  <c r="D1358" i="18"/>
  <c r="D977" i="18"/>
  <c r="D828" i="18"/>
  <c r="D566" i="18"/>
  <c r="D2117" i="18"/>
  <c r="D77" i="18"/>
  <c r="D1442" i="18"/>
  <c r="D2493" i="18"/>
  <c r="D556" i="18"/>
  <c r="D1382" i="18"/>
  <c r="D771" i="18"/>
  <c r="D1394" i="18"/>
  <c r="D1667" i="18"/>
  <c r="D624" i="18"/>
  <c r="D1384" i="18"/>
  <c r="D404" i="18"/>
  <c r="D1796" i="18"/>
  <c r="D1609" i="18"/>
  <c r="D1873" i="18"/>
  <c r="D2102" i="18"/>
  <c r="D407" i="18"/>
  <c r="D1926" i="18"/>
  <c r="D1877" i="18"/>
  <c r="D2028" i="18"/>
  <c r="D96" i="18"/>
  <c r="D450" i="18"/>
  <c r="D461" i="18"/>
  <c r="D2277" i="18"/>
  <c r="D2142" i="18"/>
  <c r="D323" i="18"/>
  <c r="D1736" i="18"/>
  <c r="D451" i="18"/>
  <c r="D2256" i="18"/>
  <c r="D9" i="18"/>
  <c r="D610" i="18"/>
  <c r="D542" i="18"/>
  <c r="D675" i="18"/>
  <c r="D2156" i="18"/>
  <c r="D1560" i="18"/>
  <c r="D1755" i="18"/>
  <c r="D2268" i="18"/>
  <c r="D2099" i="18"/>
  <c r="D605" i="18"/>
  <c r="D1483" i="18"/>
  <c r="D189" i="18"/>
  <c r="D2509" i="18"/>
  <c r="D1696" i="18"/>
  <c r="D857" i="18"/>
  <c r="D2056" i="18"/>
  <c r="D2219" i="18"/>
  <c r="D1875" i="18"/>
  <c r="D2122" i="18"/>
  <c r="D260" i="18"/>
  <c r="D2223" i="18"/>
  <c r="D864" i="18"/>
  <c r="D1317" i="18"/>
  <c r="D1572" i="18"/>
  <c r="D929" i="18"/>
  <c r="D1715" i="18"/>
  <c r="D1430" i="18"/>
  <c r="D2115" i="18"/>
  <c r="D1134" i="18"/>
  <c r="D2450" i="18"/>
  <c r="D469" i="18"/>
  <c r="D2332" i="18"/>
  <c r="D373" i="18"/>
  <c r="D1886" i="18"/>
  <c r="D1392" i="18"/>
  <c r="D1398" i="18"/>
  <c r="D175" i="18"/>
  <c r="D1534" i="18"/>
  <c r="D1569" i="18"/>
  <c r="D147" i="18"/>
  <c r="D1100" i="18"/>
  <c r="D131" i="18"/>
  <c r="D930" i="18"/>
  <c r="D2041" i="18"/>
  <c r="D1309" i="18"/>
  <c r="D1007" i="18"/>
  <c r="D1930" i="18"/>
  <c r="D353" i="18"/>
  <c r="D792" i="18"/>
  <c r="D727" i="18"/>
  <c r="D1750" i="18"/>
  <c r="D105" i="18"/>
  <c r="D244" i="18"/>
  <c r="D2316" i="18"/>
  <c r="D2249" i="18"/>
  <c r="D898" i="18"/>
  <c r="D1514" i="18"/>
  <c r="D487" i="18"/>
  <c r="D2010" i="18"/>
  <c r="D2371" i="18"/>
  <c r="D1837" i="18"/>
  <c r="D2262" i="18"/>
  <c r="D296" i="18"/>
  <c r="D1259" i="18"/>
  <c r="D2020" i="18"/>
  <c r="D1338" i="18"/>
  <c r="D2361" i="18"/>
  <c r="D1662" i="18"/>
  <c r="D1574" i="18"/>
  <c r="D1032" i="18"/>
  <c r="D673" i="18"/>
  <c r="D1988" i="18"/>
  <c r="D1897" i="18"/>
  <c r="D1615" i="18"/>
  <c r="D886" i="18"/>
  <c r="D928" i="18"/>
  <c r="D2252" i="18"/>
  <c r="D2411" i="18"/>
  <c r="D1243" i="18"/>
  <c r="D2240" i="18"/>
  <c r="D2700" i="18"/>
  <c r="D979" i="18"/>
  <c r="D1929" i="18"/>
  <c r="D1033" i="18"/>
  <c r="D2581" i="18"/>
  <c r="D1111" i="18"/>
  <c r="D1731" i="18"/>
  <c r="D93" i="18"/>
  <c r="D2548" i="18"/>
  <c r="D2242" i="18"/>
  <c r="D1575" i="18"/>
  <c r="D655" i="18"/>
  <c r="D2643" i="18"/>
  <c r="D315" i="18"/>
  <c r="D2123" i="18"/>
  <c r="D1124" i="18"/>
  <c r="D709" i="18"/>
  <c r="D2050" i="18"/>
  <c r="D2640" i="18"/>
  <c r="D2554" i="18"/>
  <c r="D2417" i="18"/>
  <c r="D115" i="18"/>
  <c r="D2713" i="18"/>
  <c r="D215" i="18"/>
  <c r="D1968" i="18"/>
  <c r="D69" i="18"/>
  <c r="D2129" i="18"/>
  <c r="D358" i="18"/>
  <c r="D2188" i="18"/>
  <c r="D2544" i="18"/>
  <c r="D2689" i="18"/>
  <c r="D2727" i="18"/>
  <c r="D32" i="18"/>
  <c r="D573" i="18"/>
  <c r="D2029" i="18"/>
  <c r="D616" i="18"/>
  <c r="D1437" i="18"/>
  <c r="D144" i="18"/>
  <c r="D2084" i="18"/>
  <c r="D133" i="18"/>
  <c r="D1821" i="18"/>
  <c r="D1764" i="18"/>
  <c r="D650" i="18"/>
  <c r="D46" i="18"/>
  <c r="D2462" i="18"/>
  <c r="D757" i="18"/>
  <c r="D128" i="18"/>
  <c r="D1844" i="18"/>
  <c r="D1096" i="18"/>
  <c r="D1838" i="18"/>
  <c r="D1872" i="18"/>
  <c r="D505" i="18"/>
  <c r="D2198" i="18"/>
  <c r="D135" i="18"/>
  <c r="D1862" i="18"/>
  <c r="D2388" i="18"/>
  <c r="D206" i="18"/>
  <c r="D1379" i="18"/>
  <c r="D1707" i="18"/>
  <c r="D2124" i="18"/>
  <c r="D1463" i="18"/>
  <c r="D2659" i="18"/>
  <c r="D252" i="18"/>
  <c r="D2701" i="18"/>
  <c r="D48" i="18"/>
  <c r="D686" i="18"/>
  <c r="D2121" i="18"/>
  <c r="D443" i="18"/>
  <c r="D1592" i="18"/>
  <c r="D406" i="18"/>
  <c r="D75" i="18"/>
  <c r="D295" i="18"/>
  <c r="D2638" i="18"/>
  <c r="D2612" i="18"/>
  <c r="D1018" i="18"/>
  <c r="D1175" i="18"/>
  <c r="D1077" i="18"/>
  <c r="D912" i="18"/>
  <c r="D1402" i="18"/>
  <c r="D741" i="18"/>
  <c r="D1341" i="18"/>
  <c r="D1403" i="18"/>
  <c r="D880" i="18"/>
  <c r="D852" i="18"/>
  <c r="D1268" i="18"/>
  <c r="D1786" i="18"/>
  <c r="D1022" i="18"/>
  <c r="D2162" i="18"/>
  <c r="D448" i="18"/>
  <c r="D2315" i="18"/>
  <c r="D1558" i="18"/>
  <c r="D692" i="18"/>
  <c r="D396" i="18"/>
  <c r="D2296" i="18"/>
  <c r="D2072" i="18"/>
  <c r="D1076" i="18"/>
  <c r="D2617" i="18"/>
  <c r="D904" i="18"/>
  <c r="D523" i="18"/>
  <c r="D1778" i="18"/>
  <c r="D276" i="18"/>
  <c r="D68" i="18"/>
  <c r="D1892" i="18"/>
  <c r="D1117" i="18"/>
  <c r="D492" i="18"/>
  <c r="D1050" i="18"/>
  <c r="D2490" i="18"/>
  <c r="D2065" i="18"/>
  <c r="D723" i="18"/>
  <c r="D2504" i="18"/>
  <c r="D2502" i="18"/>
  <c r="D1761" i="18"/>
  <c r="D2426" i="18"/>
  <c r="D1482" i="18"/>
  <c r="D446" i="18"/>
  <c r="D1147" i="18"/>
  <c r="D1678" i="18"/>
  <c r="D1082" i="18"/>
  <c r="D1480" i="18"/>
  <c r="D1171" i="18"/>
  <c r="D1411" i="18"/>
  <c r="D1602" i="18"/>
  <c r="D666" i="18"/>
  <c r="D2149" i="18"/>
  <c r="D1242" i="18"/>
  <c r="D2177" i="18"/>
  <c r="D169" i="18"/>
  <c r="D694" i="18"/>
  <c r="D1395" i="18"/>
  <c r="D1072" i="18"/>
  <c r="D1497" i="18"/>
  <c r="D720" i="18"/>
  <c r="D790" i="18"/>
  <c r="D1281" i="18"/>
  <c r="D671" i="18"/>
  <c r="D2130" i="18"/>
  <c r="D246" i="18"/>
  <c r="D2229" i="18"/>
  <c r="D409" i="18"/>
  <c r="D911" i="18"/>
  <c r="D1308" i="18"/>
  <c r="D345" i="18"/>
  <c r="D2247" i="18"/>
  <c r="D501" i="18"/>
  <c r="D1470" i="18"/>
  <c r="D2368" i="18"/>
  <c r="D2708" i="18"/>
  <c r="D2602" i="18"/>
  <c r="D681" i="18"/>
  <c r="D701" i="18"/>
  <c r="D1891" i="18"/>
  <c r="D282" i="18"/>
  <c r="D836" i="18"/>
  <c r="D2474" i="18"/>
  <c r="D2176" i="18"/>
  <c r="D401" i="18"/>
  <c r="D1694" i="18"/>
  <c r="D753" i="18"/>
  <c r="D633" i="18"/>
  <c r="D2481" i="18"/>
  <c r="D1479" i="18"/>
  <c r="D2500" i="18"/>
  <c r="D2591" i="18"/>
  <c r="D1555" i="18"/>
  <c r="D2592" i="18"/>
  <c r="D2208" i="18"/>
  <c r="D2073" i="18"/>
  <c r="D2197" i="18"/>
  <c r="D2293" i="18"/>
  <c r="D1456" i="18"/>
  <c r="D555" i="18"/>
  <c r="D41" i="18"/>
  <c r="D2384" i="18"/>
  <c r="D680" i="18"/>
  <c r="D1265" i="18"/>
  <c r="D468" i="18"/>
  <c r="D2399" i="18"/>
  <c r="D1568" i="18"/>
  <c r="D2031" i="18"/>
  <c r="D402" i="18"/>
  <c r="D203" i="18"/>
  <c r="D62" i="18"/>
  <c r="D2601" i="18"/>
  <c r="D910" i="18"/>
  <c r="D2081" i="18"/>
  <c r="D1247" i="18"/>
  <c r="D1161" i="18"/>
  <c r="D1518" i="18"/>
  <c r="D875" i="18"/>
  <c r="D2257" i="18"/>
  <c r="D2079" i="18"/>
  <c r="D2458" i="18"/>
  <c r="D1381" i="18"/>
  <c r="D637" i="18"/>
  <c r="D2009" i="18"/>
  <c r="D1963" i="18"/>
  <c r="D2201" i="18"/>
  <c r="D1651" i="18"/>
  <c r="D1544" i="18"/>
  <c r="D955" i="18"/>
  <c r="D1742" i="18"/>
  <c r="D1960" i="18"/>
  <c r="D869" i="18"/>
  <c r="D1178" i="18"/>
  <c r="D1683" i="18"/>
  <c r="D2432" i="18"/>
  <c r="D2439" i="18"/>
  <c r="D1219" i="18"/>
  <c r="D781" i="18"/>
  <c r="D208" i="18"/>
  <c r="D1919" i="18"/>
  <c r="D386" i="18"/>
  <c r="D314" i="18"/>
  <c r="D2064" i="18"/>
  <c r="D2356" i="18"/>
  <c r="D123" i="18"/>
  <c r="D263" i="18"/>
  <c r="D54" i="18"/>
  <c r="D587" i="18"/>
  <c r="D1102" i="18"/>
  <c r="D403" i="18"/>
  <c r="D1859" i="18"/>
  <c r="D712" i="18"/>
  <c r="D2138" i="18"/>
  <c r="D162" i="18"/>
  <c r="D2220" i="18"/>
  <c r="D163" i="18"/>
  <c r="D1818" i="18"/>
  <c r="D783" i="18"/>
  <c r="D892" i="18"/>
  <c r="D1936" i="18"/>
  <c r="D1368" i="18"/>
  <c r="D367" i="18"/>
  <c r="D1980" i="18"/>
  <c r="D805" i="18"/>
  <c r="D1757" i="18"/>
  <c r="D2340" i="18"/>
  <c r="D729" i="18"/>
  <c r="D589" i="18"/>
  <c r="D1233" i="18"/>
  <c r="D1260" i="18"/>
  <c r="D840" i="18"/>
  <c r="D856" i="18"/>
  <c r="D2619" i="18"/>
  <c r="D2653" i="18"/>
  <c r="D2265" i="18"/>
  <c r="D816" i="18"/>
  <c r="D973" i="18"/>
  <c r="D445" i="18"/>
  <c r="D2358" i="18"/>
  <c r="D785" i="18"/>
  <c r="D2513" i="18"/>
  <c r="D914" i="18"/>
  <c r="D481" i="18"/>
  <c r="D1302" i="18"/>
  <c r="D6" i="18"/>
  <c r="D8" i="18"/>
  <c r="D2457" i="18"/>
  <c r="D2103" i="18"/>
  <c r="D756" i="18"/>
  <c r="D1009" i="18"/>
  <c r="D1702" i="18"/>
  <c r="D1327" i="18"/>
  <c r="D2299" i="18"/>
  <c r="D2347" i="18"/>
  <c r="D1499" i="18"/>
  <c r="D148" i="18"/>
  <c r="D1060" i="18"/>
  <c r="D881" i="18"/>
  <c r="D981" i="18"/>
  <c r="D749" i="18"/>
  <c r="D2583" i="18"/>
  <c r="D194" i="18"/>
  <c r="D1183" i="18"/>
  <c r="D2482" i="18"/>
  <c r="D2027" i="18"/>
  <c r="D486" i="18"/>
  <c r="D1287" i="18"/>
  <c r="D1691" i="18"/>
  <c r="D376" i="18"/>
  <c r="D1195" i="18"/>
  <c r="D1861" i="18"/>
  <c r="D2563" i="18"/>
  <c r="D601" i="18"/>
  <c r="D1091" i="18"/>
  <c r="D866" i="18"/>
  <c r="D385" i="18"/>
  <c r="D2538" i="18"/>
  <c r="D2215" i="18"/>
  <c r="D1922" i="18"/>
  <c r="D1026" i="18"/>
  <c r="D1973" i="18"/>
  <c r="D2349" i="18"/>
  <c r="D2233" i="18"/>
  <c r="D1332" i="18"/>
  <c r="D1811" i="18"/>
  <c r="D2580" i="18"/>
  <c r="D338" i="18"/>
  <c r="D1301" i="18"/>
  <c r="D1279" i="18"/>
  <c r="D1593" i="18"/>
  <c r="D1596" i="18"/>
  <c r="D257" i="18"/>
  <c r="D1286" i="18"/>
  <c r="D2187" i="18"/>
  <c r="D1835" i="18"/>
  <c r="D1427" i="18"/>
  <c r="D1008" i="18"/>
  <c r="D1966" i="18"/>
  <c r="D430" i="18"/>
  <c r="D684" i="18"/>
  <c r="D1723" i="18"/>
  <c r="D2132" i="18"/>
  <c r="D713" i="18"/>
  <c r="D221" i="18"/>
  <c r="D462" i="18"/>
  <c r="D1406" i="18"/>
  <c r="D1153" i="18"/>
  <c r="D1522" i="18"/>
  <c r="D1407" i="18"/>
  <c r="D599" i="18"/>
  <c r="D1852" i="18"/>
  <c r="D2190" i="18"/>
  <c r="D1228" i="18"/>
  <c r="D1557" i="18"/>
  <c r="D2623" i="18"/>
  <c r="D2624" i="18"/>
  <c r="D596" i="18"/>
  <c r="D1079" i="18"/>
  <c r="D197" i="18"/>
  <c r="D516" i="18"/>
  <c r="D640" i="18"/>
  <c r="D649" i="18"/>
  <c r="D442" i="18"/>
  <c r="D1735" i="18"/>
  <c r="D1725" i="18"/>
  <c r="D612" i="18"/>
  <c r="D2611" i="18"/>
  <c r="D2472" i="18"/>
  <c r="D1595" i="18"/>
  <c r="D1003" i="18"/>
  <c r="D1388" i="18"/>
  <c r="D1774" i="18"/>
  <c r="D719" i="18"/>
  <c r="D890" i="18"/>
  <c r="D1460" i="18"/>
  <c r="D2625" i="18"/>
  <c r="D10" i="18"/>
  <c r="D434" i="18"/>
  <c r="D2000" i="18"/>
  <c r="D2151" i="18"/>
  <c r="D1511" i="18"/>
  <c r="D960" i="18"/>
  <c r="D970" i="18"/>
  <c r="D484" i="18"/>
  <c r="D2255" i="18"/>
  <c r="D1295" i="18"/>
  <c r="D1267" i="18"/>
  <c r="D2170" i="18"/>
  <c r="D547" i="18"/>
  <c r="D2621" i="18"/>
  <c r="D2398" i="18"/>
  <c r="D968" i="18"/>
  <c r="D1621" i="18"/>
  <c r="D507" i="18"/>
  <c r="D2673" i="18"/>
  <c r="D1791" i="18"/>
  <c r="D497" i="18"/>
  <c r="D136" i="18"/>
  <c r="D379" i="18"/>
  <c r="D1424" i="18"/>
  <c r="D1671" i="18"/>
  <c r="D809" i="18"/>
  <c r="D2645" i="18"/>
  <c r="D2582" i="18"/>
  <c r="D2742" i="18"/>
  <c r="D71" i="18"/>
  <c r="D2741" i="18"/>
  <c r="D2218" i="18"/>
  <c r="D4" i="18"/>
  <c r="D2746" i="18"/>
  <c r="D109" i="18"/>
  <c r="D56" i="18"/>
  <c r="D361" i="18"/>
  <c r="D927" i="18"/>
  <c r="D2320" i="18"/>
  <c r="D29" i="18"/>
  <c r="D2720" i="18"/>
  <c r="D2734" i="18"/>
  <c r="D7" i="18"/>
  <c r="D2448" i="18"/>
  <c r="D160" i="18"/>
  <c r="D231" i="18"/>
  <c r="D247" i="18"/>
  <c r="D278" i="18"/>
  <c r="D657" i="18"/>
  <c r="D2537" i="18"/>
  <c r="D1580" i="18"/>
  <c r="D18" i="18"/>
  <c r="D989" i="18"/>
  <c r="D1090" i="18"/>
  <c r="D391" i="18"/>
  <c r="D2508" i="18"/>
  <c r="D2662" i="18"/>
  <c r="D1586" i="18"/>
  <c r="D2732" i="18"/>
  <c r="D2717" i="18"/>
  <c r="D1510" i="18"/>
  <c r="D2237" i="18"/>
  <c r="D2295" i="18"/>
  <c r="D1846" i="18"/>
  <c r="D2671" i="18"/>
  <c r="D192" i="18"/>
  <c r="D2610" i="18"/>
  <c r="D309" i="18"/>
  <c r="D2694" i="18"/>
  <c r="D1540" i="18"/>
  <c r="D1625" i="18"/>
  <c r="D17" i="18"/>
  <c r="D141" i="18"/>
  <c r="D703" i="18"/>
  <c r="D1627" i="18"/>
  <c r="D355" i="18"/>
  <c r="D362" i="18"/>
  <c r="D634" i="18"/>
  <c r="D689" i="18"/>
  <c r="D405" i="18"/>
  <c r="D2728" i="18"/>
  <c r="D1128" i="18"/>
  <c r="D1730" i="18"/>
  <c r="D918" i="18"/>
  <c r="D1670" i="18"/>
  <c r="D2479" i="18"/>
  <c r="D393" i="18"/>
  <c r="D2278" i="18"/>
  <c r="D1321" i="18"/>
  <c r="D2415" i="18"/>
  <c r="D1244" i="18"/>
  <c r="D413" i="18"/>
  <c r="D218" i="18"/>
  <c r="D264" i="18"/>
  <c r="D40" i="18"/>
  <c r="D2691" i="18"/>
  <c r="D1950" i="18"/>
  <c r="D938" i="18"/>
  <c r="D2052" i="18"/>
  <c r="D957" i="18"/>
  <c r="D1185" i="18"/>
  <c r="D996" i="18"/>
  <c r="D628" i="18"/>
  <c r="D272" i="18"/>
  <c r="D2675" i="18"/>
  <c r="D324" i="18"/>
  <c r="D2194" i="18"/>
  <c r="D1063" i="18"/>
  <c r="D2209" i="18"/>
  <c r="D2193" i="18"/>
  <c r="D578" i="18"/>
  <c r="D285" i="18"/>
  <c r="D306" i="18"/>
  <c r="D2386" i="18"/>
  <c r="D2489" i="18"/>
  <c r="D234" i="18"/>
  <c r="D2322" i="18"/>
  <c r="D51" i="18"/>
  <c r="D2082" i="18"/>
  <c r="D2179" i="18"/>
  <c r="D1383" i="18"/>
  <c r="D2374" i="18"/>
  <c r="D2143" i="18"/>
  <c r="D1017" i="18"/>
  <c r="D1155" i="18"/>
  <c r="D844" i="18"/>
  <c r="D21" i="18"/>
  <c r="D2243" i="18"/>
  <c r="D1078" i="18"/>
  <c r="D1255" i="18"/>
  <c r="D1141" i="18"/>
  <c r="D1452" i="18"/>
  <c r="D249" i="18"/>
  <c r="D198" i="18"/>
  <c r="D908" i="18"/>
  <c r="D1917" i="18"/>
  <c r="D23" i="18"/>
  <c r="D1006" i="18"/>
  <c r="D279" i="18"/>
  <c r="D2360" i="18"/>
  <c r="D860" i="18"/>
  <c r="D2155" i="18"/>
  <c r="D2680" i="18"/>
  <c r="D39" i="18"/>
  <c r="D2430" i="18"/>
  <c r="D438" i="18"/>
  <c r="D2059" i="18"/>
  <c r="D441" i="18"/>
  <c r="D2339" i="18"/>
  <c r="D567" i="18"/>
  <c r="D52" i="18"/>
  <c r="D2232" i="18"/>
  <c r="D1476" i="18"/>
  <c r="D2011" i="18"/>
  <c r="D1620" i="18"/>
  <c r="D1656" i="18"/>
  <c r="D763" i="18"/>
  <c r="D2654" i="18"/>
  <c r="D2531" i="18"/>
  <c r="D986" i="18"/>
  <c r="D2429" i="18"/>
  <c r="D737" i="18"/>
  <c r="D541" i="18"/>
  <c r="D1086" i="18"/>
  <c r="D336" i="18"/>
  <c r="D151" i="18"/>
  <c r="D1802" i="18"/>
  <c r="D111" i="18"/>
  <c r="D813" i="18"/>
  <c r="D1700" i="18"/>
  <c r="D2540" i="18"/>
  <c r="D424" i="18"/>
  <c r="D2017" i="18"/>
  <c r="D1114" i="18"/>
  <c r="D1010" i="18"/>
  <c r="D2204" i="18"/>
  <c r="D916" i="18"/>
  <c r="D158" i="18"/>
  <c r="D1977" i="18"/>
  <c r="D1851" i="18"/>
  <c r="D842" i="18"/>
  <c r="D2476" i="18"/>
  <c r="D14" i="18"/>
  <c r="D2383" i="18"/>
  <c r="D107" i="18"/>
  <c r="D1964" i="18"/>
  <c r="D2404" i="18"/>
  <c r="D2168" i="18"/>
  <c r="D738" i="18"/>
  <c r="D106" i="18"/>
  <c r="D2283" i="18"/>
  <c r="D774" i="18"/>
  <c r="D2251" i="18"/>
  <c r="D2154" i="18"/>
  <c r="D1824" i="18"/>
  <c r="D1074" i="18"/>
  <c r="D1346" i="18"/>
  <c r="D1252" i="18"/>
  <c r="D1069" i="18"/>
  <c r="D2440" i="18"/>
  <c r="D1226" i="18"/>
  <c r="D700" i="18"/>
  <c r="D707" i="18"/>
  <c r="D2634" i="18"/>
  <c r="D1322" i="18"/>
  <c r="D100" i="18"/>
  <c r="D766" i="18"/>
  <c r="D45" i="18"/>
  <c r="D44" i="18"/>
  <c r="D472" i="18"/>
  <c r="D365" i="18"/>
  <c r="D2125" i="18"/>
  <c r="D98" i="18"/>
  <c r="D803" i="18"/>
  <c r="D1876" i="18"/>
  <c r="D644" i="18"/>
  <c r="D1855" i="18"/>
  <c r="D266" i="18"/>
  <c r="D1429" i="18"/>
  <c r="D609" i="18"/>
  <c r="D2528" i="18"/>
  <c r="D258" i="18"/>
  <c r="D351" i="18"/>
  <c r="D1115" i="18"/>
  <c r="D439" i="18"/>
  <c r="D971" i="18"/>
  <c r="D425" i="18"/>
  <c r="D543" i="18"/>
  <c r="D788" i="18"/>
  <c r="D1884" i="18"/>
  <c r="D421" i="18"/>
  <c r="D1068" i="18"/>
  <c r="D1676" i="18"/>
  <c r="D332" i="18"/>
  <c r="D1419" i="18"/>
  <c r="D2687" i="18"/>
  <c r="D2469" i="18"/>
  <c r="D2447" i="18"/>
  <c r="D2669" i="18"/>
  <c r="D1527" i="18"/>
  <c r="D178" i="18"/>
  <c r="D290" i="18"/>
  <c r="D724" i="18"/>
  <c r="D2730" i="18"/>
  <c r="D2677" i="18"/>
  <c r="D2692" i="18"/>
  <c r="D1343" i="18"/>
  <c r="D2199" i="18"/>
  <c r="D256" i="18"/>
  <c r="D1143" i="18"/>
  <c r="D1660" i="18"/>
  <c r="D2567" i="18"/>
  <c r="D2274" i="18"/>
  <c r="D291" i="18"/>
  <c r="D73" i="18"/>
  <c r="D1282" i="18"/>
  <c r="D1623" i="18"/>
  <c r="D2146" i="18"/>
  <c r="D2290" i="18"/>
  <c r="D1423" i="18"/>
  <c r="D2666" i="18"/>
  <c r="D82" i="18"/>
  <c r="D2584" i="18"/>
  <c r="D2380" i="18"/>
  <c r="D1803" i="18"/>
  <c r="D1771" i="18"/>
  <c r="D1191" i="18"/>
  <c r="D2703" i="18"/>
  <c r="D63" i="18"/>
  <c r="D488" i="18"/>
  <c r="D663" i="18"/>
  <c r="D1168" i="18"/>
  <c r="D2364" i="18"/>
  <c r="D1617" i="18"/>
  <c r="D271" i="18"/>
  <c r="D1075" i="18"/>
  <c r="D2387" i="18"/>
  <c r="D2492" i="18"/>
  <c r="D25" i="18"/>
  <c r="D2520" i="18"/>
  <c r="D2163" i="18"/>
  <c r="D935" i="18"/>
  <c r="D987" i="18"/>
  <c r="D1982" i="18"/>
  <c r="D483" i="18"/>
  <c r="D2491" i="18"/>
  <c r="D16" i="18"/>
  <c r="D119" i="18"/>
  <c r="D2389" i="18"/>
  <c r="D1053" i="18"/>
  <c r="D2523" i="18"/>
  <c r="D37" i="18"/>
  <c r="D704" i="18"/>
  <c r="D721" i="18"/>
  <c r="D1992" i="18"/>
  <c r="D2438" i="18"/>
  <c r="D2144" i="18"/>
  <c r="D1179" i="18"/>
  <c r="D103" i="18"/>
  <c r="D2688" i="18"/>
  <c r="D2285" i="18"/>
  <c r="D2425" i="18"/>
  <c r="D1397" i="18"/>
  <c r="D352" i="18"/>
  <c r="D772" i="18"/>
  <c r="D321" i="18"/>
  <c r="D1420" i="18"/>
  <c r="D2637" i="18"/>
  <c r="D230" i="18"/>
  <c r="D1453" i="18"/>
  <c r="D2119" i="18"/>
  <c r="D2095" i="18"/>
  <c r="D1049" i="18"/>
  <c r="D1674" i="18"/>
  <c r="D1039" i="18"/>
  <c r="D1739" i="18"/>
  <c r="D5" i="18"/>
  <c r="D1001" i="18"/>
  <c r="D378" i="18"/>
  <c r="D1612" i="18"/>
  <c r="D2118" i="18"/>
  <c r="D400" i="18"/>
  <c r="D2001" i="18"/>
  <c r="D81" i="18"/>
  <c r="D735" i="18"/>
  <c r="D947" i="18"/>
  <c r="D1894" i="18"/>
  <c r="D479" i="18"/>
  <c r="D2367" i="18"/>
  <c r="D2133" i="18"/>
  <c r="D688" i="18"/>
  <c r="D1677" i="18"/>
  <c r="D1005" i="18"/>
  <c r="D1658" i="18"/>
  <c r="D943" i="18"/>
  <c r="D867" i="18"/>
  <c r="D1231" i="18"/>
  <c r="D1672" i="18"/>
  <c r="D88" i="18"/>
  <c r="D1945" i="18"/>
  <c r="D529" i="18"/>
  <c r="D1643" i="18"/>
  <c r="D897" i="18"/>
  <c r="D2515" i="18"/>
  <c r="D2042" i="18"/>
  <c r="D292" i="18"/>
  <c r="D2203" i="18"/>
  <c r="D1993" i="18"/>
  <c r="D871" i="18"/>
  <c r="D1538" i="18"/>
  <c r="D765" i="18"/>
  <c r="D1765" i="18"/>
  <c r="D998" i="18"/>
  <c r="D1762" i="18"/>
  <c r="D511" i="18"/>
  <c r="D1759" i="18"/>
  <c r="D1913" i="18"/>
  <c r="D1784" i="18"/>
  <c r="D1591" i="18"/>
  <c r="D1370" i="18"/>
  <c r="D1910" i="18"/>
  <c r="D1503" i="18"/>
  <c r="D1508" i="18"/>
  <c r="D11" i="18"/>
  <c r="D2533" i="18"/>
  <c r="D2089" i="18"/>
  <c r="D2012" i="18"/>
  <c r="D2298" i="18"/>
  <c r="D2111" i="18"/>
  <c r="D1773" i="18"/>
  <c r="D2140" i="18"/>
  <c r="D858" i="18"/>
  <c r="D359" i="18"/>
  <c r="D1744" i="18"/>
  <c r="D2058" i="18"/>
  <c r="D2067" i="18"/>
  <c r="D710" i="18"/>
  <c r="D1965" i="18"/>
  <c r="D1578" i="18"/>
  <c r="D1415" i="18"/>
  <c r="D1190" i="18"/>
  <c r="D1853" i="18"/>
  <c r="D301" i="18"/>
  <c r="D1826" i="18"/>
  <c r="D72" i="18"/>
  <c r="D2279" i="18"/>
  <c r="D2098" i="18"/>
  <c r="D1753" i="18"/>
  <c r="D1449" i="18"/>
  <c r="D1172" i="18"/>
  <c r="D193" i="18"/>
  <c r="D104" i="18"/>
  <c r="D83" i="18"/>
  <c r="D1136" i="18"/>
  <c r="D667" i="18"/>
  <c r="D1810" i="18"/>
  <c r="D820" i="18"/>
  <c r="D1604" i="18"/>
  <c r="D1264" i="18"/>
  <c r="D825" i="18"/>
  <c r="D1556" i="18"/>
  <c r="D1433" i="18"/>
  <c r="D1905" i="18"/>
  <c r="D2191" i="18"/>
  <c r="D2258" i="18"/>
  <c r="D456" i="18"/>
  <c r="D1354" i="18"/>
  <c r="D1150" i="18"/>
  <c r="D47" i="18"/>
  <c r="D1958" i="18"/>
  <c r="D2454" i="18"/>
  <c r="D2521" i="18"/>
  <c r="D2622" i="18"/>
  <c r="D2485" i="18"/>
  <c r="D726" i="18"/>
  <c r="D470" i="18"/>
  <c r="D2329" i="18"/>
  <c r="D177" i="18"/>
  <c r="D959" i="18"/>
  <c r="D1230" i="18"/>
  <c r="D1048" i="18"/>
  <c r="D1446" i="18"/>
  <c r="D1989" i="18"/>
  <c r="D2501" i="18"/>
  <c r="D2486" i="18"/>
  <c r="D2069" i="18"/>
  <c r="D2738" i="18"/>
  <c r="D1899" i="18"/>
  <c r="D2604" i="18"/>
  <c r="D182" i="18"/>
  <c r="D65" i="18"/>
  <c r="D608" i="18"/>
  <c r="D1688" i="18"/>
  <c r="D662" i="18"/>
  <c r="D2100" i="18"/>
  <c r="D202" i="18"/>
  <c r="D1863" i="18"/>
  <c r="D1619" i="18"/>
  <c r="D1145" i="18"/>
  <c r="D2353" i="18"/>
  <c r="D2445" i="18"/>
  <c r="D239" i="18"/>
  <c r="D471" i="18"/>
  <c r="D1706" i="18"/>
  <c r="D205" i="18"/>
  <c r="D1400" i="18"/>
  <c r="D611" i="18"/>
  <c r="D2630" i="18"/>
  <c r="D2174" i="18"/>
  <c r="D1679" i="18"/>
  <c r="D1237" i="18"/>
  <c r="D1299" i="18"/>
  <c r="D1365" i="18"/>
  <c r="D1466" i="18"/>
  <c r="D415" i="18"/>
  <c r="D2605" i="18"/>
  <c r="D2660" i="18"/>
  <c r="D1298" i="18"/>
  <c r="D172" i="18"/>
  <c r="D191" i="18"/>
  <c r="D78" i="18"/>
  <c r="D1133" i="18"/>
  <c r="D1239" i="18"/>
  <c r="D1263" i="18"/>
  <c r="D1257" i="18"/>
  <c r="D2532" i="18"/>
  <c r="D1710" i="18"/>
  <c r="D563" i="18"/>
  <c r="D1095" i="18"/>
  <c r="D1953" i="18"/>
  <c r="D972" i="18"/>
  <c r="D1416" i="18"/>
  <c r="D132" i="18"/>
  <c r="D1438" i="18"/>
  <c r="D1473" i="18"/>
  <c r="D554" i="18"/>
  <c r="D614" i="18"/>
  <c r="D460" i="18"/>
  <c r="D283" i="18"/>
  <c r="D1777" i="18"/>
  <c r="D293" i="18"/>
  <c r="D1975" i="18"/>
  <c r="D1882" i="18"/>
  <c r="D949" i="18"/>
  <c r="D2639" i="18"/>
  <c r="D2658" i="18"/>
  <c r="D921" i="18"/>
  <c r="D1869" i="18"/>
  <c r="D2648" i="18"/>
  <c r="D674" i="18"/>
  <c r="D2346" i="18"/>
  <c r="D2711" i="18"/>
  <c r="D1698" i="18"/>
  <c r="D2250" i="18"/>
  <c r="D1310" i="18"/>
  <c r="D478" i="18"/>
  <c r="D369" i="18"/>
  <c r="D1112" i="18"/>
  <c r="D1629" i="18"/>
  <c r="D545" i="18"/>
  <c r="D2569" i="18"/>
  <c r="D418" i="18"/>
  <c r="D736" i="18"/>
  <c r="D1367" i="18"/>
  <c r="D2126" i="18"/>
  <c r="D2618" i="18"/>
  <c r="D35" i="18"/>
  <c r="D2014" i="18"/>
  <c r="D1021" i="18"/>
  <c r="D1393" i="18"/>
  <c r="D1912" i="18"/>
  <c r="D2045" i="18"/>
  <c r="D811" i="18"/>
  <c r="D2740" i="18"/>
  <c r="D254" i="18"/>
  <c r="D366" i="18"/>
  <c r="D2725" i="18"/>
  <c r="D2736" i="18"/>
  <c r="D2731" i="18"/>
  <c r="D2370" i="18"/>
  <c r="D743" i="18"/>
  <c r="D13" i="18"/>
  <c r="D363" i="18"/>
  <c r="D859" i="18"/>
  <c r="D552" i="18"/>
  <c r="D758" i="18"/>
  <c r="D219" i="18"/>
  <c r="D79" i="18"/>
  <c r="D2670" i="18"/>
  <c r="D1270" i="18"/>
  <c r="D2379" i="18"/>
  <c r="D1300" i="18"/>
  <c r="D571" i="18"/>
  <c r="D2068" i="18"/>
  <c r="D941" i="18"/>
  <c r="D522" i="18"/>
  <c r="D1462" i="18"/>
  <c r="D348" i="18"/>
  <c r="D1149" i="18"/>
  <c r="D839" i="18"/>
  <c r="D1126" i="18"/>
  <c r="D1335" i="18"/>
  <c r="D255" i="18"/>
  <c r="D2545" i="18"/>
  <c r="D2226" i="18"/>
  <c r="D2412" i="18"/>
  <c r="D2530" i="18"/>
  <c r="D2363" i="18"/>
  <c r="D102" i="18"/>
  <c r="D164" i="18"/>
  <c r="D1234" i="18"/>
  <c r="D2147" i="18"/>
  <c r="D1652" i="18"/>
  <c r="D767" i="18"/>
  <c r="D85" i="18"/>
  <c r="D1546" i="18"/>
  <c r="D2344" i="18"/>
  <c r="D2686" i="18"/>
  <c r="D2035" i="18"/>
  <c r="D2543" i="18"/>
  <c r="D1666" i="18"/>
  <c r="D126" i="18"/>
  <c r="D2433" i="18"/>
  <c r="D1879" i="18"/>
  <c r="D711" i="18"/>
  <c r="D2590" i="18"/>
  <c r="D275" i="18"/>
  <c r="D384" i="18"/>
  <c r="D2475" i="18"/>
  <c r="D149" i="18"/>
  <c r="D311" i="18"/>
  <c r="D2636" i="18"/>
  <c r="D2744" i="18"/>
  <c r="D1484" i="18"/>
  <c r="D1801" i="18"/>
  <c r="D1058" i="18"/>
  <c r="D1054" i="18"/>
  <c r="D1444" i="18"/>
  <c r="D245" i="18"/>
  <c r="D2046" i="18"/>
  <c r="D2632" i="18"/>
  <c r="D2668" i="18"/>
  <c r="D2359" i="18"/>
  <c r="D1517" i="18"/>
  <c r="D775" i="18"/>
  <c r="D2524" i="18"/>
  <c r="D2189" i="18"/>
  <c r="D659" i="18"/>
  <c r="D1766" i="18"/>
  <c r="D2646" i="18"/>
  <c r="D92" i="18"/>
  <c r="D1013" i="18"/>
  <c r="D1716" i="18"/>
  <c r="D55" i="18"/>
  <c r="D1329" i="18"/>
  <c r="D223" i="18"/>
  <c r="D2705" i="18"/>
  <c r="D2164" i="18"/>
  <c r="D1606" i="18"/>
  <c r="D76" i="18"/>
  <c r="D769" i="18"/>
  <c r="D2214" i="18"/>
  <c r="D66" i="18"/>
  <c r="D557" i="18"/>
  <c r="D1749" i="18"/>
  <c r="D340" i="18"/>
  <c r="D2289" i="18"/>
  <c r="D341" i="18"/>
  <c r="D1563" i="18"/>
  <c r="D346" i="18"/>
  <c r="D489" i="18"/>
  <c r="D1505" i="18"/>
  <c r="D1772" i="18"/>
  <c r="D199" i="18"/>
  <c r="D1552" i="18"/>
  <c r="D485" i="18"/>
  <c r="D1305" i="18"/>
  <c r="D145" i="18"/>
  <c r="D117" i="18"/>
  <c r="D183" i="18"/>
  <c r="D1520" i="18"/>
  <c r="D236" i="18"/>
  <c r="D457" i="18"/>
  <c r="D843" i="18"/>
  <c r="D884" i="18"/>
  <c r="D1650" i="18"/>
  <c r="D2435" i="18"/>
  <c r="D1590" i="18"/>
  <c r="D1023" i="18"/>
  <c r="D180" i="18"/>
  <c r="D798" i="18"/>
  <c r="D1186" i="18"/>
  <c r="D2431" i="18"/>
  <c r="D2716" i="18"/>
  <c r="D1303" i="18"/>
  <c r="D870" i="18"/>
  <c r="D1816" i="18"/>
  <c r="D1807" i="18"/>
  <c r="D1253" i="18"/>
  <c r="D298" i="18"/>
  <c r="D416" i="18"/>
  <c r="D1916" i="18"/>
  <c r="D1474" i="18"/>
  <c r="D2139" i="18"/>
  <c r="D1070" i="18"/>
  <c r="D464" i="18"/>
  <c r="D1532" i="18"/>
  <c r="D1587" i="18"/>
  <c r="D1745" i="18"/>
  <c r="D1180" i="18"/>
  <c r="D2365" i="18"/>
  <c r="D2565" i="18"/>
  <c r="D1622" i="18"/>
  <c r="D216" i="18"/>
  <c r="D2276" i="18"/>
  <c r="D146" i="18"/>
  <c r="D2267" i="18"/>
  <c r="D491" i="18"/>
  <c r="D702" i="18"/>
  <c r="D110" i="18"/>
  <c r="D2737" i="18"/>
  <c r="D2184" i="18"/>
  <c r="D2357" i="18"/>
  <c r="D565" i="18"/>
  <c r="D1732" i="18"/>
  <c r="D824" i="18"/>
  <c r="D2586" i="18"/>
  <c r="D715" i="18"/>
  <c r="D2506" i="18"/>
  <c r="D2244" i="18"/>
  <c r="D2062" i="18"/>
  <c r="D1027" i="18"/>
  <c r="D789" i="18"/>
  <c r="D1822" i="18"/>
  <c r="D2607" i="18"/>
  <c r="D2477" i="18"/>
  <c r="D699" i="18"/>
  <c r="D2083" i="18"/>
  <c r="D2484" i="18"/>
  <c r="D728" i="18"/>
  <c r="D277" i="18"/>
  <c r="D303" i="18"/>
  <c r="D2019" i="18"/>
  <c r="D1103" i="18"/>
  <c r="D476" i="18"/>
  <c r="D2626" i="18"/>
  <c r="D1904" i="18"/>
  <c r="D2375" i="18"/>
  <c r="D1169" i="18"/>
  <c r="D1632" i="18"/>
  <c r="D631" i="18"/>
  <c r="D1285" i="18"/>
  <c r="D1805" i="18"/>
  <c r="D838" i="18"/>
  <c r="D1576" i="18"/>
  <c r="D1093" i="18"/>
  <c r="D1610" i="18"/>
  <c r="D945" i="18"/>
  <c r="D946" i="18"/>
  <c r="D398" i="18"/>
  <c r="D1938" i="18"/>
  <c r="D394" i="18"/>
  <c r="D1236" i="18"/>
  <c r="D2395" i="18"/>
  <c r="D793" i="18"/>
  <c r="D1297" i="18"/>
  <c r="D204" i="18"/>
  <c r="D1817" i="18"/>
  <c r="D1348" i="18"/>
  <c r="D2512" i="18"/>
  <c r="D1129" i="18"/>
  <c r="D2235" i="18"/>
  <c r="D2094" i="18"/>
  <c r="D2593" i="18"/>
  <c r="D802" i="18"/>
  <c r="D1529" i="18"/>
  <c r="D1608" i="18"/>
  <c r="D1092" i="18"/>
  <c r="D2260" i="18"/>
  <c r="D1618" i="18"/>
  <c r="D229" i="18"/>
  <c r="D1158" i="18"/>
  <c r="D1542" i="18"/>
  <c r="D1813" i="18"/>
  <c r="D2444" i="18"/>
  <c r="D1833" i="18"/>
  <c r="D1937" i="18"/>
  <c r="D1594" i="18"/>
  <c r="D2291" i="18"/>
  <c r="D1280" i="18"/>
  <c r="D1959" i="18"/>
  <c r="D2034" i="18"/>
  <c r="D2120" i="18"/>
  <c r="D1659" i="18"/>
  <c r="D1417" i="18"/>
  <c r="D669" i="18"/>
  <c r="D1142" i="18"/>
  <c r="D2678" i="18"/>
  <c r="D2649" i="18"/>
  <c r="D1408" i="18"/>
  <c r="D807" i="18"/>
  <c r="D2369" i="18"/>
  <c r="D2401" i="18"/>
  <c r="D318" i="18"/>
  <c r="D2327" i="18"/>
  <c r="D1099" i="18"/>
  <c r="D2350" i="18"/>
  <c r="D286" i="18"/>
  <c r="D1549" i="18"/>
  <c r="D1355" i="18"/>
  <c r="D1119" i="18"/>
  <c r="D329" i="18"/>
  <c r="D1779" i="18"/>
  <c r="D1962" i="18"/>
  <c r="D1697" i="18"/>
  <c r="D1014" i="18"/>
  <c r="D761" i="18"/>
  <c r="D739" i="18"/>
  <c r="D1785" i="18"/>
  <c r="D1661" i="18"/>
  <c r="D2114" i="18"/>
  <c r="D2682" i="18"/>
  <c r="D240" i="18"/>
  <c r="D1002" i="18"/>
  <c r="D108" i="18"/>
  <c r="D1271" i="18"/>
  <c r="D1705" i="18"/>
  <c r="D1414" i="18"/>
  <c r="D539" i="18"/>
  <c r="D1653" i="18"/>
  <c r="D1638" i="18"/>
  <c r="D2004" i="18"/>
  <c r="D2536" i="18"/>
  <c r="D2273" i="18"/>
  <c r="D116" i="18"/>
  <c r="D184" i="18"/>
  <c r="D2113" i="18"/>
  <c r="D1689" i="18"/>
  <c r="D2096" i="18"/>
  <c r="D1315" i="18"/>
  <c r="D2510" i="18"/>
  <c r="D1451" i="18"/>
  <c r="D917" i="18"/>
  <c r="D2246" i="18"/>
  <c r="D1871" i="18"/>
  <c r="D993" i="18"/>
  <c r="D1188" i="18"/>
  <c r="D537" i="18"/>
  <c r="D1454" i="18"/>
  <c r="D2202" i="18"/>
  <c r="D2275" i="18"/>
  <c r="D372" i="18"/>
  <c r="D902" i="18"/>
  <c r="D482" i="18"/>
  <c r="D1062" i="18"/>
  <c r="D2434" i="18"/>
  <c r="D550" i="18"/>
  <c r="D417" i="18"/>
  <c r="D1110" i="18"/>
  <c r="D1318" i="18"/>
  <c r="D1016" i="18"/>
  <c r="D1598" i="18"/>
  <c r="D965" i="18"/>
  <c r="D1366" i="18"/>
  <c r="D510" i="18"/>
  <c r="D344" i="18"/>
  <c r="D582" i="18"/>
  <c r="D1146" i="18"/>
  <c r="D760" i="18"/>
  <c r="D1194" i="18"/>
  <c r="D87" i="18"/>
  <c r="D1769" i="18"/>
  <c r="D1509" i="18"/>
  <c r="D1337" i="18"/>
  <c r="D2343" i="18"/>
  <c r="D1101" i="18"/>
  <c r="D2077" i="18"/>
  <c r="D1296" i="18"/>
  <c r="D690" i="18"/>
  <c r="D1900" i="18"/>
  <c r="D696" i="18"/>
  <c r="D1196" i="18"/>
  <c r="D1201" i="18"/>
  <c r="D1084" i="18"/>
  <c r="D319" i="18"/>
  <c r="D514" i="18"/>
  <c r="D1336" i="18"/>
  <c r="D2284" i="18"/>
  <c r="D1193" i="18"/>
  <c r="D978" i="18"/>
  <c r="D1920" i="18"/>
  <c r="D1680" i="18"/>
  <c r="D903" i="18"/>
  <c r="D251" i="18"/>
  <c r="D1148" i="18"/>
  <c r="D787" i="18"/>
  <c r="D691" i="18"/>
  <c r="D1729" i="18"/>
  <c r="D1170" i="18"/>
  <c r="D1461" i="18"/>
  <c r="D2557" i="18"/>
  <c r="D509" i="18"/>
  <c r="D1131" i="18"/>
  <c r="D956" i="18"/>
  <c r="D626" i="18"/>
  <c r="D504" i="18"/>
  <c r="D1763" i="18"/>
  <c r="D1770" i="18"/>
  <c r="D733" i="18"/>
  <c r="D750" i="18"/>
  <c r="D2397" i="18"/>
  <c r="D1648" i="18"/>
  <c r="D455" i="18"/>
  <c r="D991" i="18"/>
  <c r="D1693" i="18"/>
  <c r="D619" i="18"/>
  <c r="D546" i="18"/>
  <c r="D316" i="18"/>
  <c r="D1319" i="18"/>
  <c r="D1154" i="18"/>
  <c r="D1611" i="18"/>
  <c r="D799" i="18"/>
  <c r="D2723" i="18"/>
  <c r="D1944" i="18"/>
  <c r="D1720" i="18"/>
  <c r="D397" i="18"/>
  <c r="D1903" i="18"/>
  <c r="D2092" i="18"/>
  <c r="D1011" i="18"/>
  <c r="D2231" i="18"/>
  <c r="D1361" i="18"/>
  <c r="D1197" i="18"/>
  <c r="D1399" i="18"/>
  <c r="D1976" i="18"/>
  <c r="D2661" i="18"/>
  <c r="D2456" i="18"/>
  <c r="D966" i="18"/>
  <c r="D1690" i="18"/>
  <c r="D1839" i="18"/>
  <c r="D2030" i="18"/>
  <c r="D782" i="18"/>
  <c r="D1752" i="18"/>
  <c r="D1780" i="18"/>
  <c r="D280" i="18"/>
  <c r="D613" i="18"/>
  <c r="D1436" i="18"/>
  <c r="D670" i="18"/>
  <c r="D1350" i="18"/>
  <c r="D2109" i="18"/>
  <c r="D1036" i="18"/>
  <c r="D2015" i="18"/>
  <c r="D1579" i="18"/>
  <c r="D1722" i="18"/>
  <c r="D768" i="18"/>
  <c r="D1478" i="18"/>
  <c r="D931" i="18"/>
  <c r="D1526" i="18"/>
  <c r="D940" i="18"/>
  <c r="D2306" i="18"/>
  <c r="D2286" i="18"/>
  <c r="D1073" i="18"/>
  <c r="D1307" i="18"/>
  <c r="D548" i="18"/>
  <c r="D906" i="18"/>
  <c r="D377" i="18"/>
  <c r="D1981" i="18"/>
  <c r="D1203" i="18"/>
  <c r="D2718" i="18"/>
  <c r="D1085" i="18"/>
  <c r="D1258" i="18"/>
  <c r="D1428" i="18"/>
  <c r="D528" i="18"/>
  <c r="D1747" i="18"/>
  <c r="D2392" i="18"/>
  <c r="D1422" i="18"/>
  <c r="D1047" i="18"/>
  <c r="D1550" i="18"/>
  <c r="D1847" i="18"/>
  <c r="D2422" i="18"/>
  <c r="D1163" i="18"/>
  <c r="D2040" i="18"/>
  <c r="D1374" i="18"/>
  <c r="D1389" i="18"/>
  <c r="D2263" i="18"/>
  <c r="D1471" i="18"/>
  <c r="D2704" i="18"/>
  <c r="D1043" i="18"/>
  <c r="D1034" i="18"/>
  <c r="D617" i="18"/>
  <c r="D2576" i="18"/>
  <c r="D730" i="18"/>
  <c r="D830" i="18"/>
  <c r="D287" i="18"/>
  <c r="D1256" i="18"/>
  <c r="D238" i="18"/>
  <c r="D1663" i="18"/>
  <c r="D1701" i="18"/>
  <c r="D1278" i="18"/>
  <c r="D553" i="18"/>
  <c r="D868" i="18"/>
  <c r="D380" i="18"/>
  <c r="D2307" i="18"/>
  <c r="D1498" i="18"/>
  <c r="D1472" i="18"/>
  <c r="D1728" i="18"/>
  <c r="D1269" i="18"/>
  <c r="D847" i="18"/>
  <c r="D1204" i="18"/>
  <c r="D2351" i="18"/>
  <c r="D159" i="18"/>
  <c r="D717" i="18"/>
  <c r="D648" i="18"/>
  <c r="D695" i="18"/>
  <c r="D1311" i="18"/>
  <c r="D2070" i="18"/>
  <c r="D1545" i="18"/>
  <c r="D1614" i="18"/>
  <c r="D855" i="18"/>
  <c r="D1192" i="18"/>
  <c r="D261" i="18"/>
  <c r="D1019" i="18"/>
  <c r="D1276" i="18"/>
  <c r="D2352" i="18"/>
  <c r="D1020" i="18"/>
  <c r="D588" i="18"/>
  <c r="D426" i="18"/>
  <c r="D961" i="18"/>
  <c r="D1585" i="18"/>
  <c r="D585" i="18"/>
  <c r="D1570" i="18"/>
  <c r="D1923" i="18"/>
  <c r="D1970" i="18"/>
  <c r="D909" i="18"/>
  <c r="D2173" i="18"/>
  <c r="D2507" i="18"/>
  <c r="D2207" i="18"/>
  <c r="D817" i="18"/>
  <c r="D1699" i="18"/>
  <c r="D1489" i="18"/>
  <c r="D1589" i="18"/>
  <c r="D1012" i="18"/>
  <c r="D2464" i="18"/>
  <c r="D2650" i="18"/>
  <c r="D1373" i="18"/>
  <c r="D2085" i="18"/>
  <c r="D2685" i="18"/>
  <c r="D2328" i="18"/>
  <c r="D2556" i="18"/>
  <c r="D300" i="18"/>
  <c r="D2063" i="18"/>
  <c r="D1323" i="18"/>
  <c r="D2390" i="18"/>
  <c r="D1097" i="18"/>
  <c r="D2105" i="18"/>
  <c r="D687" i="18"/>
  <c r="D388" i="18"/>
  <c r="D2526" i="18"/>
  <c r="D705" i="18"/>
  <c r="D1351" i="18"/>
  <c r="D901" i="18"/>
  <c r="D1202" i="18"/>
  <c r="D414" i="18"/>
  <c r="D1819" i="18"/>
  <c r="D1673" i="18"/>
  <c r="D1042" i="18"/>
  <c r="D1800" i="18"/>
  <c r="D846" i="18"/>
  <c r="D2338" i="18"/>
  <c r="D2719" i="18"/>
  <c r="D1334" i="18"/>
  <c r="D2656" i="18"/>
  <c r="D447" i="18"/>
  <c r="D668" i="18"/>
  <c r="D876" i="18"/>
  <c r="D1978" i="18"/>
  <c r="D1866" i="18"/>
  <c r="D1098" i="18"/>
  <c r="D392" i="18"/>
  <c r="D1125" i="18"/>
  <c r="D1347" i="18"/>
  <c r="D2076" i="18"/>
  <c r="D494" i="18"/>
  <c r="D2053" i="18"/>
  <c r="D2297" i="18"/>
  <c r="D2326" i="18"/>
  <c r="D1182" i="18"/>
  <c r="D1356" i="18"/>
  <c r="D530" i="18"/>
  <c r="D2049" i="18"/>
  <c r="D1409" i="18"/>
  <c r="D851" i="18"/>
  <c r="D452" i="18"/>
  <c r="D1543" i="18"/>
  <c r="D1450" i="18"/>
  <c r="D333" i="18"/>
  <c r="D2317" i="18"/>
  <c r="D1238" i="18"/>
  <c r="D2152" i="18"/>
  <c r="D477" i="18"/>
  <c r="D2471" i="18"/>
  <c r="D1895" i="18"/>
  <c r="D1956" i="18"/>
  <c r="D2239" i="18"/>
  <c r="D1312" i="18"/>
  <c r="D357" i="18"/>
  <c r="D581" i="18"/>
  <c r="D1828" i="18"/>
  <c r="D1273" i="18"/>
  <c r="D1289" i="18"/>
  <c r="D632" i="18"/>
  <c r="D1227" i="18"/>
  <c r="D53" i="18"/>
  <c r="D2558" i="18"/>
  <c r="D1314" i="18"/>
  <c r="D2206" i="18"/>
  <c r="D2663" i="18"/>
  <c r="D2735" i="18"/>
  <c r="D137" i="18"/>
  <c r="D24" i="18"/>
  <c r="D1857" i="18"/>
  <c r="D2579" i="18"/>
  <c r="D1328" i="18"/>
  <c r="D1504" i="18"/>
  <c r="D1173" i="18"/>
  <c r="D453" i="18"/>
  <c r="D518" i="18"/>
  <c r="D936" i="18"/>
  <c r="D2264" i="18"/>
  <c r="D1292" i="18"/>
  <c r="D500" i="18"/>
  <c r="D1535" i="18"/>
  <c r="D2172" i="18"/>
  <c r="D1955" i="18"/>
  <c r="D1616" i="18"/>
  <c r="D2039" i="18"/>
  <c r="D59" i="18"/>
  <c r="D2577" i="18"/>
  <c r="D620" i="18"/>
  <c r="D1241" i="18"/>
  <c r="D1682" i="18"/>
  <c r="D1359" i="18"/>
  <c r="D1304" i="18"/>
  <c r="D1038" i="18"/>
  <c r="D1386" i="18"/>
  <c r="D2308" i="18"/>
  <c r="D519" i="18"/>
  <c r="D2323" i="18"/>
  <c r="D1272" i="18"/>
  <c r="D2330" i="18"/>
  <c r="D1421" i="18"/>
  <c r="D658" i="18"/>
  <c r="D335" i="18"/>
  <c r="D801" i="18"/>
  <c r="D1644" i="18"/>
  <c r="D1709" i="18"/>
  <c r="D963" i="18"/>
  <c r="D1657" i="18"/>
  <c r="D2182" i="18"/>
  <c r="D1325" i="18"/>
  <c r="D84" i="18"/>
  <c r="D784" i="18"/>
  <c r="D2261" i="18"/>
  <c r="D2495" i="18"/>
  <c r="D1052" i="18"/>
  <c r="D1850" i="18"/>
  <c r="D984" i="18"/>
  <c r="D1635" i="18"/>
  <c r="D2408" i="18"/>
  <c r="D872" i="18"/>
  <c r="D1934" i="18"/>
  <c r="D167" i="18"/>
  <c r="D1132" i="18"/>
  <c r="D328" i="18"/>
  <c r="D125" i="18"/>
  <c r="D1000" i="18"/>
  <c r="D1378" i="18"/>
  <c r="D1641" i="18"/>
  <c r="D1306" i="18"/>
  <c r="D1494" i="18"/>
  <c r="D2683" i="18"/>
  <c r="D436" i="18"/>
  <c r="D1324" i="18"/>
  <c r="D2241" i="18"/>
  <c r="D1166" i="18"/>
  <c r="D752" i="18"/>
  <c r="D651" i="18"/>
  <c r="D744" i="18"/>
  <c r="D313" i="18"/>
  <c r="D579" i="18"/>
  <c r="D2221" i="18"/>
  <c r="D891" i="18"/>
  <c r="D1567" i="18"/>
  <c r="D2310" i="18"/>
  <c r="D1760" i="18"/>
  <c r="D562" i="18"/>
  <c r="D808" i="18"/>
  <c r="D1477" i="18"/>
  <c r="D156" i="18"/>
  <c r="D1229" i="18"/>
  <c r="D586" i="18"/>
  <c r="D1216" i="18"/>
  <c r="D976" i="18"/>
  <c r="D201" i="18"/>
  <c r="D1140" i="18"/>
  <c r="D1874" i="18"/>
  <c r="D1795" i="18"/>
  <c r="D2088" i="18"/>
  <c r="D2385" i="18"/>
  <c r="D755" i="18"/>
  <c r="D1105" i="18"/>
  <c r="D2141" i="18"/>
  <c r="D2227" i="18"/>
  <c r="D1434" i="18"/>
  <c r="D654" i="18"/>
  <c r="D270" i="18"/>
  <c r="D990" i="18"/>
  <c r="D2514" i="18"/>
  <c r="D2710" i="18"/>
  <c r="D2655" i="18"/>
  <c r="D1751" i="18"/>
  <c r="D746" i="18"/>
  <c r="D1734" i="18"/>
  <c r="D1974" i="18"/>
  <c r="D2270" i="18"/>
  <c r="D1130" i="18"/>
  <c r="D598" i="18"/>
  <c r="D1235" i="18"/>
  <c r="D2180" i="18"/>
  <c r="D2559" i="18"/>
  <c r="D259" i="18"/>
  <c r="D2378" i="18"/>
  <c r="D1845" i="18"/>
  <c r="D2080" i="18"/>
  <c r="D1726" i="18"/>
  <c r="D432" i="18"/>
  <c r="D1708" i="18"/>
  <c r="D1030" i="18"/>
  <c r="D2608" i="18"/>
  <c r="D1524" i="18"/>
  <c r="D2032" i="18"/>
  <c r="D2234" i="18"/>
  <c r="D636" i="18"/>
  <c r="D2575" i="18"/>
  <c r="D2674" i="18"/>
  <c r="D2745" i="18"/>
  <c r="D2629" i="18"/>
  <c r="D1848" i="18"/>
  <c r="D933" i="18"/>
  <c r="D1396" i="18"/>
  <c r="D1413" i="18"/>
  <c r="D2578" i="18"/>
  <c r="D213" i="18"/>
  <c r="D1933" i="18"/>
  <c r="D248" i="18"/>
  <c r="D2074" i="18"/>
  <c r="D2420" i="18"/>
  <c r="D354" i="18"/>
  <c r="D1387" i="18"/>
  <c r="D1906" i="18"/>
  <c r="D1952" i="18"/>
  <c r="D1640" i="18"/>
  <c r="D2161" i="18"/>
  <c r="D2494" i="18"/>
  <c r="D1495" i="18"/>
  <c r="D506" i="18"/>
  <c r="D2418" i="18"/>
  <c r="D714" i="18"/>
  <c r="D1613" i="18"/>
  <c r="D2518" i="18"/>
  <c r="D2104" i="18"/>
  <c r="D2613" i="18"/>
  <c r="D1942" i="18"/>
  <c r="D1548" i="18"/>
  <c r="D1120" i="18"/>
  <c r="D2192" i="18"/>
  <c r="D623" i="18"/>
  <c r="D806" i="18"/>
  <c r="D1507" i="18"/>
  <c r="D672" i="18"/>
  <c r="D304" i="18"/>
  <c r="D1695" i="18"/>
  <c r="D2681" i="18"/>
  <c r="D427" i="18"/>
  <c r="D342" i="18"/>
  <c r="D997" i="18"/>
  <c r="D2414" i="18"/>
  <c r="D2667" i="18"/>
  <c r="D1502" i="18"/>
  <c r="D1893" i="18"/>
  <c r="D1991" i="18"/>
  <c r="D224" i="18"/>
  <c r="D829" i="18"/>
  <c r="D2178" i="18"/>
  <c r="D1349" i="18"/>
  <c r="D618" i="18"/>
  <c r="D2071" i="18"/>
  <c r="D1794" i="18"/>
  <c r="D1793" i="18"/>
  <c r="D2331" i="18"/>
  <c r="D449" i="18"/>
  <c r="D124" i="18"/>
  <c r="D190" i="18"/>
  <c r="D2644" i="18"/>
  <c r="D138" i="18"/>
  <c r="D2684" i="18"/>
  <c r="D1867" i="18"/>
  <c r="D1339" i="18"/>
  <c r="D1541" i="18"/>
  <c r="D2407" i="18"/>
  <c r="D1768" i="18"/>
  <c r="D1157" i="18"/>
  <c r="D1668" i="18"/>
  <c r="D512" i="18"/>
  <c r="D2134" i="18"/>
  <c r="D1199" i="18"/>
  <c r="D992" i="18"/>
  <c r="D1094" i="18"/>
  <c r="D1798" i="18"/>
  <c r="D2337" i="18"/>
  <c r="D1883" i="18"/>
  <c r="D2212" i="18"/>
  <c r="D2195" i="18"/>
  <c r="D2400" i="18"/>
  <c r="D331" i="18"/>
  <c r="D26" i="18"/>
  <c r="D1447" i="18"/>
  <c r="D907" i="18"/>
  <c r="D953" i="18"/>
  <c r="D2466" i="18"/>
  <c r="D2301" i="18"/>
  <c r="D1686" i="18"/>
  <c r="D168" i="18"/>
  <c r="D1222" i="18"/>
  <c r="D1181" i="18"/>
  <c r="D831" i="18"/>
  <c r="D665" i="18"/>
  <c r="D1156" i="18"/>
  <c r="D1787" i="18"/>
  <c r="D615" i="18"/>
  <c r="D1080" i="18"/>
  <c r="D2230" i="18"/>
  <c r="D1836" i="18"/>
  <c r="D268" i="18"/>
  <c r="D1248" i="18"/>
  <c r="D1665" i="18"/>
  <c r="D188" i="18"/>
  <c r="D780" i="18"/>
  <c r="D2160" i="18"/>
  <c r="D837" i="18"/>
  <c r="D326" i="18"/>
  <c r="D1162" i="18"/>
  <c r="D2169" i="18"/>
  <c r="D1573" i="18"/>
  <c r="D1059" i="18"/>
  <c r="D526" i="18"/>
  <c r="D2470" i="18"/>
  <c r="D440" i="18"/>
  <c r="D1539" i="18"/>
  <c r="D2026" i="18"/>
  <c r="D2186" i="18"/>
  <c r="D381" i="18"/>
  <c r="D2446" i="18"/>
  <c r="D2715" i="18"/>
  <c r="D2217" i="18"/>
  <c r="D1056" i="18"/>
  <c r="D154" i="18"/>
  <c r="D2436" i="18"/>
  <c r="D2562" i="18"/>
  <c r="D226" i="18"/>
  <c r="D559" i="18"/>
  <c r="D2106" i="18"/>
  <c r="D2396" i="18"/>
  <c r="D1106" i="18"/>
  <c r="D1654" i="18"/>
  <c r="D764" i="18"/>
  <c r="D779" i="18"/>
  <c r="D1291" i="18"/>
  <c r="D2333" i="18"/>
  <c r="D2025" i="18"/>
  <c r="D2527" i="18"/>
  <c r="D1135" i="18"/>
  <c r="D1914" i="18"/>
  <c r="D1664" i="18"/>
  <c r="D1881" i="18"/>
  <c r="D1127" i="18"/>
  <c r="D1363" i="18"/>
  <c r="D1995" i="18"/>
  <c r="D1655" i="18"/>
  <c r="D1217" i="18"/>
  <c r="D1741" i="18"/>
  <c r="D339" i="18"/>
  <c r="D591" i="18"/>
  <c r="D964" i="18"/>
  <c r="D1717" i="18"/>
  <c r="D895" i="18"/>
  <c r="D2107" i="18"/>
  <c r="D974" i="18"/>
  <c r="D1123" i="18"/>
  <c r="D1108" i="18"/>
  <c r="D58" i="18"/>
  <c r="D2183" i="18"/>
  <c r="D475" i="18"/>
  <c r="D187" i="18"/>
  <c r="D1037" i="18"/>
  <c r="D1581" i="18"/>
  <c r="D630" i="18"/>
  <c r="D307" i="18"/>
  <c r="D1138" i="18"/>
  <c r="D2553" i="18"/>
  <c r="D1911" i="18"/>
  <c r="D2393" i="18"/>
  <c r="D1972" i="18"/>
  <c r="D800" i="18"/>
  <c r="D1692" i="18"/>
  <c r="D2007" i="18"/>
  <c r="D1924" i="18"/>
  <c r="D1856" i="18"/>
  <c r="D862" i="18"/>
  <c r="D2292" i="18"/>
  <c r="D2036" i="18"/>
  <c r="D569" i="18"/>
  <c r="D235" i="18"/>
  <c r="D1028" i="18"/>
  <c r="D2078" i="18"/>
  <c r="D284" i="18"/>
  <c r="D693" i="18"/>
  <c r="D1994" i="18"/>
  <c r="D185" i="18"/>
  <c r="D777" i="18"/>
  <c r="D2391" i="18"/>
  <c r="D751" i="18"/>
  <c r="D1948" i="18"/>
  <c r="D607" i="18"/>
  <c r="D595" i="18"/>
  <c r="D170" i="18"/>
  <c r="D1738" i="18"/>
  <c r="D1789" i="18"/>
  <c r="D1634" i="18"/>
  <c r="D2596" i="18"/>
  <c r="D2044" i="18"/>
  <c r="D1607" i="18"/>
  <c r="D1313" i="18"/>
  <c r="D262" i="18"/>
  <c r="D222" i="18"/>
  <c r="D2325" i="18"/>
  <c r="D919" i="18"/>
  <c r="D878" i="18"/>
  <c r="D1209" i="18"/>
  <c r="D2546" i="18"/>
  <c r="D1211" i="18"/>
  <c r="D1139" i="18"/>
  <c r="D879" i="18"/>
  <c r="D1831" i="18"/>
  <c r="D2496" i="18"/>
  <c r="D2116" i="18"/>
  <c r="D954" i="18"/>
  <c r="D2013" i="18"/>
  <c r="D1116" i="18"/>
  <c r="D1718" i="18"/>
  <c r="D2280" i="18"/>
  <c r="D1448" i="18"/>
  <c r="D2633" i="18"/>
  <c r="D2568" i="18"/>
  <c r="D1391" i="18"/>
  <c r="D1432" i="18"/>
  <c r="D1401" i="18"/>
  <c r="D920" i="18"/>
  <c r="D1223" i="18"/>
  <c r="D1496" i="18"/>
  <c r="D2377" i="18"/>
  <c r="D835" i="18"/>
  <c r="D1249" i="18"/>
  <c r="D1441" i="18"/>
  <c r="D2409" i="18"/>
  <c r="D113" i="18"/>
  <c r="D395" i="18"/>
  <c r="D38" i="18"/>
  <c r="D1089" i="18"/>
  <c r="D1940" i="18"/>
  <c r="D1536" i="18"/>
  <c r="D1488" i="18"/>
  <c r="D821" i="18"/>
  <c r="D1754" i="18"/>
  <c r="D325" i="18"/>
  <c r="D1932" i="18"/>
  <c r="D1854" i="18"/>
  <c r="D1553" i="18"/>
  <c r="D2224" i="18"/>
  <c r="D31" i="18"/>
  <c r="D888" i="18"/>
  <c r="D330" i="18"/>
  <c r="D1288" i="18"/>
  <c r="D33" i="18"/>
  <c r="D43" i="18"/>
  <c r="D679" i="18"/>
  <c r="D2054" i="18"/>
  <c r="D732" i="18"/>
  <c r="D1737" i="18"/>
  <c r="D2228" i="18"/>
  <c r="D853" i="18"/>
  <c r="D1357" i="18"/>
  <c r="D1475" i="18"/>
  <c r="D939" i="18"/>
  <c r="D1294" i="18"/>
  <c r="D1404" i="18"/>
  <c r="D1888" i="18"/>
  <c r="D90" i="18"/>
  <c r="D1443" i="18"/>
  <c r="D1372" i="18"/>
  <c r="D1121" i="18"/>
  <c r="D2455" i="18"/>
  <c r="D2726" i="18"/>
  <c r="D1198" i="18"/>
  <c r="D2135" i="18"/>
  <c r="D2018" i="18"/>
  <c r="D882" i="18"/>
  <c r="D1041" i="18"/>
  <c r="D1646" i="18"/>
  <c r="D2097" i="18"/>
  <c r="D558" i="18"/>
  <c r="D1044" i="18"/>
  <c r="D1326" i="18"/>
  <c r="D2005" i="18"/>
  <c r="D2427" i="18"/>
  <c r="D572" i="18"/>
  <c r="D1984" i="18"/>
  <c r="D645" i="18"/>
  <c r="D1928" i="18"/>
  <c r="D725" i="18"/>
  <c r="D364" i="18"/>
  <c r="D685" i="18"/>
  <c r="D2413" i="18"/>
  <c r="D1885" i="18"/>
  <c r="D390" i="18"/>
  <c r="D142" i="18"/>
  <c r="D1951" i="18"/>
  <c r="D2627" i="18"/>
  <c r="D2587" i="18"/>
  <c r="D1969" i="18"/>
  <c r="D2647" i="18"/>
  <c r="D1921" i="18"/>
  <c r="D347" i="18"/>
  <c r="D1214" i="18"/>
  <c r="D2696" i="18"/>
  <c r="D2721" i="18"/>
  <c r="D2698" i="18"/>
  <c r="D969" i="18"/>
  <c r="D2695" i="18"/>
  <c r="D209" i="18"/>
  <c r="D536" i="18"/>
  <c r="D493" i="18"/>
  <c r="D2150" i="18"/>
  <c r="D2405" i="18"/>
  <c r="D797" i="18"/>
  <c r="D2222" i="18"/>
  <c r="D1440" i="18"/>
  <c r="D874" i="18"/>
  <c r="D2499" i="18"/>
  <c r="D419" i="18"/>
  <c r="D370" i="18"/>
  <c r="D1630" i="18"/>
  <c r="D2453" i="18"/>
  <c r="D520" i="18"/>
  <c r="D1251" i="18"/>
  <c r="D1997" i="18"/>
  <c r="D944" i="18"/>
  <c r="D2075" i="18"/>
  <c r="D2038" i="18"/>
  <c r="D2690" i="18"/>
  <c r="D2181" i="18"/>
  <c r="D1165" i="18"/>
  <c r="D1985" i="18"/>
  <c r="D2631" i="18"/>
  <c r="D118" i="18"/>
  <c r="D2642" i="18"/>
  <c r="D1743" i="18"/>
  <c r="D2402" i="18"/>
  <c r="D590" i="18"/>
  <c r="D517" i="18"/>
  <c r="D513" i="18"/>
  <c r="D2712" i="18"/>
  <c r="D754" i="18"/>
  <c r="D2709" i="18"/>
  <c r="D22" i="18"/>
  <c r="D165" i="18"/>
  <c r="D2657" i="18"/>
  <c r="D2571" i="18"/>
  <c r="D91" i="18"/>
  <c r="D2615" i="18"/>
  <c r="D697" i="18"/>
  <c r="D1418" i="18"/>
  <c r="D27" i="18"/>
  <c r="D2110" i="18"/>
  <c r="D34" i="18"/>
  <c r="D1971" i="18"/>
  <c r="D101" i="18"/>
  <c r="D722" i="18"/>
  <c r="D625" i="18"/>
  <c r="D211" i="18"/>
  <c r="D531" i="18"/>
  <c r="D734" i="18"/>
  <c r="D2498" i="18"/>
  <c r="D2319" i="18"/>
  <c r="D1513" i="18"/>
  <c r="D2175" i="18"/>
  <c r="D1519" i="18"/>
  <c r="D1528" i="18"/>
  <c r="D1221" i="18"/>
  <c r="D2145" i="18"/>
  <c r="D50" i="18"/>
  <c r="D942" i="18"/>
  <c r="D150" i="18"/>
  <c r="D2382" i="18"/>
  <c r="D2595" i="18"/>
  <c r="D30" i="18"/>
  <c r="D1262" i="18"/>
  <c r="D1832" i="18"/>
  <c r="D1512" i="18"/>
  <c r="D1628" i="18"/>
  <c r="D1439" i="18"/>
  <c r="D1584" i="18"/>
  <c r="D305" i="18"/>
  <c r="D885" i="18"/>
  <c r="D1797" i="18"/>
  <c r="D444" i="18"/>
  <c r="D1410" i="18"/>
  <c r="D2542" i="18"/>
  <c r="D602" i="18"/>
  <c r="D1455" i="18"/>
  <c r="D1600" i="18"/>
  <c r="D643" i="18"/>
  <c r="D2355" i="18"/>
  <c r="D176" i="18"/>
  <c r="D1719" i="18"/>
  <c r="D2021" i="18"/>
  <c r="D217" i="18"/>
  <c r="D1687" i="18"/>
  <c r="D1174" i="18"/>
  <c r="D1531" i="18"/>
  <c r="D1025" i="18"/>
  <c r="D1943" i="18"/>
  <c r="D2620" i="18"/>
  <c r="D1316" i="18"/>
  <c r="D1167" i="18"/>
  <c r="D2003" i="18"/>
  <c r="D773" i="18"/>
  <c r="D2304" i="18"/>
  <c r="D49" i="18"/>
  <c r="Q9" i="17"/>
  <c r="O10" i="17"/>
  <c r="Q10" i="17"/>
  <c r="Q6" i="17"/>
  <c r="O6" i="17"/>
  <c r="E31" i="14"/>
  <c r="M3" i="20"/>
  <c r="L3" i="20"/>
  <c r="Q3" i="20"/>
  <c r="E4" i="5"/>
  <c r="P3" i="20"/>
  <c r="D39" i="5"/>
  <c r="G5" i="8"/>
  <c r="G6" i="8"/>
  <c r="G7" i="8"/>
  <c r="G8" i="8"/>
  <c r="G4" i="8"/>
  <c r="F4" i="8"/>
  <c r="D4" i="8"/>
  <c r="E4" i="8"/>
  <c r="O9" i="19"/>
  <c r="K3" i="20"/>
  <c r="M9" i="19"/>
  <c r="O3" i="20"/>
  <c r="R3" i="20"/>
  <c r="K9" i="19"/>
  <c r="J3" i="20"/>
  <c r="G9" i="19"/>
  <c r="E9" i="19"/>
  <c r="D9" i="19"/>
  <c r="H3" i="20"/>
  <c r="G3" i="20"/>
  <c r="F3" i="20"/>
  <c r="E3" i="20"/>
  <c r="D3" i="20"/>
  <c r="D33" i="5"/>
  <c r="J11" i="1"/>
  <c r="J12" i="1"/>
  <c r="J13" i="1"/>
  <c r="J14" i="1"/>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8" i="7"/>
  <c r="P7" i="17"/>
  <c r="Q7" i="17" s="1"/>
  <c r="N7" i="17"/>
  <c r="O7" i="17" s="1"/>
  <c r="N9" i="17"/>
  <c r="O9" i="17" s="1"/>
  <c r="P8" i="17"/>
  <c r="Q8" i="17" s="1"/>
  <c r="N8" i="17"/>
  <c r="O8" i="17" s="1"/>
  <c r="G101" i="25" l="1"/>
  <c r="G102" i="25" s="1"/>
  <c r="H83" i="25"/>
  <c r="C101" i="25"/>
  <c r="C102" i="25" s="1"/>
  <c r="F82" i="25"/>
  <c r="F77" i="25"/>
  <c r="D82" i="25"/>
  <c r="D77" i="25"/>
  <c r="E97" i="25"/>
  <c r="E101" i="25" s="1"/>
  <c r="E102" i="25" s="1"/>
  <c r="I97" i="25"/>
  <c r="I101" i="25" s="1"/>
  <c r="I102" i="25" s="1"/>
  <c r="H97" i="25"/>
  <c r="H101" i="25" s="1"/>
  <c r="H102" i="25" s="1"/>
  <c r="D99" i="21"/>
  <c r="D101" i="21" s="1"/>
  <c r="D95" i="21"/>
  <c r="H99" i="21"/>
  <c r="H101" i="21" s="1"/>
  <c r="H95" i="21"/>
  <c r="F99" i="21"/>
  <c r="F101" i="21" s="1"/>
  <c r="F95" i="21"/>
  <c r="H89" i="21"/>
  <c r="H108" i="21"/>
  <c r="F108" i="21"/>
  <c r="C106" i="21"/>
  <c r="F89" i="21"/>
  <c r="D108" i="21"/>
  <c r="G77" i="21"/>
  <c r="G89" i="21" s="1"/>
  <c r="G93" i="21"/>
  <c r="G95" i="21" s="1"/>
  <c r="C77" i="21"/>
  <c r="C89" i="21" s="1"/>
  <c r="C93" i="21"/>
  <c r="C95" i="21" s="1"/>
  <c r="D89" i="21"/>
  <c r="I77" i="21"/>
  <c r="I89" i="21" s="1"/>
  <c r="I93" i="21"/>
  <c r="I95" i="21" s="1"/>
  <c r="E77" i="21"/>
  <c r="E89" i="21" s="1"/>
  <c r="E93" i="21"/>
  <c r="E95" i="21" s="1"/>
  <c r="I106" i="21"/>
  <c r="H5" i="18"/>
  <c r="H7" i="18"/>
  <c r="H9" i="18"/>
  <c r="H11" i="18"/>
  <c r="H13" i="18"/>
  <c r="H15" i="18"/>
  <c r="H17" i="18"/>
  <c r="H19" i="18"/>
  <c r="H21" i="18"/>
  <c r="H23" i="18"/>
  <c r="H25" i="18"/>
  <c r="H27" i="18"/>
  <c r="H29" i="18"/>
  <c r="H31" i="18"/>
  <c r="H33" i="18"/>
  <c r="H35" i="18"/>
  <c r="H37" i="18"/>
  <c r="H39" i="18"/>
  <c r="H41" i="18"/>
  <c r="H43" i="18"/>
  <c r="H45" i="18"/>
  <c r="H47" i="18"/>
  <c r="H49" i="18"/>
  <c r="H51" i="18"/>
  <c r="H53" i="18"/>
  <c r="H55" i="18"/>
  <c r="H57" i="18"/>
  <c r="H59" i="18"/>
  <c r="H61" i="18"/>
  <c r="H63" i="18"/>
  <c r="H65" i="18"/>
  <c r="H67" i="18"/>
  <c r="H69" i="18"/>
  <c r="H71" i="18"/>
  <c r="H73" i="18"/>
  <c r="H75" i="18"/>
  <c r="H77" i="18"/>
  <c r="H79" i="18"/>
  <c r="H81" i="18"/>
  <c r="H83" i="18"/>
  <c r="H85" i="18"/>
  <c r="H87" i="18"/>
  <c r="H89" i="18"/>
  <c r="H91" i="18"/>
  <c r="H93" i="18"/>
  <c r="H95" i="18"/>
  <c r="H97" i="18"/>
  <c r="H99" i="18"/>
  <c r="H101" i="18"/>
  <c r="H103" i="18"/>
  <c r="H105" i="18"/>
  <c r="H107" i="18"/>
  <c r="H109" i="18"/>
  <c r="H111" i="18"/>
  <c r="H113" i="18"/>
  <c r="H115" i="18"/>
  <c r="H117" i="18"/>
  <c r="H119" i="18"/>
  <c r="H121" i="18"/>
  <c r="H123" i="18"/>
  <c r="H125" i="18"/>
  <c r="H127" i="18"/>
  <c r="H129" i="18"/>
  <c r="H131" i="18"/>
  <c r="H133" i="18"/>
  <c r="H135" i="18"/>
  <c r="H137" i="18"/>
  <c r="H139" i="18"/>
  <c r="H141" i="18"/>
  <c r="H143" i="18"/>
  <c r="H145" i="18"/>
  <c r="H147" i="18"/>
  <c r="H149" i="18"/>
  <c r="H151" i="18"/>
  <c r="H153" i="18"/>
  <c r="H155" i="18"/>
  <c r="H157" i="18"/>
  <c r="H159" i="18"/>
  <c r="H161" i="18"/>
  <c r="H163" i="18"/>
  <c r="H165" i="18"/>
  <c r="H167" i="18"/>
  <c r="H169" i="18"/>
  <c r="H171" i="18"/>
  <c r="H173" i="18"/>
  <c r="H6" i="18"/>
  <c r="H10" i="18"/>
  <c r="H14" i="18"/>
  <c r="H18" i="18"/>
  <c r="H22" i="18"/>
  <c r="H26" i="18"/>
  <c r="H30" i="18"/>
  <c r="H34" i="18"/>
  <c r="H38" i="18"/>
  <c r="H42" i="18"/>
  <c r="H46" i="18"/>
  <c r="H50" i="18"/>
  <c r="H54" i="18"/>
  <c r="H58" i="18"/>
  <c r="H62" i="18"/>
  <c r="H66" i="18"/>
  <c r="H70" i="18"/>
  <c r="H74" i="18"/>
  <c r="H78" i="18"/>
  <c r="H82" i="18"/>
  <c r="H86" i="18"/>
  <c r="H90" i="18"/>
  <c r="H94" i="18"/>
  <c r="H98" i="18"/>
  <c r="H102" i="18"/>
  <c r="H106" i="18"/>
  <c r="H110" i="18"/>
  <c r="H114" i="18"/>
  <c r="H118" i="18"/>
  <c r="H122" i="18"/>
  <c r="H126" i="18"/>
  <c r="H130" i="18"/>
  <c r="H134" i="18"/>
  <c r="H138" i="18"/>
  <c r="H142" i="18"/>
  <c r="H146" i="18"/>
  <c r="H150" i="18"/>
  <c r="H154" i="18"/>
  <c r="H158" i="18"/>
  <c r="H162" i="18"/>
  <c r="H166" i="18"/>
  <c r="H170" i="18"/>
  <c r="H174" i="18"/>
  <c r="H176" i="18"/>
  <c r="H178" i="18"/>
  <c r="H180" i="18"/>
  <c r="H182" i="18"/>
  <c r="H184" i="18"/>
  <c r="H186" i="18"/>
  <c r="H188" i="18"/>
  <c r="H190" i="18"/>
  <c r="H192" i="18"/>
  <c r="H194" i="18"/>
  <c r="H196" i="18"/>
  <c r="H198" i="18"/>
  <c r="H200" i="18"/>
  <c r="H202" i="18"/>
  <c r="H204" i="18"/>
  <c r="H206" i="18"/>
  <c r="H208" i="18"/>
  <c r="H210" i="18"/>
  <c r="H212" i="18"/>
  <c r="H214" i="18"/>
  <c r="H216" i="18"/>
  <c r="H218" i="18"/>
  <c r="H220" i="18"/>
  <c r="H222" i="18"/>
  <c r="H224" i="18"/>
  <c r="H226" i="18"/>
  <c r="H228" i="18"/>
  <c r="H230" i="18"/>
  <c r="H232" i="18"/>
  <c r="H234" i="18"/>
  <c r="H236" i="18"/>
  <c r="H238" i="18"/>
  <c r="H240" i="18"/>
  <c r="H242" i="18"/>
  <c r="H244" i="18"/>
  <c r="H246" i="18"/>
  <c r="H248" i="18"/>
  <c r="H250" i="18"/>
  <c r="H252" i="18"/>
  <c r="H254" i="18"/>
  <c r="H256" i="18"/>
  <c r="H258" i="18"/>
  <c r="H260" i="18"/>
  <c r="H262" i="18"/>
  <c r="H264" i="18"/>
  <c r="H266" i="18"/>
  <c r="H268" i="18"/>
  <c r="H270" i="18"/>
  <c r="H272" i="18"/>
  <c r="H274" i="18"/>
  <c r="H276" i="18"/>
  <c r="H278" i="18"/>
  <c r="H280" i="18"/>
  <c r="H282" i="18"/>
  <c r="H284" i="18"/>
  <c r="H286" i="18"/>
  <c r="H288" i="18"/>
  <c r="H290" i="18"/>
  <c r="H292" i="18"/>
  <c r="H294" i="18"/>
  <c r="H296" i="18"/>
  <c r="H298" i="18"/>
  <c r="H300" i="18"/>
  <c r="H302" i="18"/>
  <c r="H304" i="18"/>
  <c r="H306" i="18"/>
  <c r="H308" i="18"/>
  <c r="H310" i="18"/>
  <c r="H312" i="18"/>
  <c r="H314" i="18"/>
  <c r="H316" i="18"/>
  <c r="H318" i="18"/>
  <c r="H320" i="18"/>
  <c r="H322" i="18"/>
  <c r="H324" i="18"/>
  <c r="H326" i="18"/>
  <c r="H328" i="18"/>
  <c r="H330" i="18"/>
  <c r="H332" i="18"/>
  <c r="H334" i="18"/>
  <c r="H336" i="18"/>
  <c r="H338" i="18"/>
  <c r="H340" i="18"/>
  <c r="H342" i="18"/>
  <c r="H344" i="18"/>
  <c r="H346" i="18"/>
  <c r="H348" i="18"/>
  <c r="H350" i="18"/>
  <c r="H352" i="18"/>
  <c r="H354" i="18"/>
  <c r="H356" i="18"/>
  <c r="H358" i="18"/>
  <c r="H360" i="18"/>
  <c r="H362" i="18"/>
  <c r="H364" i="18"/>
  <c r="H366" i="18"/>
  <c r="H368" i="18"/>
  <c r="H370" i="18"/>
  <c r="H372" i="18"/>
  <c r="H374" i="18"/>
  <c r="H376" i="18"/>
  <c r="H378" i="18"/>
  <c r="H380" i="18"/>
  <c r="H382" i="18"/>
  <c r="H384" i="18"/>
  <c r="H386" i="18"/>
  <c r="H388" i="18"/>
  <c r="H390" i="18"/>
  <c r="H392" i="18"/>
  <c r="H394" i="18"/>
  <c r="H396" i="18"/>
  <c r="H398" i="18"/>
  <c r="H400" i="18"/>
  <c r="H402" i="18"/>
  <c r="H404" i="18"/>
  <c r="H406" i="18"/>
  <c r="H408" i="18"/>
  <c r="H410" i="18"/>
  <c r="H412" i="18"/>
  <c r="H414" i="18"/>
  <c r="H416" i="18"/>
  <c r="H418" i="18"/>
  <c r="H420" i="18"/>
  <c r="H422" i="18"/>
  <c r="H424" i="18"/>
  <c r="H426" i="18"/>
  <c r="H428" i="18"/>
  <c r="H8" i="18"/>
  <c r="H16" i="18"/>
  <c r="H24" i="18"/>
  <c r="H32" i="18"/>
  <c r="H40" i="18"/>
  <c r="H48" i="18"/>
  <c r="H56" i="18"/>
  <c r="H64" i="18"/>
  <c r="H72" i="18"/>
  <c r="H80" i="18"/>
  <c r="H88" i="18"/>
  <c r="H96" i="18"/>
  <c r="H104" i="18"/>
  <c r="H112" i="18"/>
  <c r="H120" i="18"/>
  <c r="H128" i="18"/>
  <c r="H136" i="18"/>
  <c r="H144" i="18"/>
  <c r="H152" i="18"/>
  <c r="H160" i="18"/>
  <c r="H168" i="18"/>
  <c r="H175" i="18"/>
  <c r="H179" i="18"/>
  <c r="H183" i="18"/>
  <c r="H187" i="18"/>
  <c r="H191" i="18"/>
  <c r="H195" i="18"/>
  <c r="H199" i="18"/>
  <c r="H203" i="18"/>
  <c r="H207" i="18"/>
  <c r="H211" i="18"/>
  <c r="H215" i="18"/>
  <c r="H219" i="18"/>
  <c r="H223" i="18"/>
  <c r="H227" i="18"/>
  <c r="H231" i="18"/>
  <c r="H235" i="18"/>
  <c r="H239" i="18"/>
  <c r="H243" i="18"/>
  <c r="H247" i="18"/>
  <c r="H251" i="18"/>
  <c r="H255" i="18"/>
  <c r="H259" i="18"/>
  <c r="H263" i="18"/>
  <c r="H267" i="18"/>
  <c r="H271" i="18"/>
  <c r="H275" i="18"/>
  <c r="H279" i="18"/>
  <c r="H283" i="18"/>
  <c r="H287" i="18"/>
  <c r="H291" i="18"/>
  <c r="H295" i="18"/>
  <c r="H299" i="18"/>
  <c r="H303" i="18"/>
  <c r="H307" i="18"/>
  <c r="H311" i="18"/>
  <c r="H315" i="18"/>
  <c r="H319" i="18"/>
  <c r="H323" i="18"/>
  <c r="H327" i="18"/>
  <c r="H331" i="18"/>
  <c r="H335" i="18"/>
  <c r="H339" i="18"/>
  <c r="H343" i="18"/>
  <c r="H347" i="18"/>
  <c r="H351" i="18"/>
  <c r="H355" i="18"/>
  <c r="H359" i="18"/>
  <c r="H363" i="18"/>
  <c r="H367" i="18"/>
  <c r="H371" i="18"/>
  <c r="H375" i="18"/>
  <c r="H379" i="18"/>
  <c r="H383" i="18"/>
  <c r="H387" i="18"/>
  <c r="H391" i="18"/>
  <c r="H395" i="18"/>
  <c r="H399" i="18"/>
  <c r="H403" i="18"/>
  <c r="H407" i="18"/>
  <c r="H411" i="18"/>
  <c r="H415" i="18"/>
  <c r="H419" i="18"/>
  <c r="H423" i="18"/>
  <c r="H427" i="18"/>
  <c r="H430" i="18"/>
  <c r="H432" i="18"/>
  <c r="H434" i="18"/>
  <c r="H436" i="18"/>
  <c r="H438" i="18"/>
  <c r="H440" i="18"/>
  <c r="H442" i="18"/>
  <c r="H444" i="18"/>
  <c r="H446" i="18"/>
  <c r="H448" i="18"/>
  <c r="H450" i="18"/>
  <c r="H452" i="18"/>
  <c r="H454" i="18"/>
  <c r="H456" i="18"/>
  <c r="H458" i="18"/>
  <c r="H460" i="18"/>
  <c r="H462" i="18"/>
  <c r="H464" i="18"/>
  <c r="H466" i="18"/>
  <c r="H468" i="18"/>
  <c r="H470" i="18"/>
  <c r="H472" i="18"/>
  <c r="H474" i="18"/>
  <c r="H476" i="18"/>
  <c r="H478" i="18"/>
  <c r="H480" i="18"/>
  <c r="H482" i="18"/>
  <c r="H484" i="18"/>
  <c r="H486" i="18"/>
  <c r="H488" i="18"/>
  <c r="H490" i="18"/>
  <c r="H492" i="18"/>
  <c r="H494" i="18"/>
  <c r="H496" i="18"/>
  <c r="H498" i="18"/>
  <c r="H500" i="18"/>
  <c r="H502" i="18"/>
  <c r="H504" i="18"/>
  <c r="H506" i="18"/>
  <c r="H508" i="18"/>
  <c r="H510" i="18"/>
  <c r="H512" i="18"/>
  <c r="H514" i="18"/>
  <c r="H516" i="18"/>
  <c r="H518" i="18"/>
  <c r="H520" i="18"/>
  <c r="H522" i="18"/>
  <c r="H524" i="18"/>
  <c r="H526" i="18"/>
  <c r="H528" i="18"/>
  <c r="H530" i="18"/>
  <c r="H532" i="18"/>
  <c r="H534" i="18"/>
  <c r="H536" i="18"/>
  <c r="H538" i="18"/>
  <c r="H540" i="18"/>
  <c r="H542" i="18"/>
  <c r="H544" i="18"/>
  <c r="H546" i="18"/>
  <c r="H548" i="18"/>
  <c r="H550" i="18"/>
  <c r="H552" i="18"/>
  <c r="H554" i="18"/>
  <c r="H556" i="18"/>
  <c r="H558" i="18"/>
  <c r="H560" i="18"/>
  <c r="H562" i="18"/>
  <c r="H564" i="18"/>
  <c r="H566" i="18"/>
  <c r="H568" i="18"/>
  <c r="H570" i="18"/>
  <c r="H572" i="18"/>
  <c r="H574" i="18"/>
  <c r="H576" i="18"/>
  <c r="H578" i="18"/>
  <c r="H580" i="18"/>
  <c r="H582" i="18"/>
  <c r="H584" i="18"/>
  <c r="H586" i="18"/>
  <c r="H588" i="18"/>
  <c r="H590" i="18"/>
  <c r="H592" i="18"/>
  <c r="H594" i="18"/>
  <c r="H596" i="18"/>
  <c r="H598" i="18"/>
  <c r="H600" i="18"/>
  <c r="H602" i="18"/>
  <c r="H604" i="18"/>
  <c r="H606" i="18"/>
  <c r="H608" i="18"/>
  <c r="H610" i="18"/>
  <c r="H612" i="18"/>
  <c r="H614" i="18"/>
  <c r="H616" i="18"/>
  <c r="H618" i="18"/>
  <c r="H620" i="18"/>
  <c r="H622" i="18"/>
  <c r="H624" i="18"/>
  <c r="H626" i="18"/>
  <c r="H628" i="18"/>
  <c r="H630" i="18"/>
  <c r="H632" i="18"/>
  <c r="H634" i="18"/>
  <c r="H636" i="18"/>
  <c r="H638" i="18"/>
  <c r="H640" i="18"/>
  <c r="H642" i="18"/>
  <c r="H644" i="18"/>
  <c r="H646" i="18"/>
  <c r="H648" i="18"/>
  <c r="H650" i="18"/>
  <c r="H652" i="18"/>
  <c r="H654" i="18"/>
  <c r="H656" i="18"/>
  <c r="H658" i="18"/>
  <c r="H660" i="18"/>
  <c r="H662" i="18"/>
  <c r="H664" i="18"/>
  <c r="H666" i="18"/>
  <c r="H668" i="18"/>
  <c r="H670" i="18"/>
  <c r="H672" i="18"/>
  <c r="H674" i="18"/>
  <c r="H676" i="18"/>
  <c r="H678" i="18"/>
  <c r="H680" i="18"/>
  <c r="H682" i="18"/>
  <c r="H684" i="18"/>
  <c r="H686" i="18"/>
  <c r="H688" i="18"/>
  <c r="H690" i="18"/>
  <c r="H692" i="18"/>
  <c r="H694" i="18"/>
  <c r="H696" i="18"/>
  <c r="H698" i="18"/>
  <c r="H700" i="18"/>
  <c r="H702" i="18"/>
  <c r="H704" i="18"/>
  <c r="H706" i="18"/>
  <c r="H708" i="18"/>
  <c r="H710" i="18"/>
  <c r="H712" i="18"/>
  <c r="H714" i="18"/>
  <c r="H716" i="18"/>
  <c r="H718" i="18"/>
  <c r="H720" i="18"/>
  <c r="H722" i="18"/>
  <c r="H724" i="18"/>
  <c r="H726" i="18"/>
  <c r="H728" i="18"/>
  <c r="H730" i="18"/>
  <c r="H732" i="18"/>
  <c r="H734" i="18"/>
  <c r="H736" i="18"/>
  <c r="H738" i="18"/>
  <c r="H740" i="18"/>
  <c r="H742" i="18"/>
  <c r="H744" i="18"/>
  <c r="H746" i="18"/>
  <c r="H748" i="18"/>
  <c r="H750" i="18"/>
  <c r="H752" i="18"/>
  <c r="H754" i="18"/>
  <c r="H756" i="18"/>
  <c r="H758" i="18"/>
  <c r="H760" i="18"/>
  <c r="H762" i="18"/>
  <c r="H764" i="18"/>
  <c r="H766" i="18"/>
  <c r="H768" i="18"/>
  <c r="H770" i="18"/>
  <c r="H772" i="18"/>
  <c r="H774" i="18"/>
  <c r="H776" i="18"/>
  <c r="H778" i="18"/>
  <c r="H780" i="18"/>
  <c r="H782" i="18"/>
  <c r="H784" i="18"/>
  <c r="H786" i="18"/>
  <c r="H788" i="18"/>
  <c r="H790" i="18"/>
  <c r="H792" i="18"/>
  <c r="H794" i="18"/>
  <c r="H796" i="18"/>
  <c r="H798" i="18"/>
  <c r="H800" i="18"/>
  <c r="H802" i="18"/>
  <c r="H804" i="18"/>
  <c r="H806" i="18"/>
  <c r="H808" i="18"/>
  <c r="H810" i="18"/>
  <c r="H812" i="18"/>
  <c r="H814" i="18"/>
  <c r="H816" i="18"/>
  <c r="H818" i="18"/>
  <c r="H820" i="18"/>
  <c r="H822" i="18"/>
  <c r="H824" i="18"/>
  <c r="H826" i="18"/>
  <c r="H828" i="18"/>
  <c r="H830" i="18"/>
  <c r="H832" i="18"/>
  <c r="H834" i="18"/>
  <c r="H836" i="18"/>
  <c r="H838" i="18"/>
  <c r="H840" i="18"/>
  <c r="H842" i="18"/>
  <c r="H844" i="18"/>
  <c r="H846" i="18"/>
  <c r="H848" i="18"/>
  <c r="H850" i="18"/>
  <c r="H852" i="18"/>
  <c r="H854" i="18"/>
  <c r="H856" i="18"/>
  <c r="H858" i="18"/>
  <c r="H860" i="18"/>
  <c r="H862" i="18"/>
  <c r="H864" i="18"/>
  <c r="H866" i="18"/>
  <c r="H868" i="18"/>
  <c r="H870" i="18"/>
  <c r="H872" i="18"/>
  <c r="H874" i="18"/>
  <c r="H876" i="18"/>
  <c r="H878" i="18"/>
  <c r="H880" i="18"/>
  <c r="H882" i="18"/>
  <c r="H884" i="18"/>
  <c r="H886" i="18"/>
  <c r="H888" i="18"/>
  <c r="H890" i="18"/>
  <c r="H892" i="18"/>
  <c r="H894" i="18"/>
  <c r="H896" i="18"/>
  <c r="H898" i="18"/>
  <c r="H900" i="18"/>
  <c r="H902" i="18"/>
  <c r="H904" i="18"/>
  <c r="H906" i="18"/>
  <c r="H908" i="18"/>
  <c r="H910" i="18"/>
  <c r="H912" i="18"/>
  <c r="H914" i="18"/>
  <c r="H916" i="18"/>
  <c r="H918" i="18"/>
  <c r="H920" i="18"/>
  <c r="H922" i="18"/>
  <c r="H924" i="18"/>
  <c r="H926" i="18"/>
  <c r="H928" i="18"/>
  <c r="H930" i="18"/>
  <c r="H932" i="18"/>
  <c r="H934" i="18"/>
  <c r="H936" i="18"/>
  <c r="H938" i="18"/>
  <c r="H940" i="18"/>
  <c r="H12" i="18"/>
  <c r="H28" i="18"/>
  <c r="H44" i="18"/>
  <c r="H60" i="18"/>
  <c r="H76" i="18"/>
  <c r="H92" i="18"/>
  <c r="H108" i="18"/>
  <c r="H124" i="18"/>
  <c r="H140" i="18"/>
  <c r="H156" i="18"/>
  <c r="H172" i="18"/>
  <c r="H181" i="18"/>
  <c r="H189" i="18"/>
  <c r="H197" i="18"/>
  <c r="H205" i="18"/>
  <c r="H213" i="18"/>
  <c r="H221" i="18"/>
  <c r="H229" i="18"/>
  <c r="H237" i="18"/>
  <c r="H245" i="18"/>
  <c r="H253" i="18"/>
  <c r="H261" i="18"/>
  <c r="H269" i="18"/>
  <c r="H277" i="18"/>
  <c r="H285" i="18"/>
  <c r="H293" i="18"/>
  <c r="H301" i="18"/>
  <c r="H309" i="18"/>
  <c r="H317" i="18"/>
  <c r="H325" i="18"/>
  <c r="H333" i="18"/>
  <c r="H341" i="18"/>
  <c r="H349" i="18"/>
  <c r="H357" i="18"/>
  <c r="H365" i="18"/>
  <c r="H373" i="18"/>
  <c r="H381" i="18"/>
  <c r="H389" i="18"/>
  <c r="H397" i="18"/>
  <c r="H405" i="18"/>
  <c r="H413" i="18"/>
  <c r="H421" i="18"/>
  <c r="H429" i="18"/>
  <c r="H433" i="18"/>
  <c r="H437" i="18"/>
  <c r="H441" i="18"/>
  <c r="H445" i="18"/>
  <c r="H449" i="18"/>
  <c r="H453" i="18"/>
  <c r="H457" i="18"/>
  <c r="H461" i="18"/>
  <c r="H465" i="18"/>
  <c r="H469" i="18"/>
  <c r="H473" i="18"/>
  <c r="H477" i="18"/>
  <c r="H481" i="18"/>
  <c r="H485" i="18"/>
  <c r="H489" i="18"/>
  <c r="H493" i="18"/>
  <c r="H497" i="18"/>
  <c r="H501" i="18"/>
  <c r="H505" i="18"/>
  <c r="H509" i="18"/>
  <c r="H513" i="18"/>
  <c r="H517" i="18"/>
  <c r="H521" i="18"/>
  <c r="H525" i="18"/>
  <c r="H529" i="18"/>
  <c r="H533" i="18"/>
  <c r="H537" i="18"/>
  <c r="H541" i="18"/>
  <c r="H545" i="18"/>
  <c r="H549" i="18"/>
  <c r="H553" i="18"/>
  <c r="H557" i="18"/>
  <c r="H561" i="18"/>
  <c r="H565" i="18"/>
  <c r="H569" i="18"/>
  <c r="H573" i="18"/>
  <c r="H577" i="18"/>
  <c r="H581" i="18"/>
  <c r="H585" i="18"/>
  <c r="H589" i="18"/>
  <c r="H593" i="18"/>
  <c r="H597" i="18"/>
  <c r="H601" i="18"/>
  <c r="H605" i="18"/>
  <c r="H609" i="18"/>
  <c r="H613" i="18"/>
  <c r="H617" i="18"/>
  <c r="H621" i="18"/>
  <c r="H625" i="18"/>
  <c r="H629" i="18"/>
  <c r="H633" i="18"/>
  <c r="H637" i="18"/>
  <c r="H641" i="18"/>
  <c r="H645" i="18"/>
  <c r="H649" i="18"/>
  <c r="H653" i="18"/>
  <c r="H657" i="18"/>
  <c r="H661" i="18"/>
  <c r="H665" i="18"/>
  <c r="H669" i="18"/>
  <c r="H673" i="18"/>
  <c r="H677" i="18"/>
  <c r="H681" i="18"/>
  <c r="H685" i="18"/>
  <c r="H689" i="18"/>
  <c r="H693" i="18"/>
  <c r="H697" i="18"/>
  <c r="H701" i="18"/>
  <c r="H705" i="18"/>
  <c r="H709" i="18"/>
  <c r="H713" i="18"/>
  <c r="H717" i="18"/>
  <c r="H721" i="18"/>
  <c r="H725" i="18"/>
  <c r="H729" i="18"/>
  <c r="H733" i="18"/>
  <c r="H737" i="18"/>
  <c r="H741" i="18"/>
  <c r="H745" i="18"/>
  <c r="H749" i="18"/>
  <c r="H753" i="18"/>
  <c r="H757" i="18"/>
  <c r="H761" i="18"/>
  <c r="H765" i="18"/>
  <c r="H769" i="18"/>
  <c r="H773" i="18"/>
  <c r="H777" i="18"/>
  <c r="H781" i="18"/>
  <c r="H785" i="18"/>
  <c r="H789" i="18"/>
  <c r="H793" i="18"/>
  <c r="H797" i="18"/>
  <c r="H801" i="18"/>
  <c r="H805" i="18"/>
  <c r="H809" i="18"/>
  <c r="H813" i="18"/>
  <c r="H817" i="18"/>
  <c r="H821" i="18"/>
  <c r="H825" i="18"/>
  <c r="H829" i="18"/>
  <c r="H833" i="18"/>
  <c r="H837" i="18"/>
  <c r="H841" i="18"/>
  <c r="H845" i="18"/>
  <c r="H849" i="18"/>
  <c r="H853" i="18"/>
  <c r="H857" i="18"/>
  <c r="H861" i="18"/>
  <c r="H865" i="18"/>
  <c r="H869" i="18"/>
  <c r="H873" i="18"/>
  <c r="H877" i="18"/>
  <c r="H881" i="18"/>
  <c r="H885" i="18"/>
  <c r="H889" i="18"/>
  <c r="H893" i="18"/>
  <c r="H897" i="18"/>
  <c r="H901" i="18"/>
  <c r="H905" i="18"/>
  <c r="H909" i="18"/>
  <c r="H913" i="18"/>
  <c r="H917" i="18"/>
  <c r="H921" i="18"/>
  <c r="H925" i="18"/>
  <c r="H929" i="18"/>
  <c r="H933" i="18"/>
  <c r="H937" i="18"/>
  <c r="H941" i="18"/>
  <c r="H943" i="18"/>
  <c r="H945" i="18"/>
  <c r="H947" i="18"/>
  <c r="H949" i="18"/>
  <c r="H951" i="18"/>
  <c r="H953" i="18"/>
  <c r="H955" i="18"/>
  <c r="H957" i="18"/>
  <c r="H959" i="18"/>
  <c r="H961" i="18"/>
  <c r="H963" i="18"/>
  <c r="H965" i="18"/>
  <c r="H967" i="18"/>
  <c r="H969" i="18"/>
  <c r="H971" i="18"/>
  <c r="H973" i="18"/>
  <c r="H975" i="18"/>
  <c r="H977" i="18"/>
  <c r="H979" i="18"/>
  <c r="H981" i="18"/>
  <c r="H983" i="18"/>
  <c r="H985" i="18"/>
  <c r="H987" i="18"/>
  <c r="H989" i="18"/>
  <c r="H991" i="18"/>
  <c r="H993" i="18"/>
  <c r="H995" i="18"/>
  <c r="H997" i="18"/>
  <c r="H999" i="18"/>
  <c r="H1001" i="18"/>
  <c r="H1003" i="18"/>
  <c r="H1005" i="18"/>
  <c r="H1007" i="18"/>
  <c r="H1009" i="18"/>
  <c r="H1011" i="18"/>
  <c r="H1013" i="18"/>
  <c r="H1015" i="18"/>
  <c r="H1017" i="18"/>
  <c r="H1019" i="18"/>
  <c r="H1021" i="18"/>
  <c r="H1023" i="18"/>
  <c r="H1025" i="18"/>
  <c r="H1027" i="18"/>
  <c r="H1029" i="18"/>
  <c r="H1031" i="18"/>
  <c r="H1033" i="18"/>
  <c r="H1035" i="18"/>
  <c r="H1037" i="18"/>
  <c r="H1039" i="18"/>
  <c r="H1041" i="18"/>
  <c r="H1043" i="18"/>
  <c r="H1045" i="18"/>
  <c r="H1047" i="18"/>
  <c r="H1049" i="18"/>
  <c r="H1051" i="18"/>
  <c r="H1053" i="18"/>
  <c r="H1055" i="18"/>
  <c r="H1057" i="18"/>
  <c r="H1059" i="18"/>
  <c r="H1061" i="18"/>
  <c r="H1063" i="18"/>
  <c r="H1065" i="18"/>
  <c r="H1067" i="18"/>
  <c r="H1069" i="18"/>
  <c r="H1071" i="18"/>
  <c r="H1073" i="18"/>
  <c r="H1075" i="18"/>
  <c r="H1077" i="18"/>
  <c r="H1079" i="18"/>
  <c r="H1081" i="18"/>
  <c r="H1083" i="18"/>
  <c r="H1085" i="18"/>
  <c r="H1087" i="18"/>
  <c r="H1089" i="18"/>
  <c r="H1091" i="18"/>
  <c r="H1093" i="18"/>
  <c r="H1095" i="18"/>
  <c r="H1097" i="18"/>
  <c r="H1099" i="18"/>
  <c r="H1101" i="18"/>
  <c r="H1103" i="18"/>
  <c r="H1105" i="18"/>
  <c r="H1107" i="18"/>
  <c r="H1109" i="18"/>
  <c r="H1111" i="18"/>
  <c r="H1113" i="18"/>
  <c r="H1115" i="18"/>
  <c r="H1117" i="18"/>
  <c r="H1119" i="18"/>
  <c r="H1121" i="18"/>
  <c r="H1123" i="18"/>
  <c r="H1125" i="18"/>
  <c r="H1127" i="18"/>
  <c r="H1129" i="18"/>
  <c r="H1131" i="18"/>
  <c r="H1133" i="18"/>
  <c r="H1135" i="18"/>
  <c r="H1137" i="18"/>
  <c r="H1139" i="18"/>
  <c r="H1141" i="18"/>
  <c r="H1143" i="18"/>
  <c r="H1145" i="18"/>
  <c r="H1147" i="18"/>
  <c r="H1149" i="18"/>
  <c r="H1151" i="18"/>
  <c r="H1153" i="18"/>
  <c r="H1155" i="18"/>
  <c r="H1157" i="18"/>
  <c r="H1159" i="18"/>
  <c r="H1161" i="18"/>
  <c r="H1163" i="18"/>
  <c r="H1165" i="18"/>
  <c r="H1167" i="18"/>
  <c r="H1169" i="18"/>
  <c r="H1171" i="18"/>
  <c r="H1173" i="18"/>
  <c r="H1175" i="18"/>
  <c r="H1177" i="18"/>
  <c r="H1179" i="18"/>
  <c r="H1181" i="18"/>
  <c r="H1183" i="18"/>
  <c r="H1185" i="18"/>
  <c r="H1187" i="18"/>
  <c r="H1189" i="18"/>
  <c r="H1191" i="18"/>
  <c r="H1193" i="18"/>
  <c r="H1195" i="18"/>
  <c r="H1197" i="18"/>
  <c r="H1199" i="18"/>
  <c r="H1201" i="18"/>
  <c r="H1203" i="18"/>
  <c r="H1205" i="18"/>
  <c r="H1207" i="18"/>
  <c r="H1209" i="18"/>
  <c r="H1211" i="18"/>
  <c r="H1213" i="18"/>
  <c r="H1215" i="18"/>
  <c r="H1217" i="18"/>
  <c r="H1219" i="18"/>
  <c r="H1221" i="18"/>
  <c r="H1223" i="18"/>
  <c r="H1225" i="18"/>
  <c r="H1227" i="18"/>
  <c r="H1229" i="18"/>
  <c r="H1231" i="18"/>
  <c r="H1233" i="18"/>
  <c r="H1235" i="18"/>
  <c r="H1237" i="18"/>
  <c r="H1239" i="18"/>
  <c r="H1241" i="18"/>
  <c r="H1243" i="18"/>
  <c r="H1245" i="18"/>
  <c r="H1247" i="18"/>
  <c r="H1249" i="18"/>
  <c r="H1251" i="18"/>
  <c r="H1253" i="18"/>
  <c r="H1255" i="18"/>
  <c r="H1257" i="18"/>
  <c r="H1259" i="18"/>
  <c r="H1261" i="18"/>
  <c r="H1263" i="18"/>
  <c r="H1265" i="18"/>
  <c r="H1267" i="18"/>
  <c r="H1269" i="18"/>
  <c r="H1271" i="18"/>
  <c r="H1273" i="18"/>
  <c r="H1275" i="18"/>
  <c r="H1277" i="18"/>
  <c r="H1279" i="18"/>
  <c r="H1281" i="18"/>
  <c r="H1283" i="18"/>
  <c r="H1285" i="18"/>
  <c r="H1287" i="18"/>
  <c r="H1289" i="18"/>
  <c r="H1291" i="18"/>
  <c r="H1293" i="18"/>
  <c r="H1295" i="18"/>
  <c r="H1297" i="18"/>
  <c r="H1299" i="18"/>
  <c r="H1301" i="18"/>
  <c r="H1303" i="18"/>
  <c r="H1305" i="18"/>
  <c r="H1307" i="18"/>
  <c r="H1309" i="18"/>
  <c r="H1311" i="18"/>
  <c r="H1313" i="18"/>
  <c r="H1315" i="18"/>
  <c r="H1317" i="18"/>
  <c r="H1319" i="18"/>
  <c r="H1321" i="18"/>
  <c r="H1323" i="18"/>
  <c r="H1325" i="18"/>
  <c r="H1327" i="18"/>
  <c r="H1329" i="18"/>
  <c r="H1331" i="18"/>
  <c r="H1333" i="18"/>
  <c r="H1335" i="18"/>
  <c r="H1337" i="18"/>
  <c r="H1339" i="18"/>
  <c r="H1341" i="18"/>
  <c r="H1343" i="18"/>
  <c r="H1345" i="18"/>
  <c r="H1347" i="18"/>
  <c r="H1349" i="18"/>
  <c r="H1351" i="18"/>
  <c r="H1353" i="18"/>
  <c r="H1355" i="18"/>
  <c r="H1357" i="18"/>
  <c r="H1359" i="18"/>
  <c r="H1361" i="18"/>
  <c r="H1363" i="18"/>
  <c r="H1365" i="18"/>
  <c r="H1367" i="18"/>
  <c r="H1369" i="18"/>
  <c r="H1371" i="18"/>
  <c r="H1373" i="18"/>
  <c r="H1375" i="18"/>
  <c r="H1377" i="18"/>
  <c r="H1379" i="18"/>
  <c r="H1381" i="18"/>
  <c r="H1383" i="18"/>
  <c r="H1385" i="18"/>
  <c r="H1387" i="18"/>
  <c r="H1389" i="18"/>
  <c r="H1391" i="18"/>
  <c r="H1393" i="18"/>
  <c r="H1395" i="18"/>
  <c r="H1397" i="18"/>
  <c r="H1399" i="18"/>
  <c r="H1401" i="18"/>
  <c r="H1403" i="18"/>
  <c r="H1405" i="18"/>
  <c r="H1407" i="18"/>
  <c r="H1409" i="18"/>
  <c r="H1411" i="18"/>
  <c r="H1413" i="18"/>
  <c r="H1415" i="18"/>
  <c r="H1417" i="18"/>
  <c r="H1419" i="18"/>
  <c r="H1421" i="18"/>
  <c r="H1423" i="18"/>
  <c r="H1425" i="18"/>
  <c r="H1427" i="18"/>
  <c r="H1429" i="18"/>
  <c r="H1431" i="18"/>
  <c r="H1433" i="18"/>
  <c r="H1435" i="18"/>
  <c r="H1437" i="18"/>
  <c r="H1439" i="18"/>
  <c r="H1441" i="18"/>
  <c r="H1443" i="18"/>
  <c r="H1445" i="18"/>
  <c r="H1447" i="18"/>
  <c r="H1449" i="18"/>
  <c r="H1451" i="18"/>
  <c r="H1453" i="18"/>
  <c r="H1455" i="18"/>
  <c r="H1457" i="18"/>
  <c r="H1459" i="18"/>
  <c r="H1461" i="18"/>
  <c r="H1463" i="18"/>
  <c r="H1465" i="18"/>
  <c r="H1467" i="18"/>
  <c r="H1469" i="18"/>
  <c r="H1471" i="18"/>
  <c r="H1473" i="18"/>
  <c r="H1475" i="18"/>
  <c r="H1477" i="18"/>
  <c r="H1479" i="18"/>
  <c r="H1481" i="18"/>
  <c r="H1483" i="18"/>
  <c r="H1485" i="18"/>
  <c r="H1487" i="18"/>
  <c r="H1489" i="18"/>
  <c r="H1491" i="18"/>
  <c r="H1493" i="18"/>
  <c r="H1495" i="18"/>
  <c r="H1497" i="18"/>
  <c r="H1499" i="18"/>
  <c r="H1501" i="18"/>
  <c r="H1503" i="18"/>
  <c r="H1505" i="18"/>
  <c r="H1507" i="18"/>
  <c r="H1509" i="18"/>
  <c r="H1511" i="18"/>
  <c r="H1513" i="18"/>
  <c r="H1515" i="18"/>
  <c r="H1517" i="18"/>
  <c r="H1519" i="18"/>
  <c r="H1521" i="18"/>
  <c r="H1523" i="18"/>
  <c r="H1525" i="18"/>
  <c r="H1527" i="18"/>
  <c r="H1529" i="18"/>
  <c r="H1531" i="18"/>
  <c r="H1533" i="18"/>
  <c r="H1535" i="18"/>
  <c r="H1537" i="18"/>
  <c r="H1539" i="18"/>
  <c r="H1541" i="18"/>
  <c r="H1543" i="18"/>
  <c r="H1545" i="18"/>
  <c r="H1547" i="18"/>
  <c r="H1549" i="18"/>
  <c r="H1551" i="18"/>
  <c r="H1553" i="18"/>
  <c r="H1555" i="18"/>
  <c r="H1557" i="18"/>
  <c r="H1559" i="18"/>
  <c r="H1561" i="18"/>
  <c r="H1563" i="18"/>
  <c r="H1565" i="18"/>
  <c r="H1567" i="18"/>
  <c r="H1569" i="18"/>
  <c r="H1571" i="18"/>
  <c r="H1573" i="18"/>
  <c r="H1575" i="18"/>
  <c r="H1577" i="18"/>
  <c r="H1579" i="18"/>
  <c r="H1581" i="18"/>
  <c r="H1583" i="18"/>
  <c r="H1585" i="18"/>
  <c r="H1587" i="18"/>
  <c r="H1589" i="18"/>
  <c r="H1591" i="18"/>
  <c r="H1593" i="18"/>
  <c r="H1595" i="18"/>
  <c r="H1597" i="18"/>
  <c r="H1599" i="18"/>
  <c r="H1601" i="18"/>
  <c r="H1603" i="18"/>
  <c r="H1605" i="18"/>
  <c r="H1607" i="18"/>
  <c r="H1609" i="18"/>
  <c r="H1611" i="18"/>
  <c r="H1613" i="18"/>
  <c r="H1615" i="18"/>
  <c r="H1617" i="18"/>
  <c r="H1619" i="18"/>
  <c r="H1621" i="18"/>
  <c r="H1623" i="18"/>
  <c r="H1625" i="18"/>
  <c r="H1627" i="18"/>
  <c r="H1629" i="18"/>
  <c r="H1631" i="18"/>
  <c r="H1633" i="18"/>
  <c r="H1635" i="18"/>
  <c r="H1637" i="18"/>
  <c r="H1639" i="18"/>
  <c r="H1641" i="18"/>
  <c r="H1643" i="18"/>
  <c r="H1645" i="18"/>
  <c r="H1647" i="18"/>
  <c r="H1649" i="18"/>
  <c r="H1651" i="18"/>
  <c r="H1653" i="18"/>
  <c r="H1655" i="18"/>
  <c r="H1657" i="18"/>
  <c r="H1659" i="18"/>
  <c r="H1661" i="18"/>
  <c r="H1663" i="18"/>
  <c r="H1665" i="18"/>
  <c r="H1667" i="18"/>
  <c r="H1669" i="18"/>
  <c r="H1671" i="18"/>
  <c r="H1673" i="18"/>
  <c r="H1675" i="18"/>
  <c r="H1677" i="18"/>
  <c r="H1679" i="18"/>
  <c r="H1681" i="18"/>
  <c r="H1683" i="18"/>
  <c r="H1685" i="18"/>
  <c r="H1687" i="18"/>
  <c r="H1689" i="18"/>
  <c r="H1691" i="18"/>
  <c r="H1693" i="18"/>
  <c r="H1695" i="18"/>
  <c r="H1697" i="18"/>
  <c r="H1699" i="18"/>
  <c r="H1701" i="18"/>
  <c r="H1703" i="18"/>
  <c r="H1705" i="18"/>
  <c r="H1707" i="18"/>
  <c r="H1709" i="18"/>
  <c r="H1711" i="18"/>
  <c r="H1713" i="18"/>
  <c r="H1715" i="18"/>
  <c r="H1717" i="18"/>
  <c r="H1719" i="18"/>
  <c r="H1721" i="18"/>
  <c r="H1723" i="18"/>
  <c r="H1725" i="18"/>
  <c r="H1727" i="18"/>
  <c r="H1729" i="18"/>
  <c r="H1731" i="18"/>
  <c r="H1733" i="18"/>
  <c r="H1735" i="18"/>
  <c r="H1737" i="18"/>
  <c r="H1739" i="18"/>
  <c r="H1741" i="18"/>
  <c r="H1743" i="18"/>
  <c r="H1745" i="18"/>
  <c r="H1747" i="18"/>
  <c r="H1749" i="18"/>
  <c r="H1751" i="18"/>
  <c r="H1753" i="18"/>
  <c r="H1755" i="18"/>
  <c r="H1757" i="18"/>
  <c r="H1759" i="18"/>
  <c r="H1761" i="18"/>
  <c r="H1763" i="18"/>
  <c r="H1765" i="18"/>
  <c r="H1767" i="18"/>
  <c r="H1769" i="18"/>
  <c r="H1771" i="18"/>
  <c r="H1773" i="18"/>
  <c r="H1775" i="18"/>
  <c r="H1777" i="18"/>
  <c r="H1779" i="18"/>
  <c r="H1781" i="18"/>
  <c r="H1783" i="18"/>
  <c r="H1785" i="18"/>
  <c r="H1787" i="18"/>
  <c r="H1789" i="18"/>
  <c r="H1791" i="18"/>
  <c r="H1793" i="18"/>
  <c r="H1795" i="18"/>
  <c r="H1797" i="18"/>
  <c r="H1799" i="18"/>
  <c r="H1801" i="18"/>
  <c r="H1803" i="18"/>
  <c r="H1805" i="18"/>
  <c r="H1807" i="18"/>
  <c r="H1809" i="18"/>
  <c r="H1811" i="18"/>
  <c r="H1813" i="18"/>
  <c r="H1815" i="18"/>
  <c r="H1817" i="18"/>
  <c r="H1819" i="18"/>
  <c r="H1821" i="18"/>
  <c r="H1823" i="18"/>
  <c r="H1825" i="18"/>
  <c r="H1827" i="18"/>
  <c r="H1829" i="18"/>
  <c r="H1831" i="18"/>
  <c r="H1833" i="18"/>
  <c r="H1835" i="18"/>
  <c r="H1837" i="18"/>
  <c r="H1839" i="18"/>
  <c r="H1841" i="18"/>
  <c r="H1843" i="18"/>
  <c r="H1845" i="18"/>
  <c r="H1847" i="18"/>
  <c r="H1849" i="18"/>
  <c r="H1851" i="18"/>
  <c r="H1853" i="18"/>
  <c r="H1855" i="18"/>
  <c r="H1857" i="18"/>
  <c r="H1859" i="18"/>
  <c r="H1861" i="18"/>
  <c r="H1863" i="18"/>
  <c r="H1865" i="18"/>
  <c r="H1867" i="18"/>
  <c r="H1869" i="18"/>
  <c r="H1871" i="18"/>
  <c r="H1873" i="18"/>
  <c r="H1875" i="18"/>
  <c r="H1877" i="18"/>
  <c r="H1879" i="18"/>
  <c r="H1881" i="18"/>
  <c r="H1883" i="18"/>
  <c r="H1885" i="18"/>
  <c r="H1887" i="18"/>
  <c r="H1889" i="18"/>
  <c r="H1891" i="18"/>
  <c r="H1893" i="18"/>
  <c r="H1895" i="18"/>
  <c r="H1897" i="18"/>
  <c r="H1899" i="18"/>
  <c r="H1901" i="18"/>
  <c r="H1903" i="18"/>
  <c r="H1905" i="18"/>
  <c r="H1907" i="18"/>
  <c r="H1909" i="18"/>
  <c r="H1911" i="18"/>
  <c r="H1913" i="18"/>
  <c r="H1915" i="18"/>
  <c r="H1917" i="18"/>
  <c r="H1919" i="18"/>
  <c r="H1921" i="18"/>
  <c r="H1923" i="18"/>
  <c r="H1925" i="18"/>
  <c r="H1927" i="18"/>
  <c r="H1929" i="18"/>
  <c r="H1931" i="18"/>
  <c r="H1933" i="18"/>
  <c r="H1935" i="18"/>
  <c r="H1937" i="18"/>
  <c r="H1939" i="18"/>
  <c r="H1941" i="18"/>
  <c r="H1943" i="18"/>
  <c r="H1945" i="18"/>
  <c r="H1947" i="18"/>
  <c r="H1949" i="18"/>
  <c r="H1951" i="18"/>
  <c r="H1953" i="18"/>
  <c r="H1955" i="18"/>
  <c r="H1957" i="18"/>
  <c r="H1959" i="18"/>
  <c r="H1961" i="18"/>
  <c r="H1963" i="18"/>
  <c r="H20" i="18"/>
  <c r="H52" i="18"/>
  <c r="H84" i="18"/>
  <c r="H116" i="18"/>
  <c r="H148" i="18"/>
  <c r="H177" i="18"/>
  <c r="H193" i="18"/>
  <c r="H209" i="18"/>
  <c r="H225" i="18"/>
  <c r="H241" i="18"/>
  <c r="H257" i="18"/>
  <c r="H273" i="18"/>
  <c r="H289" i="18"/>
  <c r="H305" i="18"/>
  <c r="H321" i="18"/>
  <c r="H337" i="18"/>
  <c r="H353" i="18"/>
  <c r="H369" i="18"/>
  <c r="H385" i="18"/>
  <c r="H401" i="18"/>
  <c r="H417" i="18"/>
  <c r="H431" i="18"/>
  <c r="H439" i="18"/>
  <c r="H447" i="18"/>
  <c r="H455" i="18"/>
  <c r="H463" i="18"/>
  <c r="H471" i="18"/>
  <c r="H479" i="18"/>
  <c r="H487" i="18"/>
  <c r="H495" i="18"/>
  <c r="H503" i="18"/>
  <c r="H511" i="18"/>
  <c r="H519" i="18"/>
  <c r="H527" i="18"/>
  <c r="H535" i="18"/>
  <c r="H543" i="18"/>
  <c r="H551" i="18"/>
  <c r="H559" i="18"/>
  <c r="H567" i="18"/>
  <c r="H575" i="18"/>
  <c r="H583" i="18"/>
  <c r="H591" i="18"/>
  <c r="H599" i="18"/>
  <c r="H607" i="18"/>
  <c r="H615" i="18"/>
  <c r="H623" i="18"/>
  <c r="H631" i="18"/>
  <c r="H639" i="18"/>
  <c r="H647" i="18"/>
  <c r="H655" i="18"/>
  <c r="H663" i="18"/>
  <c r="H671" i="18"/>
  <c r="H679" i="18"/>
  <c r="H687" i="18"/>
  <c r="H695" i="18"/>
  <c r="H703" i="18"/>
  <c r="H711" i="18"/>
  <c r="H719" i="18"/>
  <c r="H727" i="18"/>
  <c r="H735" i="18"/>
  <c r="H743" i="18"/>
  <c r="H751" i="18"/>
  <c r="H759" i="18"/>
  <c r="H767" i="18"/>
  <c r="H775" i="18"/>
  <c r="H783" i="18"/>
  <c r="H791" i="18"/>
  <c r="H799" i="18"/>
  <c r="H807" i="18"/>
  <c r="H815" i="18"/>
  <c r="H823" i="18"/>
  <c r="H831" i="18"/>
  <c r="H839" i="18"/>
  <c r="H847" i="18"/>
  <c r="H855" i="18"/>
  <c r="H863" i="18"/>
  <c r="H871" i="18"/>
  <c r="H879" i="18"/>
  <c r="H887" i="18"/>
  <c r="H895" i="18"/>
  <c r="H903" i="18"/>
  <c r="H911" i="18"/>
  <c r="H919" i="18"/>
  <c r="H927" i="18"/>
  <c r="H935" i="18"/>
  <c r="H942" i="18"/>
  <c r="H946" i="18"/>
  <c r="H950" i="18"/>
  <c r="H954" i="18"/>
  <c r="H958" i="18"/>
  <c r="H962" i="18"/>
  <c r="H966" i="18"/>
  <c r="H970" i="18"/>
  <c r="H974" i="18"/>
  <c r="H978" i="18"/>
  <c r="H982" i="18"/>
  <c r="H986" i="18"/>
  <c r="H990" i="18"/>
  <c r="H994" i="18"/>
  <c r="H998" i="18"/>
  <c r="H1002" i="18"/>
  <c r="H1006" i="18"/>
  <c r="H1010" i="18"/>
  <c r="H1014" i="18"/>
  <c r="H1018" i="18"/>
  <c r="H1022" i="18"/>
  <c r="H1026" i="18"/>
  <c r="H1030" i="18"/>
  <c r="H1034" i="18"/>
  <c r="H1038" i="18"/>
  <c r="H1042" i="18"/>
  <c r="H1046" i="18"/>
  <c r="H1050" i="18"/>
  <c r="H1054" i="18"/>
  <c r="H1058" i="18"/>
  <c r="H1062" i="18"/>
  <c r="H1066" i="18"/>
  <c r="H1070" i="18"/>
  <c r="H1074" i="18"/>
  <c r="H1078" i="18"/>
  <c r="H1082" i="18"/>
  <c r="H1086" i="18"/>
  <c r="H1090" i="18"/>
  <c r="H1094" i="18"/>
  <c r="H1098" i="18"/>
  <c r="H1102" i="18"/>
  <c r="H1106" i="18"/>
  <c r="H1110" i="18"/>
  <c r="H1114" i="18"/>
  <c r="H1118" i="18"/>
  <c r="H1122" i="18"/>
  <c r="H1126" i="18"/>
  <c r="H1130" i="18"/>
  <c r="H1134" i="18"/>
  <c r="H1138" i="18"/>
  <c r="H1142" i="18"/>
  <c r="H1146" i="18"/>
  <c r="H1150" i="18"/>
  <c r="H1154" i="18"/>
  <c r="H1158" i="18"/>
  <c r="H1162" i="18"/>
  <c r="H1166" i="18"/>
  <c r="H1170" i="18"/>
  <c r="H1174" i="18"/>
  <c r="H1178" i="18"/>
  <c r="H1182" i="18"/>
  <c r="H1186" i="18"/>
  <c r="H1190" i="18"/>
  <c r="H1194" i="18"/>
  <c r="H1198" i="18"/>
  <c r="H1202" i="18"/>
  <c r="H1206" i="18"/>
  <c r="H1210" i="18"/>
  <c r="H1214" i="18"/>
  <c r="H1218" i="18"/>
  <c r="H1222" i="18"/>
  <c r="H1226" i="18"/>
  <c r="H1230" i="18"/>
  <c r="H1234" i="18"/>
  <c r="H1238" i="18"/>
  <c r="H1242" i="18"/>
  <c r="H1246" i="18"/>
  <c r="H1250" i="18"/>
  <c r="H1254" i="18"/>
  <c r="H1258" i="18"/>
  <c r="H1262" i="18"/>
  <c r="H1266" i="18"/>
  <c r="H1270" i="18"/>
  <c r="H1274" i="18"/>
  <c r="H1278" i="18"/>
  <c r="H1282" i="18"/>
  <c r="H1286" i="18"/>
  <c r="H1290" i="18"/>
  <c r="H1294" i="18"/>
  <c r="H1298" i="18"/>
  <c r="H1302" i="18"/>
  <c r="H1306" i="18"/>
  <c r="H1310" i="18"/>
  <c r="H1314" i="18"/>
  <c r="H1318" i="18"/>
  <c r="H1322" i="18"/>
  <c r="H1326" i="18"/>
  <c r="H1330" i="18"/>
  <c r="H1334" i="18"/>
  <c r="H1338" i="18"/>
  <c r="H1342" i="18"/>
  <c r="H1346" i="18"/>
  <c r="H1350" i="18"/>
  <c r="H1354" i="18"/>
  <c r="H1358" i="18"/>
  <c r="H1362" i="18"/>
  <c r="H1366" i="18"/>
  <c r="H1370" i="18"/>
  <c r="H1374" i="18"/>
  <c r="H1378" i="18"/>
  <c r="H1382" i="18"/>
  <c r="H1386" i="18"/>
  <c r="H1390" i="18"/>
  <c r="H1394" i="18"/>
  <c r="H1398" i="18"/>
  <c r="H1402" i="18"/>
  <c r="H1406" i="18"/>
  <c r="H1410" i="18"/>
  <c r="H1414" i="18"/>
  <c r="H1418" i="18"/>
  <c r="H1422" i="18"/>
  <c r="H1426" i="18"/>
  <c r="H1430" i="18"/>
  <c r="H1434" i="18"/>
  <c r="H1438" i="18"/>
  <c r="H1442" i="18"/>
  <c r="H1446" i="18"/>
  <c r="H1450" i="18"/>
  <c r="H1454" i="18"/>
  <c r="H1458" i="18"/>
  <c r="H1462" i="18"/>
  <c r="H1466" i="18"/>
  <c r="H1470" i="18"/>
  <c r="H1474" i="18"/>
  <c r="H1478" i="18"/>
  <c r="H1482" i="18"/>
  <c r="H1486" i="18"/>
  <c r="H1490" i="18"/>
  <c r="H1494" i="18"/>
  <c r="H1498" i="18"/>
  <c r="H1502" i="18"/>
  <c r="H1506" i="18"/>
  <c r="H1510" i="18"/>
  <c r="H1514" i="18"/>
  <c r="H1518" i="18"/>
  <c r="H1522" i="18"/>
  <c r="H1526" i="18"/>
  <c r="H1530" i="18"/>
  <c r="H1534" i="18"/>
  <c r="H1538" i="18"/>
  <c r="H1542" i="18"/>
  <c r="H1546" i="18"/>
  <c r="H1550" i="18"/>
  <c r="H1554" i="18"/>
  <c r="H1558" i="18"/>
  <c r="H1562" i="18"/>
  <c r="H1566" i="18"/>
  <c r="H1570" i="18"/>
  <c r="H1574" i="18"/>
  <c r="H1578" i="18"/>
  <c r="H1582" i="18"/>
  <c r="H1586" i="18"/>
  <c r="H1590" i="18"/>
  <c r="H1594" i="18"/>
  <c r="H1598" i="18"/>
  <c r="H1602" i="18"/>
  <c r="H1606" i="18"/>
  <c r="H1610" i="18"/>
  <c r="H1614" i="18"/>
  <c r="H1618" i="18"/>
  <c r="H1622" i="18"/>
  <c r="H1626" i="18"/>
  <c r="H1630" i="18"/>
  <c r="H1634" i="18"/>
  <c r="H1638" i="18"/>
  <c r="H1642" i="18"/>
  <c r="H1646" i="18"/>
  <c r="H1650" i="18"/>
  <c r="H1654" i="18"/>
  <c r="H1658" i="18"/>
  <c r="H1662" i="18"/>
  <c r="H1666" i="18"/>
  <c r="H1670" i="18"/>
  <c r="H1674" i="18"/>
  <c r="H1678" i="18"/>
  <c r="H1682" i="18"/>
  <c r="H1686" i="18"/>
  <c r="H1690" i="18"/>
  <c r="H1694" i="18"/>
  <c r="H1698" i="18"/>
  <c r="H1702" i="18"/>
  <c r="H1706" i="18"/>
  <c r="H1710" i="18"/>
  <c r="H1714" i="18"/>
  <c r="H1718" i="18"/>
  <c r="H1722" i="18"/>
  <c r="H1726" i="18"/>
  <c r="H1730" i="18"/>
  <c r="H1734" i="18"/>
  <c r="H1738" i="18"/>
  <c r="H1742" i="18"/>
  <c r="H1746" i="18"/>
  <c r="H1750" i="18"/>
  <c r="H1754" i="18"/>
  <c r="H1758" i="18"/>
  <c r="H1762" i="18"/>
  <c r="H1766" i="18"/>
  <c r="H1770" i="18"/>
  <c r="H1774" i="18"/>
  <c r="H1778" i="18"/>
  <c r="H1782" i="18"/>
  <c r="H1786" i="18"/>
  <c r="H1790" i="18"/>
  <c r="H1794" i="18"/>
  <c r="H1798" i="18"/>
  <c r="H1802" i="18"/>
  <c r="H1806" i="18"/>
  <c r="H1810" i="18"/>
  <c r="H1814" i="18"/>
  <c r="H1818" i="18"/>
  <c r="H1822" i="18"/>
  <c r="H1826" i="18"/>
  <c r="H1830" i="18"/>
  <c r="H1834" i="18"/>
  <c r="H1838" i="18"/>
  <c r="H1842" i="18"/>
  <c r="H1846" i="18"/>
  <c r="H1850" i="18"/>
  <c r="H1854" i="18"/>
  <c r="H1858" i="18"/>
  <c r="H1862" i="18"/>
  <c r="H1866" i="18"/>
  <c r="H1870" i="18"/>
  <c r="H1874" i="18"/>
  <c r="H1878" i="18"/>
  <c r="H1882" i="18"/>
  <c r="H1886" i="18"/>
  <c r="H1890" i="18"/>
  <c r="H1894" i="18"/>
  <c r="H1898" i="18"/>
  <c r="H1902" i="18"/>
  <c r="H1906" i="18"/>
  <c r="H1910" i="18"/>
  <c r="H1914" i="18"/>
  <c r="H1918" i="18"/>
  <c r="H1922" i="18"/>
  <c r="H1926" i="18"/>
  <c r="H1930" i="18"/>
  <c r="H1934" i="18"/>
  <c r="H1938" i="18"/>
  <c r="H1942" i="18"/>
  <c r="H1946" i="18"/>
  <c r="H1950" i="18"/>
  <c r="H1954" i="18"/>
  <c r="H1958" i="18"/>
  <c r="H1962" i="18"/>
  <c r="H1965" i="18"/>
  <c r="H1967" i="18"/>
  <c r="H1969" i="18"/>
  <c r="H1971" i="18"/>
  <c r="H1973" i="18"/>
  <c r="H1975" i="18"/>
  <c r="H1977" i="18"/>
  <c r="H1979" i="18"/>
  <c r="H1981" i="18"/>
  <c r="H1983" i="18"/>
  <c r="H1985" i="18"/>
  <c r="H1987" i="18"/>
  <c r="H1989" i="18"/>
  <c r="H1991" i="18"/>
  <c r="H1993" i="18"/>
  <c r="H1995" i="18"/>
  <c r="H1997" i="18"/>
  <c r="H1999" i="18"/>
  <c r="H2001" i="18"/>
  <c r="H2003" i="18"/>
  <c r="H2005" i="18"/>
  <c r="H2007" i="18"/>
  <c r="H2009" i="18"/>
  <c r="H2011" i="18"/>
  <c r="H2013" i="18"/>
  <c r="H2015" i="18"/>
  <c r="H2017" i="18"/>
  <c r="H2019" i="18"/>
  <c r="H2021" i="18"/>
  <c r="H2023" i="18"/>
  <c r="H2025" i="18"/>
  <c r="H2027" i="18"/>
  <c r="H2029" i="18"/>
  <c r="H2031" i="18"/>
  <c r="H2033" i="18"/>
  <c r="H2035" i="18"/>
  <c r="H2037" i="18"/>
  <c r="H2039" i="18"/>
  <c r="H2041" i="18"/>
  <c r="H2043" i="18"/>
  <c r="H2045" i="18"/>
  <c r="H2047" i="18"/>
  <c r="H2049" i="18"/>
  <c r="H2051" i="18"/>
  <c r="H2053" i="18"/>
  <c r="H2055" i="18"/>
  <c r="H2057" i="18"/>
  <c r="H2059" i="18"/>
  <c r="H2061" i="18"/>
  <c r="H2063" i="18"/>
  <c r="H2065" i="18"/>
  <c r="H2067" i="18"/>
  <c r="H2069" i="18"/>
  <c r="H2071" i="18"/>
  <c r="H2073" i="18"/>
  <c r="H2075" i="18"/>
  <c r="H2077" i="18"/>
  <c r="H2079" i="18"/>
  <c r="H2081" i="18"/>
  <c r="H2083" i="18"/>
  <c r="H2085" i="18"/>
  <c r="H2087" i="18"/>
  <c r="H2089" i="18"/>
  <c r="H2091" i="18"/>
  <c r="H2093" i="18"/>
  <c r="H2095" i="18"/>
  <c r="H2097" i="18"/>
  <c r="H2099" i="18"/>
  <c r="H2101" i="18"/>
  <c r="H2103" i="18"/>
  <c r="H2105" i="18"/>
  <c r="H2107" i="18"/>
  <c r="H2109" i="18"/>
  <c r="H2111" i="18"/>
  <c r="H2113" i="18"/>
  <c r="H2115" i="18"/>
  <c r="H2117" i="18"/>
  <c r="H2119" i="18"/>
  <c r="H2121" i="18"/>
  <c r="H2123" i="18"/>
  <c r="H2125" i="18"/>
  <c r="H2127" i="18"/>
  <c r="H2129" i="18"/>
  <c r="H2131" i="18"/>
  <c r="H2133" i="18"/>
  <c r="H2135" i="18"/>
  <c r="H2137" i="18"/>
  <c r="H2139" i="18"/>
  <c r="H2141" i="18"/>
  <c r="H2143" i="18"/>
  <c r="H2145" i="18"/>
  <c r="H2147" i="18"/>
  <c r="H2149" i="18"/>
  <c r="H2151" i="18"/>
  <c r="H2153" i="18"/>
  <c r="H2155" i="18"/>
  <c r="H2157" i="18"/>
  <c r="H2159" i="18"/>
  <c r="H2161" i="18"/>
  <c r="H2163" i="18"/>
  <c r="H2165" i="18"/>
  <c r="H2167" i="18"/>
  <c r="H2169" i="18"/>
  <c r="H2171" i="18"/>
  <c r="H2173" i="18"/>
  <c r="H2175" i="18"/>
  <c r="H2177" i="18"/>
  <c r="H2179" i="18"/>
  <c r="H2181" i="18"/>
  <c r="H2183" i="18"/>
  <c r="H2185" i="18"/>
  <c r="H2187" i="18"/>
  <c r="H2189" i="18"/>
  <c r="H2191" i="18"/>
  <c r="H2193" i="18"/>
  <c r="H2195" i="18"/>
  <c r="H2197" i="18"/>
  <c r="H2199" i="18"/>
  <c r="H2201" i="18"/>
  <c r="H2203" i="18"/>
  <c r="H2205" i="18"/>
  <c r="H2207" i="18"/>
  <c r="H2209" i="18"/>
  <c r="H2211" i="18"/>
  <c r="H2213" i="18"/>
  <c r="H2215" i="18"/>
  <c r="H2217" i="18"/>
  <c r="H2219" i="18"/>
  <c r="H2221" i="18"/>
  <c r="H2223" i="18"/>
  <c r="H2225" i="18"/>
  <c r="H2227" i="18"/>
  <c r="H2229" i="18"/>
  <c r="H2231" i="18"/>
  <c r="H2233" i="18"/>
  <c r="H2235" i="18"/>
  <c r="H2237" i="18"/>
  <c r="H2239" i="18"/>
  <c r="H2241" i="18"/>
  <c r="H2243" i="18"/>
  <c r="H2245" i="18"/>
  <c r="H2247" i="18"/>
  <c r="H2249" i="18"/>
  <c r="H2251" i="18"/>
  <c r="H2253" i="18"/>
  <c r="H2255" i="18"/>
  <c r="H2257" i="18"/>
  <c r="H2259" i="18"/>
  <c r="H2261" i="18"/>
  <c r="H2263" i="18"/>
  <c r="H2265" i="18"/>
  <c r="H2267" i="18"/>
  <c r="H2269" i="18"/>
  <c r="H2271" i="18"/>
  <c r="H2273" i="18"/>
  <c r="H2275" i="18"/>
  <c r="H2277" i="18"/>
  <c r="H2279" i="18"/>
  <c r="H2281" i="18"/>
  <c r="H2283" i="18"/>
  <c r="H2285" i="18"/>
  <c r="H2287" i="18"/>
  <c r="H2289" i="18"/>
  <c r="H2291" i="18"/>
  <c r="H2293" i="18"/>
  <c r="H2295" i="18"/>
  <c r="H2297" i="18"/>
  <c r="H2299" i="18"/>
  <c r="H2301" i="18"/>
  <c r="H2303" i="18"/>
  <c r="H2305" i="18"/>
  <c r="H2307" i="18"/>
  <c r="H2309" i="18"/>
  <c r="H2311" i="18"/>
  <c r="H2313" i="18"/>
  <c r="H2315" i="18"/>
  <c r="H2317" i="18"/>
  <c r="H2319" i="18"/>
  <c r="H2321" i="18"/>
  <c r="H2323" i="18"/>
  <c r="H2325" i="18"/>
  <c r="H2327" i="18"/>
  <c r="H2329" i="18"/>
  <c r="H2331" i="18"/>
  <c r="H2333" i="18"/>
  <c r="H2335" i="18"/>
  <c r="H2337" i="18"/>
  <c r="H2339" i="18"/>
  <c r="H2341" i="18"/>
  <c r="H2343" i="18"/>
  <c r="H2345" i="18"/>
  <c r="H2347" i="18"/>
  <c r="H2349" i="18"/>
  <c r="H2351" i="18"/>
  <c r="H2353" i="18"/>
  <c r="H2355" i="18"/>
  <c r="H2357" i="18"/>
  <c r="H2359" i="18"/>
  <c r="H2361" i="18"/>
  <c r="H2363" i="18"/>
  <c r="H2365" i="18"/>
  <c r="H2367" i="18"/>
  <c r="H2369" i="18"/>
  <c r="H2371" i="18"/>
  <c r="H2373" i="18"/>
  <c r="H2375" i="18"/>
  <c r="H2377" i="18"/>
  <c r="H2379" i="18"/>
  <c r="H2381" i="18"/>
  <c r="H2383" i="18"/>
  <c r="H2385" i="18"/>
  <c r="H2387" i="18"/>
  <c r="H2389" i="18"/>
  <c r="H2391" i="18"/>
  <c r="H2393" i="18"/>
  <c r="H2395" i="18"/>
  <c r="H2397" i="18"/>
  <c r="H2399" i="18"/>
  <c r="H2401" i="18"/>
  <c r="H2403" i="18"/>
  <c r="H2405" i="18"/>
  <c r="H2407" i="18"/>
  <c r="H2409" i="18"/>
  <c r="H2411" i="18"/>
  <c r="H2413" i="18"/>
  <c r="H2415" i="18"/>
  <c r="H2417" i="18"/>
  <c r="H2419" i="18"/>
  <c r="H2421" i="18"/>
  <c r="H2423" i="18"/>
  <c r="H2425" i="18"/>
  <c r="H2427" i="18"/>
  <c r="H2429" i="18"/>
  <c r="H2431" i="18"/>
  <c r="H2433" i="18"/>
  <c r="H2435" i="18"/>
  <c r="H2437" i="18"/>
  <c r="H2439" i="18"/>
  <c r="H2441" i="18"/>
  <c r="H2443" i="18"/>
  <c r="H2445" i="18"/>
  <c r="H2447" i="18"/>
  <c r="H2449" i="18"/>
  <c r="H2451" i="18"/>
  <c r="H2453" i="18"/>
  <c r="H2455" i="18"/>
  <c r="H2457" i="18"/>
  <c r="H2459" i="18"/>
  <c r="H2461" i="18"/>
  <c r="H2463" i="18"/>
  <c r="H2465" i="18"/>
  <c r="H2467" i="18"/>
  <c r="H2469" i="18"/>
  <c r="H2471" i="18"/>
  <c r="H2473" i="18"/>
  <c r="H2475" i="18"/>
  <c r="H2477" i="18"/>
  <c r="H2479" i="18"/>
  <c r="H2481" i="18"/>
  <c r="H2483" i="18"/>
  <c r="H2485" i="18"/>
  <c r="H2487" i="18"/>
  <c r="H2489" i="18"/>
  <c r="H2491" i="18"/>
  <c r="H2493" i="18"/>
  <c r="H2495" i="18"/>
  <c r="H2497" i="18"/>
  <c r="H2499" i="18"/>
  <c r="H2501" i="18"/>
  <c r="H2503" i="18"/>
  <c r="H2505" i="18"/>
  <c r="H2507" i="18"/>
  <c r="H2509" i="18"/>
  <c r="H2511" i="18"/>
  <c r="H2513" i="18"/>
  <c r="H2515" i="18"/>
  <c r="H2517" i="18"/>
  <c r="H2519" i="18"/>
  <c r="H2521" i="18"/>
  <c r="H2523" i="18"/>
  <c r="H2525" i="18"/>
  <c r="H2527" i="18"/>
  <c r="H2529" i="18"/>
  <c r="H2531" i="18"/>
  <c r="H2533" i="18"/>
  <c r="H2535" i="18"/>
  <c r="H2537" i="18"/>
  <c r="H2539" i="18"/>
  <c r="H2541" i="18"/>
  <c r="H2543" i="18"/>
  <c r="H2545" i="18"/>
  <c r="H2547" i="18"/>
  <c r="H2549" i="18"/>
  <c r="H2551" i="18"/>
  <c r="H2553" i="18"/>
  <c r="H2555" i="18"/>
  <c r="H2557" i="18"/>
  <c r="H2559" i="18"/>
  <c r="H2561" i="18"/>
  <c r="H2563" i="18"/>
  <c r="H2565" i="18"/>
  <c r="H2567" i="18"/>
  <c r="H2569" i="18"/>
  <c r="H2571" i="18"/>
  <c r="H2573" i="18"/>
  <c r="H2575" i="18"/>
  <c r="H2577" i="18"/>
  <c r="H2579" i="18"/>
  <c r="H2581" i="18"/>
  <c r="H2583" i="18"/>
  <c r="H2585" i="18"/>
  <c r="H2587" i="18"/>
  <c r="H2589" i="18"/>
  <c r="H2591" i="18"/>
  <c r="H2593" i="18"/>
  <c r="H2595" i="18"/>
  <c r="H2597" i="18"/>
  <c r="H2599" i="18"/>
  <c r="H2601" i="18"/>
  <c r="H2603" i="18"/>
  <c r="H2605" i="18"/>
  <c r="H2607" i="18"/>
  <c r="H2609" i="18"/>
  <c r="H2611" i="18"/>
  <c r="H2613" i="18"/>
  <c r="H2615" i="18"/>
  <c r="H2617" i="18"/>
  <c r="H2619" i="18"/>
  <c r="H2621" i="18"/>
  <c r="H2623" i="18"/>
  <c r="H2625" i="18"/>
  <c r="H2627" i="18"/>
  <c r="H2629" i="18"/>
  <c r="H2631" i="18"/>
  <c r="H2633" i="18"/>
  <c r="H2635" i="18"/>
  <c r="H2637" i="18"/>
  <c r="H2639" i="18"/>
  <c r="H2641" i="18"/>
  <c r="H2643" i="18"/>
  <c r="H2645" i="18"/>
  <c r="H2647" i="18"/>
  <c r="H2649" i="18"/>
  <c r="H2651" i="18"/>
  <c r="H2653" i="18"/>
  <c r="H2655" i="18"/>
  <c r="H2657" i="18"/>
  <c r="H2659" i="18"/>
  <c r="H2661" i="18"/>
  <c r="H2663" i="18"/>
  <c r="H2665" i="18"/>
  <c r="H2667" i="18"/>
  <c r="H2669" i="18"/>
  <c r="H2671" i="18"/>
  <c r="H2673" i="18"/>
  <c r="H2675" i="18"/>
  <c r="H2677" i="18"/>
  <c r="H2679" i="18"/>
  <c r="H2681" i="18"/>
  <c r="H2683" i="18"/>
  <c r="H2685" i="18"/>
  <c r="H2687" i="18"/>
  <c r="H2689" i="18"/>
  <c r="H2691" i="18"/>
  <c r="H2693" i="18"/>
  <c r="H2695" i="18"/>
  <c r="H2697" i="18"/>
  <c r="H2699" i="18"/>
  <c r="H2701" i="18"/>
  <c r="H2703" i="18"/>
  <c r="H2705" i="18"/>
  <c r="H2707" i="18"/>
  <c r="H2709" i="18"/>
  <c r="H2711" i="18"/>
  <c r="H2713" i="18"/>
  <c r="H2715" i="18"/>
  <c r="H2717" i="18"/>
  <c r="H2719" i="18"/>
  <c r="H2721" i="18"/>
  <c r="H2723" i="18"/>
  <c r="H2725" i="18"/>
  <c r="H2727" i="18"/>
  <c r="H2729" i="18"/>
  <c r="H2731" i="18"/>
  <c r="H2733" i="18"/>
  <c r="H2735" i="18"/>
  <c r="H2737" i="18"/>
  <c r="H2739" i="18"/>
  <c r="H2741" i="18"/>
  <c r="H2743" i="18"/>
  <c r="H2745" i="18"/>
  <c r="H2747" i="18"/>
  <c r="H2749" i="18"/>
  <c r="H2751" i="18"/>
  <c r="H2753" i="18"/>
  <c r="H2755" i="18"/>
  <c r="H2757" i="18"/>
  <c r="H2759" i="18"/>
  <c r="H2761" i="18"/>
  <c r="H2763" i="18"/>
  <c r="H2765" i="18"/>
  <c r="H2767" i="18"/>
  <c r="H2769" i="18"/>
  <c r="H2771" i="18"/>
  <c r="H2773" i="18"/>
  <c r="H2775" i="18"/>
  <c r="H2777" i="18"/>
  <c r="H2779" i="18"/>
  <c r="H2781" i="18"/>
  <c r="H2783" i="18"/>
  <c r="H2785" i="18"/>
  <c r="H2787" i="18"/>
  <c r="H2789" i="18"/>
  <c r="H2791" i="18"/>
  <c r="H2793" i="18"/>
  <c r="H2795" i="18"/>
  <c r="H2797" i="18"/>
  <c r="H2799" i="18"/>
  <c r="H2801" i="18"/>
  <c r="H2803" i="18"/>
  <c r="H2805" i="18"/>
  <c r="H2807" i="18"/>
  <c r="H2809" i="18"/>
  <c r="H2811" i="18"/>
  <c r="H2813" i="18"/>
  <c r="H2815" i="18"/>
  <c r="H2817" i="18"/>
  <c r="H2819" i="18"/>
  <c r="H2821" i="18"/>
  <c r="H2823" i="18"/>
  <c r="H2825" i="18"/>
  <c r="H2827" i="18"/>
  <c r="H2829" i="18"/>
  <c r="H2831" i="18"/>
  <c r="H2833" i="18"/>
  <c r="H2835" i="18"/>
  <c r="H2837" i="18"/>
  <c r="H2839" i="18"/>
  <c r="H2841" i="18"/>
  <c r="H2843" i="18"/>
  <c r="H2845" i="18"/>
  <c r="H2847" i="18"/>
  <c r="H2849" i="18"/>
  <c r="H2851" i="18"/>
  <c r="H2853" i="18"/>
  <c r="H2855" i="18"/>
  <c r="H2857" i="18"/>
  <c r="H2859" i="18"/>
  <c r="H2861" i="18"/>
  <c r="H2863" i="18"/>
  <c r="H2865" i="18"/>
  <c r="H2867" i="18"/>
  <c r="H2869" i="18"/>
  <c r="H2871" i="18"/>
  <c r="H2873" i="18"/>
  <c r="H2875" i="18"/>
  <c r="H2877" i="18"/>
  <c r="H2879" i="18"/>
  <c r="H2881" i="18"/>
  <c r="H2883" i="18"/>
  <c r="H2885" i="18"/>
  <c r="H2887" i="18"/>
  <c r="H2889" i="18"/>
  <c r="H2891" i="18"/>
  <c r="H2893" i="18"/>
  <c r="H2895" i="18"/>
  <c r="H2897" i="18"/>
  <c r="H2899" i="18"/>
  <c r="H2901" i="18"/>
  <c r="H2903" i="18"/>
  <c r="H2905" i="18"/>
  <c r="H2907" i="18"/>
  <c r="H2909" i="18"/>
  <c r="H2911" i="18"/>
  <c r="H2913" i="18"/>
  <c r="H2915" i="18"/>
  <c r="H2917" i="18"/>
  <c r="H2919" i="18"/>
  <c r="H2921" i="18"/>
  <c r="H2923" i="18"/>
  <c r="H2925" i="18"/>
  <c r="H2927" i="18"/>
  <c r="H2929" i="18"/>
  <c r="H2931" i="18"/>
  <c r="H2933" i="18"/>
  <c r="H2935" i="18"/>
  <c r="H2937" i="18"/>
  <c r="H2939" i="18"/>
  <c r="H2941" i="18"/>
  <c r="H2943" i="18"/>
  <c r="H2945" i="18"/>
  <c r="H2947" i="18"/>
  <c r="H2949" i="18"/>
  <c r="H2951" i="18"/>
  <c r="H2953" i="18"/>
  <c r="H2955" i="18"/>
  <c r="H2957" i="18"/>
  <c r="H2959" i="18"/>
  <c r="H2961" i="18"/>
  <c r="H2963" i="18"/>
  <c r="H2965" i="18"/>
  <c r="H2967" i="18"/>
  <c r="H2969" i="18"/>
  <c r="H2971" i="18"/>
  <c r="H2973" i="18"/>
  <c r="H2975" i="18"/>
  <c r="H2977" i="18"/>
  <c r="H2979" i="18"/>
  <c r="H2981" i="18"/>
  <c r="H2983" i="18"/>
  <c r="H2985" i="18"/>
  <c r="H2987" i="18"/>
  <c r="H2989" i="18"/>
  <c r="H2991" i="18"/>
  <c r="H2993" i="18"/>
  <c r="H2995" i="18"/>
  <c r="H2997" i="18"/>
  <c r="H2999" i="18"/>
  <c r="H3001" i="18"/>
  <c r="H3003" i="18"/>
  <c r="H3005" i="18"/>
  <c r="H3007" i="18"/>
  <c r="H3009" i="18"/>
  <c r="H3011" i="18"/>
  <c r="H3013" i="18"/>
  <c r="H3015" i="18"/>
  <c r="H3017" i="18"/>
  <c r="H3019" i="18"/>
  <c r="H3021" i="18"/>
  <c r="H3023" i="18"/>
  <c r="H3025" i="18"/>
  <c r="H3027" i="18"/>
  <c r="H3029" i="18"/>
  <c r="H3031" i="18"/>
  <c r="H3033" i="18"/>
  <c r="H3035" i="18"/>
  <c r="H3037" i="18"/>
  <c r="H3039" i="18"/>
  <c r="H3041" i="18"/>
  <c r="H3043" i="18"/>
  <c r="H3045" i="18"/>
  <c r="H3047" i="18"/>
  <c r="H3049" i="18"/>
  <c r="H3051" i="18"/>
  <c r="H3053" i="18"/>
  <c r="H3055" i="18"/>
  <c r="H3057" i="18"/>
  <c r="H3059" i="18"/>
  <c r="H3061" i="18"/>
  <c r="H3063" i="18"/>
  <c r="H3065" i="18"/>
  <c r="H3067" i="18"/>
  <c r="H3069" i="18"/>
  <c r="H3071" i="18"/>
  <c r="H3073" i="18"/>
  <c r="H3075" i="18"/>
  <c r="H3077" i="18"/>
  <c r="H3079" i="18"/>
  <c r="H3081" i="18"/>
  <c r="H3083" i="18"/>
  <c r="H3085" i="18"/>
  <c r="H3087" i="18"/>
  <c r="H3089" i="18"/>
  <c r="H3091" i="18"/>
  <c r="H3093" i="18"/>
  <c r="H3095" i="18"/>
  <c r="H3097" i="18"/>
  <c r="H3099" i="18"/>
  <c r="H3101" i="18"/>
  <c r="H3103" i="18"/>
  <c r="H3105" i="18"/>
  <c r="H3107" i="18"/>
  <c r="H3109" i="18"/>
  <c r="H3111" i="18"/>
  <c r="H3113" i="18"/>
  <c r="H3115" i="18"/>
  <c r="H3117" i="18"/>
  <c r="H3119" i="18"/>
  <c r="H3121" i="18"/>
  <c r="H3123" i="18"/>
  <c r="H3125" i="18"/>
  <c r="H3127" i="18"/>
  <c r="H3129" i="18"/>
  <c r="H3131" i="18"/>
  <c r="H3133" i="18"/>
  <c r="H3135" i="18"/>
  <c r="H3137" i="18"/>
  <c r="H3139" i="18"/>
  <c r="H3141" i="18"/>
  <c r="H3143" i="18"/>
  <c r="H3145" i="18"/>
  <c r="H3147" i="18"/>
  <c r="H3149" i="18"/>
  <c r="H3151" i="18"/>
  <c r="H3153" i="18"/>
  <c r="H3155" i="18"/>
  <c r="H3157" i="18"/>
  <c r="H3159" i="18"/>
  <c r="H3161" i="18"/>
  <c r="H3163" i="18"/>
  <c r="H3165" i="18"/>
  <c r="H3167" i="18"/>
  <c r="H3169" i="18"/>
  <c r="H3171" i="18"/>
  <c r="H3173" i="18"/>
  <c r="H3175" i="18"/>
  <c r="H3177" i="18"/>
  <c r="H3179" i="18"/>
  <c r="H3181" i="18"/>
  <c r="H3183" i="18"/>
  <c r="H3185" i="18"/>
  <c r="H3187" i="18"/>
  <c r="H3189" i="18"/>
  <c r="H3191" i="18"/>
  <c r="H3193" i="18"/>
  <c r="H3195" i="18"/>
  <c r="H3197" i="18"/>
  <c r="H3199" i="18"/>
  <c r="H3201" i="18"/>
  <c r="H3203" i="18"/>
  <c r="H3205" i="18"/>
  <c r="H3207" i="18"/>
  <c r="H3209" i="18"/>
  <c r="H3211" i="18"/>
  <c r="H3213" i="18"/>
  <c r="H3215" i="18"/>
  <c r="H3217" i="18"/>
  <c r="H3219" i="18"/>
  <c r="H3221" i="18"/>
  <c r="H3223" i="18"/>
  <c r="H3225" i="18"/>
  <c r="H3227" i="18"/>
  <c r="H3229" i="18"/>
  <c r="H3231" i="18"/>
  <c r="H3233" i="18"/>
  <c r="H3235" i="18"/>
  <c r="H3237" i="18"/>
  <c r="H3239" i="18"/>
  <c r="H3241" i="18"/>
  <c r="H3243" i="18"/>
  <c r="H3245" i="18"/>
  <c r="H3247" i="18"/>
  <c r="H3249" i="18"/>
  <c r="H3251" i="18"/>
  <c r="H3253" i="18"/>
  <c r="H3255" i="18"/>
  <c r="H3257" i="18"/>
  <c r="H3259" i="18"/>
  <c r="H3261" i="18"/>
  <c r="H3263" i="18"/>
  <c r="H3265" i="18"/>
  <c r="H3267" i="18"/>
  <c r="H3269" i="18"/>
  <c r="H3271" i="18"/>
  <c r="H3273" i="18"/>
  <c r="H3275" i="18"/>
  <c r="H3277" i="18"/>
  <c r="H3279" i="18"/>
  <c r="H3281" i="18"/>
  <c r="H3283" i="18"/>
  <c r="H3285" i="18"/>
  <c r="H3287" i="18"/>
  <c r="H3289" i="18"/>
  <c r="H3291" i="18"/>
  <c r="H3293" i="18"/>
  <c r="H3295" i="18"/>
  <c r="H3297" i="18"/>
  <c r="H3299" i="18"/>
  <c r="H3301" i="18"/>
  <c r="H3303" i="18"/>
  <c r="H3305" i="18"/>
  <c r="H3307" i="18"/>
  <c r="H3309" i="18"/>
  <c r="H3311" i="18"/>
  <c r="H3313" i="18"/>
  <c r="H3315" i="18"/>
  <c r="H3317" i="18"/>
  <c r="H3319" i="18"/>
  <c r="H3321" i="18"/>
  <c r="H3323" i="18"/>
  <c r="H3325" i="18"/>
  <c r="H3327" i="18"/>
  <c r="H3329" i="18"/>
  <c r="H3331" i="18"/>
  <c r="H3333" i="18"/>
  <c r="H3335" i="18"/>
  <c r="H3337" i="18"/>
  <c r="H3339" i="18"/>
  <c r="H3341" i="18"/>
  <c r="H3343" i="18"/>
  <c r="H3345" i="18"/>
  <c r="H3347" i="18"/>
  <c r="H3349" i="18"/>
  <c r="H3351" i="18"/>
  <c r="H3353" i="18"/>
  <c r="H3355" i="18"/>
  <c r="H3357" i="18"/>
  <c r="H3359" i="18"/>
  <c r="H3361" i="18"/>
  <c r="H3363" i="18"/>
  <c r="H3365" i="18"/>
  <c r="H3367" i="18"/>
  <c r="H3369" i="18"/>
  <c r="H3371" i="18"/>
  <c r="H3373" i="18"/>
  <c r="H3375" i="18"/>
  <c r="H3377" i="18"/>
  <c r="H3379" i="18"/>
  <c r="H3381" i="18"/>
  <c r="H3383" i="18"/>
  <c r="H3385" i="18"/>
  <c r="H3387" i="18"/>
  <c r="H3389" i="18"/>
  <c r="H3391" i="18"/>
  <c r="H3393" i="18"/>
  <c r="H3395" i="18"/>
  <c r="H3397" i="18"/>
  <c r="H3399" i="18"/>
  <c r="H3401" i="18"/>
  <c r="H3403" i="18"/>
  <c r="H3405" i="18"/>
  <c r="H3407" i="18"/>
  <c r="H3409" i="18"/>
  <c r="H3411" i="18"/>
  <c r="H3413" i="18"/>
  <c r="H3415" i="18"/>
  <c r="H3417" i="18"/>
  <c r="H3419" i="18"/>
  <c r="H3421" i="18"/>
  <c r="H3423" i="18"/>
  <c r="H3425" i="18"/>
  <c r="H3427" i="18"/>
  <c r="H3429" i="18"/>
  <c r="H3431" i="18"/>
  <c r="H3433" i="18"/>
  <c r="H3435" i="18"/>
  <c r="H3437" i="18"/>
  <c r="H3439" i="18"/>
  <c r="H3441" i="18"/>
  <c r="H3443" i="18"/>
  <c r="H3445" i="18"/>
  <c r="H3447" i="18"/>
  <c r="H3449" i="18"/>
  <c r="H3451" i="18"/>
  <c r="H3453" i="18"/>
  <c r="H3455" i="18"/>
  <c r="H3457" i="18"/>
  <c r="H3459" i="18"/>
  <c r="H3461" i="18"/>
  <c r="H3463" i="18"/>
  <c r="H3465" i="18"/>
  <c r="H3467" i="18"/>
  <c r="H3469" i="18"/>
  <c r="H3471" i="18"/>
  <c r="H3473" i="18"/>
  <c r="H3475" i="18"/>
  <c r="H3477" i="18"/>
  <c r="H3479" i="18"/>
  <c r="H3481" i="18"/>
  <c r="H3483" i="18"/>
  <c r="H3485" i="18"/>
  <c r="H3487" i="18"/>
  <c r="H3489" i="18"/>
  <c r="H3491" i="18"/>
  <c r="H3493" i="18"/>
  <c r="H3495" i="18"/>
  <c r="H3497" i="18"/>
  <c r="H3499" i="18"/>
  <c r="H3501" i="18"/>
  <c r="H3503" i="18"/>
  <c r="H3505" i="18"/>
  <c r="H3507" i="18"/>
  <c r="H3509" i="18"/>
  <c r="H3511" i="18"/>
  <c r="H3513" i="18"/>
  <c r="H3515" i="18"/>
  <c r="H3517" i="18"/>
  <c r="H3519" i="18"/>
  <c r="H3521" i="18"/>
  <c r="H3523" i="18"/>
  <c r="H3525" i="18"/>
  <c r="H3527" i="18"/>
  <c r="H3529" i="18"/>
  <c r="H3531" i="18"/>
  <c r="H3533" i="18"/>
  <c r="H3535" i="18"/>
  <c r="H3537" i="18"/>
  <c r="H3539" i="18"/>
  <c r="H3541" i="18"/>
  <c r="H3543" i="18"/>
  <c r="H3545" i="18"/>
  <c r="H3547" i="18"/>
  <c r="H3549" i="18"/>
  <c r="H3551" i="18"/>
  <c r="H3553" i="18"/>
  <c r="H3555" i="18"/>
  <c r="H3557" i="18"/>
  <c r="H3559" i="18"/>
  <c r="H3561" i="18"/>
  <c r="H3563" i="18"/>
  <c r="H3565" i="18"/>
  <c r="H3567" i="18"/>
  <c r="H3569" i="18"/>
  <c r="H3571" i="18"/>
  <c r="H3573" i="18"/>
  <c r="H3575" i="18"/>
  <c r="H3577" i="18"/>
  <c r="H3579" i="18"/>
  <c r="H3581" i="18"/>
  <c r="H3583" i="18"/>
  <c r="H3585" i="18"/>
  <c r="H3587" i="18"/>
  <c r="H3589" i="18"/>
  <c r="H3591" i="18"/>
  <c r="H3593" i="18"/>
  <c r="H3595" i="18"/>
  <c r="H3597" i="18"/>
  <c r="H3599" i="18"/>
  <c r="H3601" i="18"/>
  <c r="H3603" i="18"/>
  <c r="H3605" i="18"/>
  <c r="H3607" i="18"/>
  <c r="H3609" i="18"/>
  <c r="H3611" i="18"/>
  <c r="H3613" i="18"/>
  <c r="H3615" i="18"/>
  <c r="H3617" i="18"/>
  <c r="H3619" i="18"/>
  <c r="H3621" i="18"/>
  <c r="H3623" i="18"/>
  <c r="H3625" i="18"/>
  <c r="H3627" i="18"/>
  <c r="H3629" i="18"/>
  <c r="H3631" i="18"/>
  <c r="H3633" i="18"/>
  <c r="H3635" i="18"/>
  <c r="H3637" i="18"/>
  <c r="H3639" i="18"/>
  <c r="H3641" i="18"/>
  <c r="H3643" i="18"/>
  <c r="H3645" i="18"/>
  <c r="H3647" i="18"/>
  <c r="H3649" i="18"/>
  <c r="H3651" i="18"/>
  <c r="H3653" i="18"/>
  <c r="H3655" i="18"/>
  <c r="H3657" i="18"/>
  <c r="H3659" i="18"/>
  <c r="H3661" i="18"/>
  <c r="H3663" i="18"/>
  <c r="H3665" i="18"/>
  <c r="H3667" i="18"/>
  <c r="H3669" i="18"/>
  <c r="H3671" i="18"/>
  <c r="H3673" i="18"/>
  <c r="H3675" i="18"/>
  <c r="H3677" i="18"/>
  <c r="H3679" i="18"/>
  <c r="H3681" i="18"/>
  <c r="H3683" i="18"/>
  <c r="H3685" i="18"/>
  <c r="H3687" i="18"/>
  <c r="H3689" i="18"/>
  <c r="H3691" i="18"/>
  <c r="H3693" i="18"/>
  <c r="H3695" i="18"/>
  <c r="H3697" i="18"/>
  <c r="H3699" i="18"/>
  <c r="H3701" i="18"/>
  <c r="H3703" i="18"/>
  <c r="H3705" i="18"/>
  <c r="H3707" i="18"/>
  <c r="H3709" i="18"/>
  <c r="H3711" i="18"/>
  <c r="H3713" i="18"/>
  <c r="H3715" i="18"/>
  <c r="H3717" i="18"/>
  <c r="H3719" i="18"/>
  <c r="H3721" i="18"/>
  <c r="H3723" i="18"/>
  <c r="H3725" i="18"/>
  <c r="H3727" i="18"/>
  <c r="H3729" i="18"/>
  <c r="H3731" i="18"/>
  <c r="H3733" i="18"/>
  <c r="H3735" i="18"/>
  <c r="H3737" i="18"/>
  <c r="H3739" i="18"/>
  <c r="H3741" i="18"/>
  <c r="H3743" i="18"/>
  <c r="H3745" i="18"/>
  <c r="H3747" i="18"/>
  <c r="H3749" i="18"/>
  <c r="H3751" i="18"/>
  <c r="H3753" i="18"/>
  <c r="H3755" i="18"/>
  <c r="H3757" i="18"/>
  <c r="H3759" i="18"/>
  <c r="H3761" i="18"/>
  <c r="H3763" i="18"/>
  <c r="H3765" i="18"/>
  <c r="H3767" i="18"/>
  <c r="H3769" i="18"/>
  <c r="H3771" i="18"/>
  <c r="H3773" i="18"/>
  <c r="H3775" i="18"/>
  <c r="H3777" i="18"/>
  <c r="H3779" i="18"/>
  <c r="H3781" i="18"/>
  <c r="H3783" i="18"/>
  <c r="H3785" i="18"/>
  <c r="H3787" i="18"/>
  <c r="H3789" i="18"/>
  <c r="H3791" i="18"/>
  <c r="H3793" i="18"/>
  <c r="H3795" i="18"/>
  <c r="H3797" i="18"/>
  <c r="H3799" i="18"/>
  <c r="H3801" i="18"/>
  <c r="H3803" i="18"/>
  <c r="H3805" i="18"/>
  <c r="H3807" i="18"/>
  <c r="H3809" i="18"/>
  <c r="H3811" i="18"/>
  <c r="H3813" i="18"/>
  <c r="H3815" i="18"/>
  <c r="H3817" i="18"/>
  <c r="H3819" i="18"/>
  <c r="H3821" i="18"/>
  <c r="H3823" i="18"/>
  <c r="H3825" i="18"/>
  <c r="H3827" i="18"/>
  <c r="H3829" i="18"/>
  <c r="H3831" i="18"/>
  <c r="H3833" i="18"/>
  <c r="H3835" i="18"/>
  <c r="H3837" i="18"/>
  <c r="H3839" i="18"/>
  <c r="H3841" i="18"/>
  <c r="H3843" i="18"/>
  <c r="H3845" i="18"/>
  <c r="H3847" i="18"/>
  <c r="H3849" i="18"/>
  <c r="H3851" i="18"/>
  <c r="H3853" i="18"/>
  <c r="H3855" i="18"/>
  <c r="H3857" i="18"/>
  <c r="H3859" i="18"/>
  <c r="H3861" i="18"/>
  <c r="H3863" i="18"/>
  <c r="H3865" i="18"/>
  <c r="H3867" i="18"/>
  <c r="H3869" i="18"/>
  <c r="H3871" i="18"/>
  <c r="H3873" i="18"/>
  <c r="H3875" i="18"/>
  <c r="H3877" i="18"/>
  <c r="H3879" i="18"/>
  <c r="H3881" i="18"/>
  <c r="H3883" i="18"/>
  <c r="H3885" i="18"/>
  <c r="H3887" i="18"/>
  <c r="H3889" i="18"/>
  <c r="H3891" i="18"/>
  <c r="H3893" i="18"/>
  <c r="H3895" i="18"/>
  <c r="H3897" i="18"/>
  <c r="H3899" i="18"/>
  <c r="H3901" i="18"/>
  <c r="H3903" i="18"/>
  <c r="H3905" i="18"/>
  <c r="H3907" i="18"/>
  <c r="H3909" i="18"/>
  <c r="H3911" i="18"/>
  <c r="H3913" i="18"/>
  <c r="H3915" i="18"/>
  <c r="H3917" i="18"/>
  <c r="H3919" i="18"/>
  <c r="H3921" i="18"/>
  <c r="H3923" i="18"/>
  <c r="H3925" i="18"/>
  <c r="H3927" i="18"/>
  <c r="H3929" i="18"/>
  <c r="H3931" i="18"/>
  <c r="H3933" i="18"/>
  <c r="H3935" i="18"/>
  <c r="H3937" i="18"/>
  <c r="H3939" i="18"/>
  <c r="H3941" i="18"/>
  <c r="H3943" i="18"/>
  <c r="H3945" i="18"/>
  <c r="H3947" i="18"/>
  <c r="H3949" i="18"/>
  <c r="H3951" i="18"/>
  <c r="H3953" i="18"/>
  <c r="H3955" i="18"/>
  <c r="H3957" i="18"/>
  <c r="H3959" i="18"/>
  <c r="H3961" i="18"/>
  <c r="H3963" i="18"/>
  <c r="H3965" i="18"/>
  <c r="H3967" i="18"/>
  <c r="H3969" i="18"/>
  <c r="H3971" i="18"/>
  <c r="H3973" i="18"/>
  <c r="H3975" i="18"/>
  <c r="H3977" i="18"/>
  <c r="H3979" i="18"/>
  <c r="H3981" i="18"/>
  <c r="H3983" i="18"/>
  <c r="H3985" i="18"/>
  <c r="H3987" i="18"/>
  <c r="H3989" i="18"/>
  <c r="H3991" i="18"/>
  <c r="H3993" i="18"/>
  <c r="H3995" i="18"/>
  <c r="H3997" i="18"/>
  <c r="H3999" i="18"/>
  <c r="H4001" i="18"/>
  <c r="H4003" i="18"/>
  <c r="H4005" i="18"/>
  <c r="H4007" i="18"/>
  <c r="H4009" i="18"/>
  <c r="H4011" i="18"/>
  <c r="H5003" i="18"/>
  <c r="H5001" i="18"/>
  <c r="H4999" i="18"/>
  <c r="H4997" i="18"/>
  <c r="H4995" i="18"/>
  <c r="H4993" i="18"/>
  <c r="H4991" i="18"/>
  <c r="H4989" i="18"/>
  <c r="H4987" i="18"/>
  <c r="H4985" i="18"/>
  <c r="H4983" i="18"/>
  <c r="H4981" i="18"/>
  <c r="H4979" i="18"/>
  <c r="H4977" i="18"/>
  <c r="H4975" i="18"/>
  <c r="H4973" i="18"/>
  <c r="H4971" i="18"/>
  <c r="H4969" i="18"/>
  <c r="H4967" i="18"/>
  <c r="H4965" i="18"/>
  <c r="H4963" i="18"/>
  <c r="H4961" i="18"/>
  <c r="H4959" i="18"/>
  <c r="H4957" i="18"/>
  <c r="H4955" i="18"/>
  <c r="H4953" i="18"/>
  <c r="H4951" i="18"/>
  <c r="H4949" i="18"/>
  <c r="H4947" i="18"/>
  <c r="H4945" i="18"/>
  <c r="H4943" i="18"/>
  <c r="H4941" i="18"/>
  <c r="H4939" i="18"/>
  <c r="H4937" i="18"/>
  <c r="H4935" i="18"/>
  <c r="H4933" i="18"/>
  <c r="H4931" i="18"/>
  <c r="H4929" i="18"/>
  <c r="H4927" i="18"/>
  <c r="H4925" i="18"/>
  <c r="H4923" i="18"/>
  <c r="H4921" i="18"/>
  <c r="H4919" i="18"/>
  <c r="H4917" i="18"/>
  <c r="H4915" i="18"/>
  <c r="H4913" i="18"/>
  <c r="H4911" i="18"/>
  <c r="H4909" i="18"/>
  <c r="H4907" i="18"/>
  <c r="H4905" i="18"/>
  <c r="H4903" i="18"/>
  <c r="H4901" i="18"/>
  <c r="H4899" i="18"/>
  <c r="H4897" i="18"/>
  <c r="H4895" i="18"/>
  <c r="H4893" i="18"/>
  <c r="H4891" i="18"/>
  <c r="H4889" i="18"/>
  <c r="H4887" i="18"/>
  <c r="H4885" i="18"/>
  <c r="H4883" i="18"/>
  <c r="H4881" i="18"/>
  <c r="H4879" i="18"/>
  <c r="H4877" i="18"/>
  <c r="H4875" i="18"/>
  <c r="H4873" i="18"/>
  <c r="H4871" i="18"/>
  <c r="H4869" i="18"/>
  <c r="H4867" i="18"/>
  <c r="H4865" i="18"/>
  <c r="H4863" i="18"/>
  <c r="H4861" i="18"/>
  <c r="H4859" i="18"/>
  <c r="H4857" i="18"/>
  <c r="H4855" i="18"/>
  <c r="H4853" i="18"/>
  <c r="H4851" i="18"/>
  <c r="H4849" i="18"/>
  <c r="H4847" i="18"/>
  <c r="H4845" i="18"/>
  <c r="H4843" i="18"/>
  <c r="H4841" i="18"/>
  <c r="H4839" i="18"/>
  <c r="H4837" i="18"/>
  <c r="H4835" i="18"/>
  <c r="H4833" i="18"/>
  <c r="H4831" i="18"/>
  <c r="H4829" i="18"/>
  <c r="H4827" i="18"/>
  <c r="H4825" i="18"/>
  <c r="H4823" i="18"/>
  <c r="H4821" i="18"/>
  <c r="H4819" i="18"/>
  <c r="H4817" i="18"/>
  <c r="H4815" i="18"/>
  <c r="H4813" i="18"/>
  <c r="H4811" i="18"/>
  <c r="H4809" i="18"/>
  <c r="H4807" i="18"/>
  <c r="H4805" i="18"/>
  <c r="H4803" i="18"/>
  <c r="H4801" i="18"/>
  <c r="H4799" i="18"/>
  <c r="H4797" i="18"/>
  <c r="H4795" i="18"/>
  <c r="H4793" i="18"/>
  <c r="H4791" i="18"/>
  <c r="H4789" i="18"/>
  <c r="H4787" i="18"/>
  <c r="H4785" i="18"/>
  <c r="H4783" i="18"/>
  <c r="H4781" i="18"/>
  <c r="H4779" i="18"/>
  <c r="H4777" i="18"/>
  <c r="H4775" i="18"/>
  <c r="H4773" i="18"/>
  <c r="H4771" i="18"/>
  <c r="H4769" i="18"/>
  <c r="H4767" i="18"/>
  <c r="H4765" i="18"/>
  <c r="H4763" i="18"/>
  <c r="H4761" i="18"/>
  <c r="H4759" i="18"/>
  <c r="H4757" i="18"/>
  <c r="H4755" i="18"/>
  <c r="H4753" i="18"/>
  <c r="H4751" i="18"/>
  <c r="H4749" i="18"/>
  <c r="H4747" i="18"/>
  <c r="H4745" i="18"/>
  <c r="H4743" i="18"/>
  <c r="H4741" i="18"/>
  <c r="H4739" i="18"/>
  <c r="H4737" i="18"/>
  <c r="H4735" i="18"/>
  <c r="H4733" i="18"/>
  <c r="H4731" i="18"/>
  <c r="H4729" i="18"/>
  <c r="H4727" i="18"/>
  <c r="H4725" i="18"/>
  <c r="H4723" i="18"/>
  <c r="H4721" i="18"/>
  <c r="H4719" i="18"/>
  <c r="H4717" i="18"/>
  <c r="H4715" i="18"/>
  <c r="H4713" i="18"/>
  <c r="H4711" i="18"/>
  <c r="H4709" i="18"/>
  <c r="H4707" i="18"/>
  <c r="H4705" i="18"/>
  <c r="H4703" i="18"/>
  <c r="H4701" i="18"/>
  <c r="H4699" i="18"/>
  <c r="H4697" i="18"/>
  <c r="H4695" i="18"/>
  <c r="H4693" i="18"/>
  <c r="H4691" i="18"/>
  <c r="H4689" i="18"/>
  <c r="H4687" i="18"/>
  <c r="H4685" i="18"/>
  <c r="H4683" i="18"/>
  <c r="H4681" i="18"/>
  <c r="H4679" i="18"/>
  <c r="H4677" i="18"/>
  <c r="H4675" i="18"/>
  <c r="H4673" i="18"/>
  <c r="H4671" i="18"/>
  <c r="H4669" i="18"/>
  <c r="H4667" i="18"/>
  <c r="H4665" i="18"/>
  <c r="H4663" i="18"/>
  <c r="H4661" i="18"/>
  <c r="H4659" i="18"/>
  <c r="H4657" i="18"/>
  <c r="H4655" i="18"/>
  <c r="H4653" i="18"/>
  <c r="H4651" i="18"/>
  <c r="H4649" i="18"/>
  <c r="H4647" i="18"/>
  <c r="H4645" i="18"/>
  <c r="H4643" i="18"/>
  <c r="H4641" i="18"/>
  <c r="H4639" i="18"/>
  <c r="H4637" i="18"/>
  <c r="H4635" i="18"/>
  <c r="H4633" i="18"/>
  <c r="H4631" i="18"/>
  <c r="H4629" i="18"/>
  <c r="H4627" i="18"/>
  <c r="H4625" i="18"/>
  <c r="H4623" i="18"/>
  <c r="H4621" i="18"/>
  <c r="H4619" i="18"/>
  <c r="H4617" i="18"/>
  <c r="H4615" i="18"/>
  <c r="H4613" i="18"/>
  <c r="H4611" i="18"/>
  <c r="H4609" i="18"/>
  <c r="H4607" i="18"/>
  <c r="H4605" i="18"/>
  <c r="H4603" i="18"/>
  <c r="H4601" i="18"/>
  <c r="H4599" i="18"/>
  <c r="H4597" i="18"/>
  <c r="H4595" i="18"/>
  <c r="H4593" i="18"/>
  <c r="H4591" i="18"/>
  <c r="H4589" i="18"/>
  <c r="H4587" i="18"/>
  <c r="H4585" i="18"/>
  <c r="H4583" i="18"/>
  <c r="H4581" i="18"/>
  <c r="H4579" i="18"/>
  <c r="H4577" i="18"/>
  <c r="H4575" i="18"/>
  <c r="H4573" i="18"/>
  <c r="H4571" i="18"/>
  <c r="H4569" i="18"/>
  <c r="H4567" i="18"/>
  <c r="H4565" i="18"/>
  <c r="H4563" i="18"/>
  <c r="H4561" i="18"/>
  <c r="H4559" i="18"/>
  <c r="H4557" i="18"/>
  <c r="H4555" i="18"/>
  <c r="H4553" i="18"/>
  <c r="H4551" i="18"/>
  <c r="H4549" i="18"/>
  <c r="H4547" i="18"/>
  <c r="H4545" i="18"/>
  <c r="H4543" i="18"/>
  <c r="H4541" i="18"/>
  <c r="H4539" i="18"/>
  <c r="H4537" i="18"/>
  <c r="H4535" i="18"/>
  <c r="H4533" i="18"/>
  <c r="H4531" i="18"/>
  <c r="H4529" i="18"/>
  <c r="H4527" i="18"/>
  <c r="H4525" i="18"/>
  <c r="H4523" i="18"/>
  <c r="H4521" i="18"/>
  <c r="H4519" i="18"/>
  <c r="H4517" i="18"/>
  <c r="H4515" i="18"/>
  <c r="H4513" i="18"/>
  <c r="H4511" i="18"/>
  <c r="H4509" i="18"/>
  <c r="H4507" i="18"/>
  <c r="H4505" i="18"/>
  <c r="H4503" i="18"/>
  <c r="H4501" i="18"/>
  <c r="H4499" i="18"/>
  <c r="H4497" i="18"/>
  <c r="H4495" i="18"/>
  <c r="H4493" i="18"/>
  <c r="H4491" i="18"/>
  <c r="H4489" i="18"/>
  <c r="H4487" i="18"/>
  <c r="H4485" i="18"/>
  <c r="H4483" i="18"/>
  <c r="H4481" i="18"/>
  <c r="H4479" i="18"/>
  <c r="H4477" i="18"/>
  <c r="H4475" i="18"/>
  <c r="H4473" i="18"/>
  <c r="H4471" i="18"/>
  <c r="H4469" i="18"/>
  <c r="H4467" i="18"/>
  <c r="H4465" i="18"/>
  <c r="H4463" i="18"/>
  <c r="H4461" i="18"/>
  <c r="H4459" i="18"/>
  <c r="H4457" i="18"/>
  <c r="H4455" i="18"/>
  <c r="H4453" i="18"/>
  <c r="H4451" i="18"/>
  <c r="H4449" i="18"/>
  <c r="H4447" i="18"/>
  <c r="H4445" i="18"/>
  <c r="H4443" i="18"/>
  <c r="H4441" i="18"/>
  <c r="H4439" i="18"/>
  <c r="H4437" i="18"/>
  <c r="H4435" i="18"/>
  <c r="H4433" i="18"/>
  <c r="H4431" i="18"/>
  <c r="H4429" i="18"/>
  <c r="H4427" i="18"/>
  <c r="H4425" i="18"/>
  <c r="H4423" i="18"/>
  <c r="H4421" i="18"/>
  <c r="H4419" i="18"/>
  <c r="H4417" i="18"/>
  <c r="H4415" i="18"/>
  <c r="H4413" i="18"/>
  <c r="H4411" i="18"/>
  <c r="H4409" i="18"/>
  <c r="H4407" i="18"/>
  <c r="H4405" i="18"/>
  <c r="H4403" i="18"/>
  <c r="H4401" i="18"/>
  <c r="H4399" i="18"/>
  <c r="H4397" i="18"/>
  <c r="H4395" i="18"/>
  <c r="H4393" i="18"/>
  <c r="H4391" i="18"/>
  <c r="H4389" i="18"/>
  <c r="H4387" i="18"/>
  <c r="H4385" i="18"/>
  <c r="H4383" i="18"/>
  <c r="H4381" i="18"/>
  <c r="H4379" i="18"/>
  <c r="H4377" i="18"/>
  <c r="H4375" i="18"/>
  <c r="H4373" i="18"/>
  <c r="H4371" i="18"/>
  <c r="H4369" i="18"/>
  <c r="H4367" i="18"/>
  <c r="H4365" i="18"/>
  <c r="H4363" i="18"/>
  <c r="H4361" i="18"/>
  <c r="H4359" i="18"/>
  <c r="H4357" i="18"/>
  <c r="H4355" i="18"/>
  <c r="H4353" i="18"/>
  <c r="H4351" i="18"/>
  <c r="H4349" i="18"/>
  <c r="H4347" i="18"/>
  <c r="H4345" i="18"/>
  <c r="H4343" i="18"/>
  <c r="H4341" i="18"/>
  <c r="H4339" i="18"/>
  <c r="H4337" i="18"/>
  <c r="H4335" i="18"/>
  <c r="H4333" i="18"/>
  <c r="H4331" i="18"/>
  <c r="H4329" i="18"/>
  <c r="H4327" i="18"/>
  <c r="H4325" i="18"/>
  <c r="H4323" i="18"/>
  <c r="H4321" i="18"/>
  <c r="H4319" i="18"/>
  <c r="H4317" i="18"/>
  <c r="H4315" i="18"/>
  <c r="H4313" i="18"/>
  <c r="H4311" i="18"/>
  <c r="H4309" i="18"/>
  <c r="H4307" i="18"/>
  <c r="H4305" i="18"/>
  <c r="H4303" i="18"/>
  <c r="H4301" i="18"/>
  <c r="H4299" i="18"/>
  <c r="H4297" i="18"/>
  <c r="H4295" i="18"/>
  <c r="H4293" i="18"/>
  <c r="H4291" i="18"/>
  <c r="H4289" i="18"/>
  <c r="H4287" i="18"/>
  <c r="H4285" i="18"/>
  <c r="H4283" i="18"/>
  <c r="H4281" i="18"/>
  <c r="H4279" i="18"/>
  <c r="H4277" i="18"/>
  <c r="H4275" i="18"/>
  <c r="H4273" i="18"/>
  <c r="H4271" i="18"/>
  <c r="H4269" i="18"/>
  <c r="H4267" i="18"/>
  <c r="H4265" i="18"/>
  <c r="H4263" i="18"/>
  <c r="H4261" i="18"/>
  <c r="H4259" i="18"/>
  <c r="H4257" i="18"/>
  <c r="H4255" i="18"/>
  <c r="H4253" i="18"/>
  <c r="H4251" i="18"/>
  <c r="H4249" i="18"/>
  <c r="H4247" i="18"/>
  <c r="H4245" i="18"/>
  <c r="H4243" i="18"/>
  <c r="H4241" i="18"/>
  <c r="H4239" i="18"/>
  <c r="H4237" i="18"/>
  <c r="H4235" i="18"/>
  <c r="H4233" i="18"/>
  <c r="H4231" i="18"/>
  <c r="H4229" i="18"/>
  <c r="H4227" i="18"/>
  <c r="H4225" i="18"/>
  <c r="H4223" i="18"/>
  <c r="H4221" i="18"/>
  <c r="H4219" i="18"/>
  <c r="H4217" i="18"/>
  <c r="H4215" i="18"/>
  <c r="H4213" i="18"/>
  <c r="H4211" i="18"/>
  <c r="H4209" i="18"/>
  <c r="H4207" i="18"/>
  <c r="H4205" i="18"/>
  <c r="H4203" i="18"/>
  <c r="H4201" i="18"/>
  <c r="H4199" i="18"/>
  <c r="H4197" i="18"/>
  <c r="H4195" i="18"/>
  <c r="H4193" i="18"/>
  <c r="H4191" i="18"/>
  <c r="H4189" i="18"/>
  <c r="H4187" i="18"/>
  <c r="H4185" i="18"/>
  <c r="H4183" i="18"/>
  <c r="H4181" i="18"/>
  <c r="H4179" i="18"/>
  <c r="H4177" i="18"/>
  <c r="H4175" i="18"/>
  <c r="H4173" i="18"/>
  <c r="H4171" i="18"/>
  <c r="H4169" i="18"/>
  <c r="H4167" i="18"/>
  <c r="H4165" i="18"/>
  <c r="H4163" i="18"/>
  <c r="H4161" i="18"/>
  <c r="H4159" i="18"/>
  <c r="H4157" i="18"/>
  <c r="H4155" i="18"/>
  <c r="H4153" i="18"/>
  <c r="H4151" i="18"/>
  <c r="H4149" i="18"/>
  <c r="H4147" i="18"/>
  <c r="H4145" i="18"/>
  <c r="H4143" i="18"/>
  <c r="H4141" i="18"/>
  <c r="H4139" i="18"/>
  <c r="H4137" i="18"/>
  <c r="H4135" i="18"/>
  <c r="H4133" i="18"/>
  <c r="H4131" i="18"/>
  <c r="H4129" i="18"/>
  <c r="H4127" i="18"/>
  <c r="H4125" i="18"/>
  <c r="H4123" i="18"/>
  <c r="H4121" i="18"/>
  <c r="H4119" i="18"/>
  <c r="H4117" i="18"/>
  <c r="H4115" i="18"/>
  <c r="H4113" i="18"/>
  <c r="H4111" i="18"/>
  <c r="H4109" i="18"/>
  <c r="H4107" i="18"/>
  <c r="H4105" i="18"/>
  <c r="H4103" i="18"/>
  <c r="H4101" i="18"/>
  <c r="H4099" i="18"/>
  <c r="H4097" i="18"/>
  <c r="H4095" i="18"/>
  <c r="H4093" i="18"/>
  <c r="H4091" i="18"/>
  <c r="H4089" i="18"/>
  <c r="H4087" i="18"/>
  <c r="H4085" i="18"/>
  <c r="H4083" i="18"/>
  <c r="H4081" i="18"/>
  <c r="H4079" i="18"/>
  <c r="H4077" i="18"/>
  <c r="H4075" i="18"/>
  <c r="H4073" i="18"/>
  <c r="H4071" i="18"/>
  <c r="H4069" i="18"/>
  <c r="H4067" i="18"/>
  <c r="H4065" i="18"/>
  <c r="H4063" i="18"/>
  <c r="H4061" i="18"/>
  <c r="H4059" i="18"/>
  <c r="H4057" i="18"/>
  <c r="H4055" i="18"/>
  <c r="H4053" i="18"/>
  <c r="H4051" i="18"/>
  <c r="H4049" i="18"/>
  <c r="H4047" i="18"/>
  <c r="H4045" i="18"/>
  <c r="H4043" i="18"/>
  <c r="H4041" i="18"/>
  <c r="H4039" i="18"/>
  <c r="H4037" i="18"/>
  <c r="H4035" i="18"/>
  <c r="H4033" i="18"/>
  <c r="H4031" i="18"/>
  <c r="H4029" i="18"/>
  <c r="H4027" i="18"/>
  <c r="H4025" i="18"/>
  <c r="H4023" i="18"/>
  <c r="H4021" i="18"/>
  <c r="H4019" i="18"/>
  <c r="H4017" i="18"/>
  <c r="H4015" i="18"/>
  <c r="H4013" i="18"/>
  <c r="H4010" i="18"/>
  <c r="H4006" i="18"/>
  <c r="H4002" i="18"/>
  <c r="H3998" i="18"/>
  <c r="H3994" i="18"/>
  <c r="H3990" i="18"/>
  <c r="H3986" i="18"/>
  <c r="H3982" i="18"/>
  <c r="H3978" i="18"/>
  <c r="H3974" i="18"/>
  <c r="H3970" i="18"/>
  <c r="H3966" i="18"/>
  <c r="H3962" i="18"/>
  <c r="H3958" i="18"/>
  <c r="H3954" i="18"/>
  <c r="H3950" i="18"/>
  <c r="H3946" i="18"/>
  <c r="H3942" i="18"/>
  <c r="H3938" i="18"/>
  <c r="H3934" i="18"/>
  <c r="H3930" i="18"/>
  <c r="H3926" i="18"/>
  <c r="H3922" i="18"/>
  <c r="H3918" i="18"/>
  <c r="H3914" i="18"/>
  <c r="H3910" i="18"/>
  <c r="H3906" i="18"/>
  <c r="H3902" i="18"/>
  <c r="H3898" i="18"/>
  <c r="H3894" i="18"/>
  <c r="H3890" i="18"/>
  <c r="H3886" i="18"/>
  <c r="H3882" i="18"/>
  <c r="H3878" i="18"/>
  <c r="H3874" i="18"/>
  <c r="H3870" i="18"/>
  <c r="H3866" i="18"/>
  <c r="H3862" i="18"/>
  <c r="H3858" i="18"/>
  <c r="H3854" i="18"/>
  <c r="H3850" i="18"/>
  <c r="H3846" i="18"/>
  <c r="H3842" i="18"/>
  <c r="H3838" i="18"/>
  <c r="H3834" i="18"/>
  <c r="H3830" i="18"/>
  <c r="H3826" i="18"/>
  <c r="H3822" i="18"/>
  <c r="H3818" i="18"/>
  <c r="H3814" i="18"/>
  <c r="H3810" i="18"/>
  <c r="H3806" i="18"/>
  <c r="H3802" i="18"/>
  <c r="H3798" i="18"/>
  <c r="H3794" i="18"/>
  <c r="H3790" i="18"/>
  <c r="H3786" i="18"/>
  <c r="H3782" i="18"/>
  <c r="H3778" i="18"/>
  <c r="H3774" i="18"/>
  <c r="H3770" i="18"/>
  <c r="H3766" i="18"/>
  <c r="H3762" i="18"/>
  <c r="H3758" i="18"/>
  <c r="H3754" i="18"/>
  <c r="H3750" i="18"/>
  <c r="H3746" i="18"/>
  <c r="H3742" i="18"/>
  <c r="H3738" i="18"/>
  <c r="H3734" i="18"/>
  <c r="H3730" i="18"/>
  <c r="H3726" i="18"/>
  <c r="H3722" i="18"/>
  <c r="H3718" i="18"/>
  <c r="H3714" i="18"/>
  <c r="H3710" i="18"/>
  <c r="H3706" i="18"/>
  <c r="H3702" i="18"/>
  <c r="H3698" i="18"/>
  <c r="H3694" i="18"/>
  <c r="H3690" i="18"/>
  <c r="H3686" i="18"/>
  <c r="H3682" i="18"/>
  <c r="H3678" i="18"/>
  <c r="H3674" i="18"/>
  <c r="H3670" i="18"/>
  <c r="H3666" i="18"/>
  <c r="H3662" i="18"/>
  <c r="H3658" i="18"/>
  <c r="H3654" i="18"/>
  <c r="H3650" i="18"/>
  <c r="H3646" i="18"/>
  <c r="H3642" i="18"/>
  <c r="H3638" i="18"/>
  <c r="H3634" i="18"/>
  <c r="H3630" i="18"/>
  <c r="H3626" i="18"/>
  <c r="H3622" i="18"/>
  <c r="H3618" i="18"/>
  <c r="H3614" i="18"/>
  <c r="H3610" i="18"/>
  <c r="H3606" i="18"/>
  <c r="H3602" i="18"/>
  <c r="H3598" i="18"/>
  <c r="H3594" i="18"/>
  <c r="H3590" i="18"/>
  <c r="H3586" i="18"/>
  <c r="H3582" i="18"/>
  <c r="H3578" i="18"/>
  <c r="H3574" i="18"/>
  <c r="H3570" i="18"/>
  <c r="H3566" i="18"/>
  <c r="H3562" i="18"/>
  <c r="H3558" i="18"/>
  <c r="H3554" i="18"/>
  <c r="H3550" i="18"/>
  <c r="H3546" i="18"/>
  <c r="H3542" i="18"/>
  <c r="H3538" i="18"/>
  <c r="H3534" i="18"/>
  <c r="H3530" i="18"/>
  <c r="H3526" i="18"/>
  <c r="H3522" i="18"/>
  <c r="H3518" i="18"/>
  <c r="H3514" i="18"/>
  <c r="H3510" i="18"/>
  <c r="H3506" i="18"/>
  <c r="H3502" i="18"/>
  <c r="H3498" i="18"/>
  <c r="H3494" i="18"/>
  <c r="H3490" i="18"/>
  <c r="H3486" i="18"/>
  <c r="H3482" i="18"/>
  <c r="H3478" i="18"/>
  <c r="H3474" i="18"/>
  <c r="H3470" i="18"/>
  <c r="H3466" i="18"/>
  <c r="H3462" i="18"/>
  <c r="H3458" i="18"/>
  <c r="H3454" i="18"/>
  <c r="H3450" i="18"/>
  <c r="H3446" i="18"/>
  <c r="H3442" i="18"/>
  <c r="H3438" i="18"/>
  <c r="H3434" i="18"/>
  <c r="H3430" i="18"/>
  <c r="H3426" i="18"/>
  <c r="H3422" i="18"/>
  <c r="H3418" i="18"/>
  <c r="H3414" i="18"/>
  <c r="H3410" i="18"/>
  <c r="H3406" i="18"/>
  <c r="H3402" i="18"/>
  <c r="H3398" i="18"/>
  <c r="H3394" i="18"/>
  <c r="H3390" i="18"/>
  <c r="H3386" i="18"/>
  <c r="H3382" i="18"/>
  <c r="H3378" i="18"/>
  <c r="H3374" i="18"/>
  <c r="H3370" i="18"/>
  <c r="H3366" i="18"/>
  <c r="H3362" i="18"/>
  <c r="H3358" i="18"/>
  <c r="H3354" i="18"/>
  <c r="H3350" i="18"/>
  <c r="H3346" i="18"/>
  <c r="H3342" i="18"/>
  <c r="H3338" i="18"/>
  <c r="H3334" i="18"/>
  <c r="H3330" i="18"/>
  <c r="H3326" i="18"/>
  <c r="H3322" i="18"/>
  <c r="H3318" i="18"/>
  <c r="H3314" i="18"/>
  <c r="H3310" i="18"/>
  <c r="H3306" i="18"/>
  <c r="H3302" i="18"/>
  <c r="H3298" i="18"/>
  <c r="H3294" i="18"/>
  <c r="H3290" i="18"/>
  <c r="H3286" i="18"/>
  <c r="H3282" i="18"/>
  <c r="H3278" i="18"/>
  <c r="H3274" i="18"/>
  <c r="H3270" i="18"/>
  <c r="H3266" i="18"/>
  <c r="H3262" i="18"/>
  <c r="H3258" i="18"/>
  <c r="H3254" i="18"/>
  <c r="H3250" i="18"/>
  <c r="H3246" i="18"/>
  <c r="H3242" i="18"/>
  <c r="H3238" i="18"/>
  <c r="H3234" i="18"/>
  <c r="H3230" i="18"/>
  <c r="H3226" i="18"/>
  <c r="H3222" i="18"/>
  <c r="H3218" i="18"/>
  <c r="H3214" i="18"/>
  <c r="H3210" i="18"/>
  <c r="H3206" i="18"/>
  <c r="H3202" i="18"/>
  <c r="H3198" i="18"/>
  <c r="H3194" i="18"/>
  <c r="H3190" i="18"/>
  <c r="H3186" i="18"/>
  <c r="H3182" i="18"/>
  <c r="H3178" i="18"/>
  <c r="H3174" i="18"/>
  <c r="H3170" i="18"/>
  <c r="H3166" i="18"/>
  <c r="H3162" i="18"/>
  <c r="H3158" i="18"/>
  <c r="H3154" i="18"/>
  <c r="H3150" i="18"/>
  <c r="H3146" i="18"/>
  <c r="H3142" i="18"/>
  <c r="H3138" i="18"/>
  <c r="H3134" i="18"/>
  <c r="H3130" i="18"/>
  <c r="H3126" i="18"/>
  <c r="H3122" i="18"/>
  <c r="H3118" i="18"/>
  <c r="H3114" i="18"/>
  <c r="H3110" i="18"/>
  <c r="H3106" i="18"/>
  <c r="H3102" i="18"/>
  <c r="H3098" i="18"/>
  <c r="H3094" i="18"/>
  <c r="H3090" i="18"/>
  <c r="H3086" i="18"/>
  <c r="H3082" i="18"/>
  <c r="H3078" i="18"/>
  <c r="H3074" i="18"/>
  <c r="H3070" i="18"/>
  <c r="H3066" i="18"/>
  <c r="H3062" i="18"/>
  <c r="H3058" i="18"/>
  <c r="H3054" i="18"/>
  <c r="H3050" i="18"/>
  <c r="H3046" i="18"/>
  <c r="H3042" i="18"/>
  <c r="H3038" i="18"/>
  <c r="H3034" i="18"/>
  <c r="H3030" i="18"/>
  <c r="H3026" i="18"/>
  <c r="H3022" i="18"/>
  <c r="H3018" i="18"/>
  <c r="H3014" i="18"/>
  <c r="H3010" i="18"/>
  <c r="H3006" i="18"/>
  <c r="H3002" i="18"/>
  <c r="H2998" i="18"/>
  <c r="H2994" i="18"/>
  <c r="H2990" i="18"/>
  <c r="H2986" i="18"/>
  <c r="H2982" i="18"/>
  <c r="H2978" i="18"/>
  <c r="H2974" i="18"/>
  <c r="H2970" i="18"/>
  <c r="H2966" i="18"/>
  <c r="H2962" i="18"/>
  <c r="H2958" i="18"/>
  <c r="H2954" i="18"/>
  <c r="H2950" i="18"/>
  <c r="H2946" i="18"/>
  <c r="H2942" i="18"/>
  <c r="H2938" i="18"/>
  <c r="H2934" i="18"/>
  <c r="H2930" i="18"/>
  <c r="H2926" i="18"/>
  <c r="H2922" i="18"/>
  <c r="H2918" i="18"/>
  <c r="H2914" i="18"/>
  <c r="H2910" i="18"/>
  <c r="H2906" i="18"/>
  <c r="H2902" i="18"/>
  <c r="H2898" i="18"/>
  <c r="H2894" i="18"/>
  <c r="H2890" i="18"/>
  <c r="H2886" i="18"/>
  <c r="H2882" i="18"/>
  <c r="H2878" i="18"/>
  <c r="H2874" i="18"/>
  <c r="H2870" i="18"/>
  <c r="H2866" i="18"/>
  <c r="H2862" i="18"/>
  <c r="H2858" i="18"/>
  <c r="H2854" i="18"/>
  <c r="H2850" i="18"/>
  <c r="H2846" i="18"/>
  <c r="H2842" i="18"/>
  <c r="H2838" i="18"/>
  <c r="H2834" i="18"/>
  <c r="H2830" i="18"/>
  <c r="H2826" i="18"/>
  <c r="H2822" i="18"/>
  <c r="H2818" i="18"/>
  <c r="H2814" i="18"/>
  <c r="H2810" i="18"/>
  <c r="H2806" i="18"/>
  <c r="H2802" i="18"/>
  <c r="H2798" i="18"/>
  <c r="H2794" i="18"/>
  <c r="H2790" i="18"/>
  <c r="H2786" i="18"/>
  <c r="H2782" i="18"/>
  <c r="H2778" i="18"/>
  <c r="H2774" i="18"/>
  <c r="H2770" i="18"/>
  <c r="H2766" i="18"/>
  <c r="H2762" i="18"/>
  <c r="H2758" i="18"/>
  <c r="H2754" i="18"/>
  <c r="H2750" i="18"/>
  <c r="H2746" i="18"/>
  <c r="H2742" i="18"/>
  <c r="H2738" i="18"/>
  <c r="H2734" i="18"/>
  <c r="H2730" i="18"/>
  <c r="H2726" i="18"/>
  <c r="H2722" i="18"/>
  <c r="H2718" i="18"/>
  <c r="H2714" i="18"/>
  <c r="H2710" i="18"/>
  <c r="H2706" i="18"/>
  <c r="H2702" i="18"/>
  <c r="H2698" i="18"/>
  <c r="H2694" i="18"/>
  <c r="H2690" i="18"/>
  <c r="H2686" i="18"/>
  <c r="H2682" i="18"/>
  <c r="H2678" i="18"/>
  <c r="H2674" i="18"/>
  <c r="H2670" i="18"/>
  <c r="H2666" i="18"/>
  <c r="H2662" i="18"/>
  <c r="H2658" i="18"/>
  <c r="H2654" i="18"/>
  <c r="H2650" i="18"/>
  <c r="H2646" i="18"/>
  <c r="H2642" i="18"/>
  <c r="H2638" i="18"/>
  <c r="H2634" i="18"/>
  <c r="H2630" i="18"/>
  <c r="H2626" i="18"/>
  <c r="H2622" i="18"/>
  <c r="H2618" i="18"/>
  <c r="H2614" i="18"/>
  <c r="H2610" i="18"/>
  <c r="H2606" i="18"/>
  <c r="H2602" i="18"/>
  <c r="H2598" i="18"/>
  <c r="H2594" i="18"/>
  <c r="H2590" i="18"/>
  <c r="H2586" i="18"/>
  <c r="H2582" i="18"/>
  <c r="H2578" i="18"/>
  <c r="H2574" i="18"/>
  <c r="H2570" i="18"/>
  <c r="H2566" i="18"/>
  <c r="H2562" i="18"/>
  <c r="H2558" i="18"/>
  <c r="H2554" i="18"/>
  <c r="H2550" i="18"/>
  <c r="H2546" i="18"/>
  <c r="H2542" i="18"/>
  <c r="H2538" i="18"/>
  <c r="H2534" i="18"/>
  <c r="H2530" i="18"/>
  <c r="H2526" i="18"/>
  <c r="H2522" i="18"/>
  <c r="H2518" i="18"/>
  <c r="H2514" i="18"/>
  <c r="H2510" i="18"/>
  <c r="H2506" i="18"/>
  <c r="H2502" i="18"/>
  <c r="H2498" i="18"/>
  <c r="H2494" i="18"/>
  <c r="H2490" i="18"/>
  <c r="H2486" i="18"/>
  <c r="H2482" i="18"/>
  <c r="H2478" i="18"/>
  <c r="H2474" i="18"/>
  <c r="H2470" i="18"/>
  <c r="H2466" i="18"/>
  <c r="H2462" i="18"/>
  <c r="H2458" i="18"/>
  <c r="H2454" i="18"/>
  <c r="H2450" i="18"/>
  <c r="H2446" i="18"/>
  <c r="H2442" i="18"/>
  <c r="H2438" i="18"/>
  <c r="H2434" i="18"/>
  <c r="H2430" i="18"/>
  <c r="H2426" i="18"/>
  <c r="H2422" i="18"/>
  <c r="H2418" i="18"/>
  <c r="H2414" i="18"/>
  <c r="H2410" i="18"/>
  <c r="H2406" i="18"/>
  <c r="H2402" i="18"/>
  <c r="H2398" i="18"/>
  <c r="H2394" i="18"/>
  <c r="H2390" i="18"/>
  <c r="H2386" i="18"/>
  <c r="H2382" i="18"/>
  <c r="H2378" i="18"/>
  <c r="H2374" i="18"/>
  <c r="H2370" i="18"/>
  <c r="H2366" i="18"/>
  <c r="H2362" i="18"/>
  <c r="H2358" i="18"/>
  <c r="H2354" i="18"/>
  <c r="H2350" i="18"/>
  <c r="H2346" i="18"/>
  <c r="H2342" i="18"/>
  <c r="H2338" i="18"/>
  <c r="H2334" i="18"/>
  <c r="H2330" i="18"/>
  <c r="H2326" i="18"/>
  <c r="H2322" i="18"/>
  <c r="H2318" i="18"/>
  <c r="H2314" i="18"/>
  <c r="H2310" i="18"/>
  <c r="H2306" i="18"/>
  <c r="H2302" i="18"/>
  <c r="H2298" i="18"/>
  <c r="H2294" i="18"/>
  <c r="H2290" i="18"/>
  <c r="H2286" i="18"/>
  <c r="H2282" i="18"/>
  <c r="H2278" i="18"/>
  <c r="H2274" i="18"/>
  <c r="H2270" i="18"/>
  <c r="H2266" i="18"/>
  <c r="H2262" i="18"/>
  <c r="H2258" i="18"/>
  <c r="H2254" i="18"/>
  <c r="H2250" i="18"/>
  <c r="H2246" i="18"/>
  <c r="H2242" i="18"/>
  <c r="H2238" i="18"/>
  <c r="H2234" i="18"/>
  <c r="H2230" i="18"/>
  <c r="H2226" i="18"/>
  <c r="H2222" i="18"/>
  <c r="H2218" i="18"/>
  <c r="H2214" i="18"/>
  <c r="H2210" i="18"/>
  <c r="H2206" i="18"/>
  <c r="H2202" i="18"/>
  <c r="H2198" i="18"/>
  <c r="H2194" i="18"/>
  <c r="H2190" i="18"/>
  <c r="H2186" i="18"/>
  <c r="H2182" i="18"/>
  <c r="H2178" i="18"/>
  <c r="H2174" i="18"/>
  <c r="H2170" i="18"/>
  <c r="H2166" i="18"/>
  <c r="H2162" i="18"/>
  <c r="H2158" i="18"/>
  <c r="H2154" i="18"/>
  <c r="H2150" i="18"/>
  <c r="H2146" i="18"/>
  <c r="H2142" i="18"/>
  <c r="H2138" i="18"/>
  <c r="H2134" i="18"/>
  <c r="H2130" i="18"/>
  <c r="H2126" i="18"/>
  <c r="H2122" i="18"/>
  <c r="H2118" i="18"/>
  <c r="H2114" i="18"/>
  <c r="H2110" i="18"/>
  <c r="H2106" i="18"/>
  <c r="H2102" i="18"/>
  <c r="H2098" i="18"/>
  <c r="H2094" i="18"/>
  <c r="H2090" i="18"/>
  <c r="H2086" i="18"/>
  <c r="H2082" i="18"/>
  <c r="H2078" i="18"/>
  <c r="H2074" i="18"/>
  <c r="H2070" i="18"/>
  <c r="H2066" i="18"/>
  <c r="H2062" i="18"/>
  <c r="H2058" i="18"/>
  <c r="H2054" i="18"/>
  <c r="H2050" i="18"/>
  <c r="H2046" i="18"/>
  <c r="H2042" i="18"/>
  <c r="H2038" i="18"/>
  <c r="H2034" i="18"/>
  <c r="H2030" i="18"/>
  <c r="H2026" i="18"/>
  <c r="H2022" i="18"/>
  <c r="H2018" i="18"/>
  <c r="H2014" i="18"/>
  <c r="H2010" i="18"/>
  <c r="H2006" i="18"/>
  <c r="H2002" i="18"/>
  <c r="H1998" i="18"/>
  <c r="H1994" i="18"/>
  <c r="H1990" i="18"/>
  <c r="H1986" i="18"/>
  <c r="H1982" i="18"/>
  <c r="H1978" i="18"/>
  <c r="H1974" i="18"/>
  <c r="H1970" i="18"/>
  <c r="H1966" i="18"/>
  <c r="H1960" i="18"/>
  <c r="H1952" i="18"/>
  <c r="H1944" i="18"/>
  <c r="H1936" i="18"/>
  <c r="H1928" i="18"/>
  <c r="H1920" i="18"/>
  <c r="H1912" i="18"/>
  <c r="H1904" i="18"/>
  <c r="H1896" i="18"/>
  <c r="H1888" i="18"/>
  <c r="H1880" i="18"/>
  <c r="H1872" i="18"/>
  <c r="H1864" i="18"/>
  <c r="H1856" i="18"/>
  <c r="H1848" i="18"/>
  <c r="H1840" i="18"/>
  <c r="H1832" i="18"/>
  <c r="H1824" i="18"/>
  <c r="H1816" i="18"/>
  <c r="H1808" i="18"/>
  <c r="H1800" i="18"/>
  <c r="H1792" i="18"/>
  <c r="H1784" i="18"/>
  <c r="H1776" i="18"/>
  <c r="H1768" i="18"/>
  <c r="H1760" i="18"/>
  <c r="H1752" i="18"/>
  <c r="H1744" i="18"/>
  <c r="H1736" i="18"/>
  <c r="H1728" i="18"/>
  <c r="H1720" i="18"/>
  <c r="H1712" i="18"/>
  <c r="H1704" i="18"/>
  <c r="H1696" i="18"/>
  <c r="H1688" i="18"/>
  <c r="H1680" i="18"/>
  <c r="H1672" i="18"/>
  <c r="H1664" i="18"/>
  <c r="H1656" i="18"/>
  <c r="H1648" i="18"/>
  <c r="H1640" i="18"/>
  <c r="H1632" i="18"/>
  <c r="H1624" i="18"/>
  <c r="H1616" i="18"/>
  <c r="H1608" i="18"/>
  <c r="H1600" i="18"/>
  <c r="H1592" i="18"/>
  <c r="H1584" i="18"/>
  <c r="H1576" i="18"/>
  <c r="H1568" i="18"/>
  <c r="H1560" i="18"/>
  <c r="H1552" i="18"/>
  <c r="H1544" i="18"/>
  <c r="H1536" i="18"/>
  <c r="H1528" i="18"/>
  <c r="H1520" i="18"/>
  <c r="H1512" i="18"/>
  <c r="H1504" i="18"/>
  <c r="H1496" i="18"/>
  <c r="H1488" i="18"/>
  <c r="H1480" i="18"/>
  <c r="H1472" i="18"/>
  <c r="H1464" i="18"/>
  <c r="H1456" i="18"/>
  <c r="H1448" i="18"/>
  <c r="H1440" i="18"/>
  <c r="H1432" i="18"/>
  <c r="H1424" i="18"/>
  <c r="H1416" i="18"/>
  <c r="H1408" i="18"/>
  <c r="H1400" i="18"/>
  <c r="H1392" i="18"/>
  <c r="H1384" i="18"/>
  <c r="H1376" i="18"/>
  <c r="H1368" i="18"/>
  <c r="H1360" i="18"/>
  <c r="H1352" i="18"/>
  <c r="H1344" i="18"/>
  <c r="H1336" i="18"/>
  <c r="H1328" i="18"/>
  <c r="H1320" i="18"/>
  <c r="H1312" i="18"/>
  <c r="H1304" i="18"/>
  <c r="H1296" i="18"/>
  <c r="H1288" i="18"/>
  <c r="H1280" i="18"/>
  <c r="H1272" i="18"/>
  <c r="H1264" i="18"/>
  <c r="H1256" i="18"/>
  <c r="H1248" i="18"/>
  <c r="H1240" i="18"/>
  <c r="H1232" i="18"/>
  <c r="H1224" i="18"/>
  <c r="H1216" i="18"/>
  <c r="H1208" i="18"/>
  <c r="H1200" i="18"/>
  <c r="H1192" i="18"/>
  <c r="H1184" i="18"/>
  <c r="H1176" i="18"/>
  <c r="H1168" i="18"/>
  <c r="H1160" i="18"/>
  <c r="H1152" i="18"/>
  <c r="H1144" i="18"/>
  <c r="H1136" i="18"/>
  <c r="H1128" i="18"/>
  <c r="H1120" i="18"/>
  <c r="H1112" i="18"/>
  <c r="H1104" i="18"/>
  <c r="H1096" i="18"/>
  <c r="H1088" i="18"/>
  <c r="H1080" i="18"/>
  <c r="H1072" i="18"/>
  <c r="H1064" i="18"/>
  <c r="H1056" i="18"/>
  <c r="H1048" i="18"/>
  <c r="H1040" i="18"/>
  <c r="H1032" i="18"/>
  <c r="H1024" i="18"/>
  <c r="H1016" i="18"/>
  <c r="H1008" i="18"/>
  <c r="H1000" i="18"/>
  <c r="H992" i="18"/>
  <c r="H984" i="18"/>
  <c r="H976" i="18"/>
  <c r="H968" i="18"/>
  <c r="H960" i="18"/>
  <c r="H952" i="18"/>
  <c r="H944" i="18"/>
  <c r="H931" i="18"/>
  <c r="H915" i="18"/>
  <c r="H899" i="18"/>
  <c r="H883" i="18"/>
  <c r="H867" i="18"/>
  <c r="H851" i="18"/>
  <c r="H835" i="18"/>
  <c r="H819" i="18"/>
  <c r="H803" i="18"/>
  <c r="H787" i="18"/>
  <c r="H771" i="18"/>
  <c r="H755" i="18"/>
  <c r="H739" i="18"/>
  <c r="H723" i="18"/>
  <c r="H707" i="18"/>
  <c r="H691" i="18"/>
  <c r="H675" i="18"/>
  <c r="H659" i="18"/>
  <c r="H643" i="18"/>
  <c r="H627" i="18"/>
  <c r="H611" i="18"/>
  <c r="H595" i="18"/>
  <c r="H579" i="18"/>
  <c r="H563" i="18"/>
  <c r="H547" i="18"/>
  <c r="H531" i="18"/>
  <c r="H515" i="18"/>
  <c r="H499" i="18"/>
  <c r="H483" i="18"/>
  <c r="H467" i="18"/>
  <c r="H451" i="18"/>
  <c r="H435" i="18"/>
  <c r="H409" i="18"/>
  <c r="H377" i="18"/>
  <c r="H345" i="18"/>
  <c r="H313" i="18"/>
  <c r="H281" i="18"/>
  <c r="H249" i="18"/>
  <c r="H217" i="18"/>
  <c r="H185" i="18"/>
  <c r="H132" i="18"/>
  <c r="H68" i="18"/>
  <c r="H4" i="18"/>
  <c r="H5002" i="18"/>
  <c r="H5000" i="18"/>
  <c r="H4998" i="18"/>
  <c r="H4996" i="18"/>
  <c r="H4994" i="18"/>
  <c r="H4992" i="18"/>
  <c r="H4990" i="18"/>
  <c r="H4988" i="18"/>
  <c r="H4986" i="18"/>
  <c r="H4984" i="18"/>
  <c r="H4982" i="18"/>
  <c r="H4980" i="18"/>
  <c r="H4978" i="18"/>
  <c r="H4976" i="18"/>
  <c r="H4974" i="18"/>
  <c r="H4972" i="18"/>
  <c r="H4970" i="18"/>
  <c r="H4968" i="18"/>
  <c r="H4966" i="18"/>
  <c r="H4964" i="18"/>
  <c r="H4962" i="18"/>
  <c r="H4960" i="18"/>
  <c r="H4958" i="18"/>
  <c r="H4956" i="18"/>
  <c r="H4954" i="18"/>
  <c r="H4952" i="18"/>
  <c r="H4950" i="18"/>
  <c r="H4948" i="18"/>
  <c r="H4946" i="18"/>
  <c r="H4944" i="18"/>
  <c r="H4942" i="18"/>
  <c r="H4940" i="18"/>
  <c r="H4938" i="18"/>
  <c r="H4936" i="18"/>
  <c r="H4934" i="18"/>
  <c r="H4932" i="18"/>
  <c r="H4930" i="18"/>
  <c r="H4928" i="18"/>
  <c r="H4926" i="18"/>
  <c r="H4924" i="18"/>
  <c r="H4922" i="18"/>
  <c r="H4920" i="18"/>
  <c r="H4918" i="18"/>
  <c r="H4916" i="18"/>
  <c r="H4914" i="18"/>
  <c r="H4912" i="18"/>
  <c r="H4910" i="18"/>
  <c r="H4908" i="18"/>
  <c r="H4906" i="18"/>
  <c r="H4904" i="18"/>
  <c r="H4902" i="18"/>
  <c r="H4900" i="18"/>
  <c r="H4898" i="18"/>
  <c r="H4896" i="18"/>
  <c r="H4894" i="18"/>
  <c r="H4892" i="18"/>
  <c r="H4890" i="18"/>
  <c r="H4888" i="18"/>
  <c r="H4886" i="18"/>
  <c r="H4884" i="18"/>
  <c r="H4882" i="18"/>
  <c r="H4880" i="18"/>
  <c r="H4878" i="18"/>
  <c r="H4876" i="18"/>
  <c r="H4874" i="18"/>
  <c r="H4872" i="18"/>
  <c r="H4870" i="18"/>
  <c r="H4868" i="18"/>
  <c r="H4866" i="18"/>
  <c r="H4864" i="18"/>
  <c r="H4862" i="18"/>
  <c r="H4860" i="18"/>
  <c r="H4858" i="18"/>
  <c r="H4856" i="18"/>
  <c r="H4854" i="18"/>
  <c r="H4852" i="18"/>
  <c r="H4850" i="18"/>
  <c r="H4848" i="18"/>
  <c r="H4846" i="18"/>
  <c r="H4844" i="18"/>
  <c r="H4842" i="18"/>
  <c r="H4840" i="18"/>
  <c r="H4838" i="18"/>
  <c r="H4836" i="18"/>
  <c r="H4834" i="18"/>
  <c r="H4832" i="18"/>
  <c r="H4830" i="18"/>
  <c r="H4828" i="18"/>
  <c r="H4826" i="18"/>
  <c r="H4824" i="18"/>
  <c r="H4822" i="18"/>
  <c r="H4820" i="18"/>
  <c r="H4818" i="18"/>
  <c r="H4816" i="18"/>
  <c r="H4814" i="18"/>
  <c r="H4812" i="18"/>
  <c r="H4810" i="18"/>
  <c r="H4808" i="18"/>
  <c r="H4806" i="18"/>
  <c r="H4804" i="18"/>
  <c r="H4802" i="18"/>
  <c r="H4800" i="18"/>
  <c r="H4798" i="18"/>
  <c r="H4796" i="18"/>
  <c r="H4794" i="18"/>
  <c r="H4792" i="18"/>
  <c r="H4790" i="18"/>
  <c r="H4788" i="18"/>
  <c r="H4786" i="18"/>
  <c r="H4784" i="18"/>
  <c r="H4782" i="18"/>
  <c r="H4780" i="18"/>
  <c r="H4778" i="18"/>
  <c r="H4776" i="18"/>
  <c r="H4774" i="18"/>
  <c r="H4772" i="18"/>
  <c r="H4770" i="18"/>
  <c r="H4768" i="18"/>
  <c r="H4766" i="18"/>
  <c r="H4764" i="18"/>
  <c r="H4762" i="18"/>
  <c r="H4760" i="18"/>
  <c r="H4758" i="18"/>
  <c r="H4756" i="18"/>
  <c r="H4754" i="18"/>
  <c r="H4752" i="18"/>
  <c r="H4750" i="18"/>
  <c r="H4748" i="18"/>
  <c r="H4746" i="18"/>
  <c r="H4744" i="18"/>
  <c r="H4742" i="18"/>
  <c r="H4740" i="18"/>
  <c r="H4738" i="18"/>
  <c r="H4736" i="18"/>
  <c r="H4734" i="18"/>
  <c r="H4732" i="18"/>
  <c r="H4730" i="18"/>
  <c r="H4728" i="18"/>
  <c r="H4726" i="18"/>
  <c r="H4724" i="18"/>
  <c r="H4722" i="18"/>
  <c r="H4720" i="18"/>
  <c r="H4718" i="18"/>
  <c r="H4716" i="18"/>
  <c r="H4714" i="18"/>
  <c r="H4712" i="18"/>
  <c r="H4710" i="18"/>
  <c r="H4708" i="18"/>
  <c r="H4706" i="18"/>
  <c r="H4704" i="18"/>
  <c r="H4702" i="18"/>
  <c r="H4700" i="18"/>
  <c r="H4698" i="18"/>
  <c r="H4696" i="18"/>
  <c r="H4694" i="18"/>
  <c r="H4692" i="18"/>
  <c r="H4690" i="18"/>
  <c r="H4688" i="18"/>
  <c r="H4686" i="18"/>
  <c r="H4684" i="18"/>
  <c r="H4682" i="18"/>
  <c r="H4680" i="18"/>
  <c r="H4678" i="18"/>
  <c r="H4676" i="18"/>
  <c r="H4674" i="18"/>
  <c r="H4672" i="18"/>
  <c r="H4670" i="18"/>
  <c r="H4668" i="18"/>
  <c r="H4666" i="18"/>
  <c r="H4664" i="18"/>
  <c r="H4662" i="18"/>
  <c r="H4660" i="18"/>
  <c r="H4658" i="18"/>
  <c r="H4656" i="18"/>
  <c r="H4654" i="18"/>
  <c r="H4652" i="18"/>
  <c r="H4650" i="18"/>
  <c r="H4648" i="18"/>
  <c r="H4646" i="18"/>
  <c r="H4644" i="18"/>
  <c r="H4642" i="18"/>
  <c r="H4640" i="18"/>
  <c r="H4638" i="18"/>
  <c r="H4636" i="18"/>
  <c r="H4634" i="18"/>
  <c r="H4632" i="18"/>
  <c r="H4630" i="18"/>
  <c r="H4628" i="18"/>
  <c r="H4626" i="18"/>
  <c r="H4624" i="18"/>
  <c r="H4622" i="18"/>
  <c r="H4620" i="18"/>
  <c r="H4618" i="18"/>
  <c r="H4616" i="18"/>
  <c r="H4614" i="18"/>
  <c r="H4612" i="18"/>
  <c r="H4610" i="18"/>
  <c r="H4608" i="18"/>
  <c r="H4606" i="18"/>
  <c r="H4604" i="18"/>
  <c r="H4602" i="18"/>
  <c r="H4600" i="18"/>
  <c r="H4598" i="18"/>
  <c r="H4596" i="18"/>
  <c r="H4594" i="18"/>
  <c r="H4592" i="18"/>
  <c r="H4590" i="18"/>
  <c r="H4588" i="18"/>
  <c r="H4586" i="18"/>
  <c r="H4584" i="18"/>
  <c r="H4582" i="18"/>
  <c r="H4580" i="18"/>
  <c r="H4578" i="18"/>
  <c r="H4576" i="18"/>
  <c r="H4574" i="18"/>
  <c r="H4572" i="18"/>
  <c r="H4570" i="18"/>
  <c r="H4568" i="18"/>
  <c r="H4566" i="18"/>
  <c r="H4564" i="18"/>
  <c r="H4562" i="18"/>
  <c r="H4560" i="18"/>
  <c r="H4558" i="18"/>
  <c r="H4556" i="18"/>
  <c r="H4554" i="18"/>
  <c r="H4552" i="18"/>
  <c r="H4550" i="18"/>
  <c r="H4548" i="18"/>
  <c r="H4546" i="18"/>
  <c r="H4544" i="18"/>
  <c r="H4542" i="18"/>
  <c r="H4540" i="18"/>
  <c r="H4538" i="18"/>
  <c r="H4536" i="18"/>
  <c r="H4534" i="18"/>
  <c r="H4532" i="18"/>
  <c r="H4530" i="18"/>
  <c r="H4528" i="18"/>
  <c r="H4526" i="18"/>
  <c r="H4524" i="18"/>
  <c r="H4522" i="18"/>
  <c r="H4520" i="18"/>
  <c r="H4518" i="18"/>
  <c r="H4516" i="18"/>
  <c r="H4514" i="18"/>
  <c r="H4512" i="18"/>
  <c r="H4510" i="18"/>
  <c r="H4508" i="18"/>
  <c r="H4506" i="18"/>
  <c r="H4504" i="18"/>
  <c r="H4502" i="18"/>
  <c r="H4500" i="18"/>
  <c r="H4498" i="18"/>
  <c r="H4496" i="18"/>
  <c r="H4494" i="18"/>
  <c r="H4492" i="18"/>
  <c r="H4490" i="18"/>
  <c r="H4488" i="18"/>
  <c r="H4486" i="18"/>
  <c r="H4484" i="18"/>
  <c r="H4482" i="18"/>
  <c r="H4480" i="18"/>
  <c r="H4478" i="18"/>
  <c r="H4476" i="18"/>
  <c r="H4474" i="18"/>
  <c r="H4472" i="18"/>
  <c r="H4470" i="18"/>
  <c r="H4468" i="18"/>
  <c r="H4466" i="18"/>
  <c r="H4464" i="18"/>
  <c r="H4462" i="18"/>
  <c r="H4460" i="18"/>
  <c r="H4458" i="18"/>
  <c r="H4456" i="18"/>
  <c r="H4454" i="18"/>
  <c r="H4452" i="18"/>
  <c r="H4450" i="18"/>
  <c r="H4448" i="18"/>
  <c r="H4446" i="18"/>
  <c r="H4444" i="18"/>
  <c r="H4442" i="18"/>
  <c r="H4440" i="18"/>
  <c r="H4438" i="18"/>
  <c r="H4436" i="18"/>
  <c r="H4434" i="18"/>
  <c r="H4432" i="18"/>
  <c r="H4430" i="18"/>
  <c r="H4428" i="18"/>
  <c r="H4426" i="18"/>
  <c r="H4424" i="18"/>
  <c r="H4422" i="18"/>
  <c r="H4420" i="18"/>
  <c r="H4418" i="18"/>
  <c r="H4416" i="18"/>
  <c r="H4414" i="18"/>
  <c r="H4412" i="18"/>
  <c r="H4410" i="18"/>
  <c r="H4408" i="18"/>
  <c r="H4406" i="18"/>
  <c r="H4404" i="18"/>
  <c r="H4402" i="18"/>
  <c r="H4400" i="18"/>
  <c r="H4398" i="18"/>
  <c r="H4396" i="18"/>
  <c r="H4394" i="18"/>
  <c r="H4392" i="18"/>
  <c r="H4390" i="18"/>
  <c r="H4388" i="18"/>
  <c r="H4386" i="18"/>
  <c r="H4384" i="18"/>
  <c r="H4382" i="18"/>
  <c r="H4380" i="18"/>
  <c r="H4378" i="18"/>
  <c r="H4376" i="18"/>
  <c r="H4374" i="18"/>
  <c r="H4372" i="18"/>
  <c r="H4370" i="18"/>
  <c r="H4368" i="18"/>
  <c r="H4366" i="18"/>
  <c r="H4364" i="18"/>
  <c r="H4362" i="18"/>
  <c r="H4360" i="18"/>
  <c r="H4358" i="18"/>
  <c r="H4356" i="18"/>
  <c r="H4354" i="18"/>
  <c r="H4352" i="18"/>
  <c r="H4350" i="18"/>
  <c r="H4348" i="18"/>
  <c r="H4346" i="18"/>
  <c r="H4344" i="18"/>
  <c r="H4342" i="18"/>
  <c r="H4340" i="18"/>
  <c r="H4338" i="18"/>
  <c r="H4336" i="18"/>
  <c r="H4334" i="18"/>
  <c r="H4332" i="18"/>
  <c r="H4330" i="18"/>
  <c r="H4328" i="18"/>
  <c r="H4326" i="18"/>
  <c r="H4324" i="18"/>
  <c r="H4322" i="18"/>
  <c r="H4320" i="18"/>
  <c r="H4318" i="18"/>
  <c r="H4316" i="18"/>
  <c r="H4314" i="18"/>
  <c r="H4312" i="18"/>
  <c r="H4310" i="18"/>
  <c r="H4308" i="18"/>
  <c r="H4306" i="18"/>
  <c r="H4304" i="18"/>
  <c r="H4302" i="18"/>
  <c r="H4300" i="18"/>
  <c r="H4298" i="18"/>
  <c r="H4296" i="18"/>
  <c r="H4294" i="18"/>
  <c r="H4292" i="18"/>
  <c r="H4290" i="18"/>
  <c r="H4288" i="18"/>
  <c r="H4286" i="18"/>
  <c r="H4284" i="18"/>
  <c r="H4282" i="18"/>
  <c r="H4280" i="18"/>
  <c r="H4278" i="18"/>
  <c r="H4276" i="18"/>
  <c r="H4274" i="18"/>
  <c r="H4272" i="18"/>
  <c r="H4270" i="18"/>
  <c r="H4268" i="18"/>
  <c r="H4266" i="18"/>
  <c r="H4264" i="18"/>
  <c r="H4262" i="18"/>
  <c r="H4260" i="18"/>
  <c r="H4258" i="18"/>
  <c r="H4256" i="18"/>
  <c r="H4254" i="18"/>
  <c r="H4252" i="18"/>
  <c r="H4250" i="18"/>
  <c r="H4248" i="18"/>
  <c r="H4246" i="18"/>
  <c r="H4244" i="18"/>
  <c r="H4242" i="18"/>
  <c r="H4240" i="18"/>
  <c r="H4238" i="18"/>
  <c r="H4236" i="18"/>
  <c r="H4234" i="18"/>
  <c r="H4232" i="18"/>
  <c r="H4230" i="18"/>
  <c r="H4228" i="18"/>
  <c r="H4226" i="18"/>
  <c r="H4224" i="18"/>
  <c r="H4222" i="18"/>
  <c r="H4220" i="18"/>
  <c r="H4218" i="18"/>
  <c r="H4216" i="18"/>
  <c r="H4214" i="18"/>
  <c r="H4212" i="18"/>
  <c r="H4210" i="18"/>
  <c r="H4208" i="18"/>
  <c r="H4206" i="18"/>
  <c r="H4204" i="18"/>
  <c r="H4202" i="18"/>
  <c r="H4200" i="18"/>
  <c r="H4198" i="18"/>
  <c r="H4196" i="18"/>
  <c r="H4194" i="18"/>
  <c r="H4192" i="18"/>
  <c r="H4190" i="18"/>
  <c r="H4188" i="18"/>
  <c r="H4186" i="18"/>
  <c r="H4184" i="18"/>
  <c r="H4182" i="18"/>
  <c r="H4180" i="18"/>
  <c r="H4178" i="18"/>
  <c r="H4176" i="18"/>
  <c r="H4174" i="18"/>
  <c r="H4172" i="18"/>
  <c r="H4170" i="18"/>
  <c r="H4168" i="18"/>
  <c r="H4166" i="18"/>
  <c r="H4164" i="18"/>
  <c r="H4162" i="18"/>
  <c r="H4160" i="18"/>
  <c r="H4158" i="18"/>
  <c r="H4156" i="18"/>
  <c r="H4154" i="18"/>
  <c r="H4152" i="18"/>
  <c r="H4150" i="18"/>
  <c r="H4148" i="18"/>
  <c r="H4146" i="18"/>
  <c r="H4144" i="18"/>
  <c r="H4142" i="18"/>
  <c r="H4140" i="18"/>
  <c r="H4138" i="18"/>
  <c r="H4136" i="18"/>
  <c r="H4134" i="18"/>
  <c r="H4132" i="18"/>
  <c r="H4130" i="18"/>
  <c r="H4128" i="18"/>
  <c r="H4126" i="18"/>
  <c r="H4124" i="18"/>
  <c r="H4122" i="18"/>
  <c r="H4120" i="18"/>
  <c r="H4118" i="18"/>
  <c r="H4116" i="18"/>
  <c r="H4114" i="18"/>
  <c r="H4112" i="18"/>
  <c r="H4110" i="18"/>
  <c r="H4108" i="18"/>
  <c r="H4106" i="18"/>
  <c r="H4104" i="18"/>
  <c r="H4102" i="18"/>
  <c r="H4100" i="18"/>
  <c r="H4098" i="18"/>
  <c r="H4096" i="18"/>
  <c r="H4094" i="18"/>
  <c r="H4092" i="18"/>
  <c r="H4090" i="18"/>
  <c r="H4088" i="18"/>
  <c r="H4086" i="18"/>
  <c r="H4084" i="18"/>
  <c r="H4082" i="18"/>
  <c r="H4080" i="18"/>
  <c r="H4078" i="18"/>
  <c r="H4076" i="18"/>
  <c r="H4074" i="18"/>
  <c r="H4072" i="18"/>
  <c r="H4070" i="18"/>
  <c r="H4068" i="18"/>
  <c r="H4066" i="18"/>
  <c r="H4064" i="18"/>
  <c r="H4062" i="18"/>
  <c r="H4060" i="18"/>
  <c r="H4058" i="18"/>
  <c r="H4056" i="18"/>
  <c r="H4054" i="18"/>
  <c r="H4052" i="18"/>
  <c r="H4050" i="18"/>
  <c r="H4048" i="18"/>
  <c r="H4046" i="18"/>
  <c r="H4044" i="18"/>
  <c r="H4042" i="18"/>
  <c r="H4040" i="18"/>
  <c r="H4038" i="18"/>
  <c r="H4036" i="18"/>
  <c r="H4034" i="18"/>
  <c r="H4032" i="18"/>
  <c r="H4030" i="18"/>
  <c r="H4028" i="18"/>
  <c r="H4026" i="18"/>
  <c r="H4024" i="18"/>
  <c r="H4022" i="18"/>
  <c r="H4020" i="18"/>
  <c r="H4018" i="18"/>
  <c r="H4016" i="18"/>
  <c r="H4014" i="18"/>
  <c r="H4012" i="18"/>
  <c r="H4008" i="18"/>
  <c r="H4004" i="18"/>
  <c r="H4000" i="18"/>
  <c r="H3996" i="18"/>
  <c r="H3992" i="18"/>
  <c r="H3988" i="18"/>
  <c r="H3984" i="18"/>
  <c r="H3980" i="18"/>
  <c r="H3976" i="18"/>
  <c r="H3972" i="18"/>
  <c r="H3968" i="18"/>
  <c r="H3964" i="18"/>
  <c r="H3960" i="18"/>
  <c r="H3956" i="18"/>
  <c r="H3952" i="18"/>
  <c r="H3948" i="18"/>
  <c r="H3944" i="18"/>
  <c r="H3940" i="18"/>
  <c r="H3936" i="18"/>
  <c r="H3932" i="18"/>
  <c r="H3928" i="18"/>
  <c r="H3924" i="18"/>
  <c r="H3920" i="18"/>
  <c r="H3916" i="18"/>
  <c r="H3912" i="18"/>
  <c r="H3908" i="18"/>
  <c r="H3904" i="18"/>
  <c r="H3900" i="18"/>
  <c r="H3896" i="18"/>
  <c r="H3892" i="18"/>
  <c r="H3888" i="18"/>
  <c r="H3884" i="18"/>
  <c r="H3880" i="18"/>
  <c r="H3876" i="18"/>
  <c r="H3872" i="18"/>
  <c r="H3868" i="18"/>
  <c r="H3864" i="18"/>
  <c r="H3860" i="18"/>
  <c r="H3856" i="18"/>
  <c r="H3852" i="18"/>
  <c r="H3848" i="18"/>
  <c r="H3844" i="18"/>
  <c r="H3840" i="18"/>
  <c r="H3836" i="18"/>
  <c r="H3832" i="18"/>
  <c r="H3828" i="18"/>
  <c r="H3824" i="18"/>
  <c r="H3820" i="18"/>
  <c r="H3816" i="18"/>
  <c r="H3812" i="18"/>
  <c r="H3808" i="18"/>
  <c r="H3804" i="18"/>
  <c r="H3800" i="18"/>
  <c r="H3796" i="18"/>
  <c r="H3792" i="18"/>
  <c r="H3788" i="18"/>
  <c r="H3784" i="18"/>
  <c r="H3780" i="18"/>
  <c r="H3776" i="18"/>
  <c r="H3772" i="18"/>
  <c r="H3768" i="18"/>
  <c r="H3764" i="18"/>
  <c r="H3760" i="18"/>
  <c r="H3756" i="18"/>
  <c r="H3752" i="18"/>
  <c r="H3748" i="18"/>
  <c r="H3744" i="18"/>
  <c r="H3740" i="18"/>
  <c r="H3736" i="18"/>
  <c r="H3732" i="18"/>
  <c r="H3728" i="18"/>
  <c r="H3724" i="18"/>
  <c r="H3720" i="18"/>
  <c r="H3716" i="18"/>
  <c r="H3712" i="18"/>
  <c r="H3708" i="18"/>
  <c r="H3704" i="18"/>
  <c r="H3700" i="18"/>
  <c r="H3696" i="18"/>
  <c r="H3692" i="18"/>
  <c r="H3688" i="18"/>
  <c r="H3684" i="18"/>
  <c r="H3680" i="18"/>
  <c r="H3676" i="18"/>
  <c r="H3672" i="18"/>
  <c r="H3668" i="18"/>
  <c r="H3664" i="18"/>
  <c r="H3660" i="18"/>
  <c r="H3656" i="18"/>
  <c r="H3652" i="18"/>
  <c r="H3648" i="18"/>
  <c r="H3644" i="18"/>
  <c r="H3640" i="18"/>
  <c r="H3636" i="18"/>
  <c r="H3632" i="18"/>
  <c r="H3628" i="18"/>
  <c r="H3624" i="18"/>
  <c r="H3620" i="18"/>
  <c r="H3616" i="18"/>
  <c r="H3612" i="18"/>
  <c r="H3608" i="18"/>
  <c r="H3604" i="18"/>
  <c r="H3600" i="18"/>
  <c r="H3596" i="18"/>
  <c r="H3592" i="18"/>
  <c r="H3588" i="18"/>
  <c r="H3584" i="18"/>
  <c r="H3580" i="18"/>
  <c r="H3576" i="18"/>
  <c r="H3572" i="18"/>
  <c r="H3568" i="18"/>
  <c r="H3564" i="18"/>
  <c r="H3560" i="18"/>
  <c r="H3556" i="18"/>
  <c r="H3552" i="18"/>
  <c r="H3548" i="18"/>
  <c r="H3544" i="18"/>
  <c r="H3540" i="18"/>
  <c r="H3536" i="18"/>
  <c r="H3532" i="18"/>
  <c r="H3528" i="18"/>
  <c r="H3524" i="18"/>
  <c r="H3520" i="18"/>
  <c r="H3516" i="18"/>
  <c r="H3512" i="18"/>
  <c r="H3508" i="18"/>
  <c r="H3504" i="18"/>
  <c r="H3500" i="18"/>
  <c r="H3496" i="18"/>
  <c r="H3492" i="18"/>
  <c r="H3488" i="18"/>
  <c r="H3484" i="18"/>
  <c r="H3480" i="18"/>
  <c r="H3476" i="18"/>
  <c r="H3472" i="18"/>
  <c r="H3468" i="18"/>
  <c r="H3464" i="18"/>
  <c r="H3460" i="18"/>
  <c r="H3456" i="18"/>
  <c r="H3452" i="18"/>
  <c r="H3448" i="18"/>
  <c r="H3444" i="18"/>
  <c r="H3440" i="18"/>
  <c r="H3436" i="18"/>
  <c r="H3432" i="18"/>
  <c r="H3428" i="18"/>
  <c r="H3424" i="18"/>
  <c r="H3420" i="18"/>
  <c r="H3416" i="18"/>
  <c r="H3412" i="18"/>
  <c r="H3408" i="18"/>
  <c r="H3404" i="18"/>
  <c r="H3400" i="18"/>
  <c r="H3396" i="18"/>
  <c r="H3392" i="18"/>
  <c r="H3388" i="18"/>
  <c r="H3384" i="18"/>
  <c r="H3380" i="18"/>
  <c r="H3376" i="18"/>
  <c r="H3372" i="18"/>
  <c r="H3368" i="18"/>
  <c r="H3364" i="18"/>
  <c r="H3360" i="18"/>
  <c r="H3356" i="18"/>
  <c r="H3352" i="18"/>
  <c r="H3348" i="18"/>
  <c r="H3344" i="18"/>
  <c r="H3340" i="18"/>
  <c r="H3336" i="18"/>
  <c r="H3332" i="18"/>
  <c r="H3328" i="18"/>
  <c r="H3324" i="18"/>
  <c r="H3320" i="18"/>
  <c r="H3316" i="18"/>
  <c r="H3312" i="18"/>
  <c r="H3308" i="18"/>
  <c r="H3304" i="18"/>
  <c r="H3300" i="18"/>
  <c r="H3296" i="18"/>
  <c r="H3292" i="18"/>
  <c r="H3288" i="18"/>
  <c r="H3284" i="18"/>
  <c r="H3280" i="18"/>
  <c r="H3276" i="18"/>
  <c r="H3272" i="18"/>
  <c r="H3268" i="18"/>
  <c r="H3264" i="18"/>
  <c r="H3260" i="18"/>
  <c r="H3256" i="18"/>
  <c r="H3252" i="18"/>
  <c r="H3248" i="18"/>
  <c r="H3244" i="18"/>
  <c r="H3240" i="18"/>
  <c r="H3236" i="18"/>
  <c r="H3232" i="18"/>
  <c r="H3228" i="18"/>
  <c r="H3224" i="18"/>
  <c r="H3220" i="18"/>
  <c r="H3216" i="18"/>
  <c r="H3212" i="18"/>
  <c r="H3208" i="18"/>
  <c r="H3204" i="18"/>
  <c r="H3200" i="18"/>
  <c r="H3196" i="18"/>
  <c r="H3192" i="18"/>
  <c r="H3188" i="18"/>
  <c r="H3184" i="18"/>
  <c r="H3180" i="18"/>
  <c r="H3176" i="18"/>
  <c r="H3172" i="18"/>
  <c r="H3168" i="18"/>
  <c r="H3164" i="18"/>
  <c r="H3160" i="18"/>
  <c r="H3156" i="18"/>
  <c r="H3152" i="18"/>
  <c r="H3148" i="18"/>
  <c r="H3144" i="18"/>
  <c r="H3140" i="18"/>
  <c r="H3136" i="18"/>
  <c r="H3132" i="18"/>
  <c r="H3128" i="18"/>
  <c r="H3124" i="18"/>
  <c r="H3120" i="18"/>
  <c r="H3116" i="18"/>
  <c r="H3112" i="18"/>
  <c r="H3108" i="18"/>
  <c r="H3104" i="18"/>
  <c r="H3100" i="18"/>
  <c r="H3096" i="18"/>
  <c r="H3092" i="18"/>
  <c r="H3088" i="18"/>
  <c r="H3084" i="18"/>
  <c r="H3080" i="18"/>
  <c r="H3076" i="18"/>
  <c r="H3072" i="18"/>
  <c r="H3068" i="18"/>
  <c r="H3064" i="18"/>
  <c r="H3060" i="18"/>
  <c r="H3056" i="18"/>
  <c r="H3052" i="18"/>
  <c r="H3048" i="18"/>
  <c r="H3044" i="18"/>
  <c r="H3040" i="18"/>
  <c r="H3036" i="18"/>
  <c r="H3032" i="18"/>
  <c r="H3028" i="18"/>
  <c r="H3024" i="18"/>
  <c r="H3020" i="18"/>
  <c r="H3016" i="18"/>
  <c r="H3012" i="18"/>
  <c r="H3008" i="18"/>
  <c r="H3004" i="18"/>
  <c r="H3000" i="18"/>
  <c r="H2996" i="18"/>
  <c r="H2992" i="18"/>
  <c r="H2988" i="18"/>
  <c r="H2984" i="18"/>
  <c r="H2980" i="18"/>
  <c r="H2976" i="18"/>
  <c r="H2972" i="18"/>
  <c r="H2968" i="18"/>
  <c r="H2964" i="18"/>
  <c r="H2960" i="18"/>
  <c r="H2956" i="18"/>
  <c r="H2952" i="18"/>
  <c r="H2948" i="18"/>
  <c r="H2944" i="18"/>
  <c r="H2940" i="18"/>
  <c r="H2936" i="18"/>
  <c r="H2932" i="18"/>
  <c r="H2928" i="18"/>
  <c r="H2924" i="18"/>
  <c r="H2920" i="18"/>
  <c r="H2916" i="18"/>
  <c r="H2912" i="18"/>
  <c r="H2908" i="18"/>
  <c r="H2904" i="18"/>
  <c r="H2900" i="18"/>
  <c r="H2896" i="18"/>
  <c r="H2892" i="18"/>
  <c r="H2888" i="18"/>
  <c r="H2884" i="18"/>
  <c r="H2880" i="18"/>
  <c r="H2876" i="18"/>
  <c r="H2872" i="18"/>
  <c r="H2868" i="18"/>
  <c r="H2864" i="18"/>
  <c r="H2860" i="18"/>
  <c r="H2856" i="18"/>
  <c r="H2852" i="18"/>
  <c r="H2848" i="18"/>
  <c r="H2844" i="18"/>
  <c r="H2840" i="18"/>
  <c r="H2836" i="18"/>
  <c r="H2832" i="18"/>
  <c r="H2828" i="18"/>
  <c r="H2824" i="18"/>
  <c r="H2820" i="18"/>
  <c r="H2816" i="18"/>
  <c r="H2812" i="18"/>
  <c r="H2808" i="18"/>
  <c r="H2804" i="18"/>
  <c r="H2800" i="18"/>
  <c r="H2796" i="18"/>
  <c r="H2792" i="18"/>
  <c r="H2788" i="18"/>
  <c r="H2784" i="18"/>
  <c r="H2780" i="18"/>
  <c r="H2776" i="18"/>
  <c r="H2772" i="18"/>
  <c r="H2768" i="18"/>
  <c r="H2764" i="18"/>
  <c r="H2760" i="18"/>
  <c r="H2756" i="18"/>
  <c r="H2752" i="18"/>
  <c r="H2748" i="18"/>
  <c r="H2744" i="18"/>
  <c r="H2740" i="18"/>
  <c r="H2736" i="18"/>
  <c r="H2732" i="18"/>
  <c r="H2728" i="18"/>
  <c r="H2724" i="18"/>
  <c r="H2720" i="18"/>
  <c r="H2716" i="18"/>
  <c r="H2712" i="18"/>
  <c r="H2708" i="18"/>
  <c r="H2704" i="18"/>
  <c r="H2700" i="18"/>
  <c r="H2696" i="18"/>
  <c r="H2692" i="18"/>
  <c r="H2688" i="18"/>
  <c r="H2684" i="18"/>
  <c r="H2680" i="18"/>
  <c r="H2676" i="18"/>
  <c r="H2672" i="18"/>
  <c r="H2668" i="18"/>
  <c r="H2664" i="18"/>
  <c r="H2660" i="18"/>
  <c r="H2656" i="18"/>
  <c r="H2652" i="18"/>
  <c r="H2648" i="18"/>
  <c r="H2644" i="18"/>
  <c r="H2640" i="18"/>
  <c r="H2636" i="18"/>
  <c r="H2632" i="18"/>
  <c r="H2628" i="18"/>
  <c r="H2624" i="18"/>
  <c r="H2620" i="18"/>
  <c r="H2616" i="18"/>
  <c r="H2612" i="18"/>
  <c r="H2608" i="18"/>
  <c r="H2604" i="18"/>
  <c r="H2600" i="18"/>
  <c r="H2596" i="18"/>
  <c r="H2592" i="18"/>
  <c r="H2588" i="18"/>
  <c r="H2584" i="18"/>
  <c r="H2580" i="18"/>
  <c r="H2576" i="18"/>
  <c r="H2572" i="18"/>
  <c r="H2568" i="18"/>
  <c r="H2564" i="18"/>
  <c r="H2560" i="18"/>
  <c r="H2556" i="18"/>
  <c r="H2552" i="18"/>
  <c r="H2548" i="18"/>
  <c r="H2544" i="18"/>
  <c r="H2540" i="18"/>
  <c r="H2536" i="18"/>
  <c r="H2532" i="18"/>
  <c r="H2528" i="18"/>
  <c r="H2524" i="18"/>
  <c r="H2520" i="18"/>
  <c r="H2516" i="18"/>
  <c r="H2512" i="18"/>
  <c r="H2508" i="18"/>
  <c r="H2504" i="18"/>
  <c r="H2500" i="18"/>
  <c r="H2496" i="18"/>
  <c r="H2492" i="18"/>
  <c r="H2488" i="18"/>
  <c r="H2484" i="18"/>
  <c r="H2480" i="18"/>
  <c r="H2476" i="18"/>
  <c r="H2472" i="18"/>
  <c r="H2468" i="18"/>
  <c r="H2464" i="18"/>
  <c r="H2460" i="18"/>
  <c r="H2456" i="18"/>
  <c r="H2452" i="18"/>
  <c r="H2448" i="18"/>
  <c r="H2444" i="18"/>
  <c r="H2440" i="18"/>
  <c r="H2436" i="18"/>
  <c r="H2432" i="18"/>
  <c r="H2428" i="18"/>
  <c r="H2424" i="18"/>
  <c r="H2420" i="18"/>
  <c r="H2416" i="18"/>
  <c r="H2412" i="18"/>
  <c r="H2408" i="18"/>
  <c r="H2404" i="18"/>
  <c r="H2400" i="18"/>
  <c r="H2396" i="18"/>
  <c r="H2392" i="18"/>
  <c r="H2388" i="18"/>
  <c r="H2384" i="18"/>
  <c r="H2380" i="18"/>
  <c r="H2376" i="18"/>
  <c r="H2372" i="18"/>
  <c r="H2368" i="18"/>
  <c r="H2364" i="18"/>
  <c r="H2360" i="18"/>
  <c r="H2356" i="18"/>
  <c r="H2352" i="18"/>
  <c r="H2348" i="18"/>
  <c r="H2344" i="18"/>
  <c r="H2340" i="18"/>
  <c r="H2336" i="18"/>
  <c r="H2332" i="18"/>
  <c r="H2328" i="18"/>
  <c r="H2324" i="18"/>
  <c r="H2320" i="18"/>
  <c r="H2316" i="18"/>
  <c r="H2312" i="18"/>
  <c r="H2308" i="18"/>
  <c r="H2304" i="18"/>
  <c r="H2300" i="18"/>
  <c r="H2296" i="18"/>
  <c r="H2292" i="18"/>
  <c r="H2288" i="18"/>
  <c r="H2284" i="18"/>
  <c r="H2280" i="18"/>
  <c r="H2276" i="18"/>
  <c r="H2272" i="18"/>
  <c r="H2268" i="18"/>
  <c r="H2264" i="18"/>
  <c r="H2260" i="18"/>
  <c r="H2256" i="18"/>
  <c r="H2252" i="18"/>
  <c r="H2248" i="18"/>
  <c r="H2244" i="18"/>
  <c r="H2240" i="18"/>
  <c r="H2236" i="18"/>
  <c r="H2232" i="18"/>
  <c r="H2228" i="18"/>
  <c r="H2224" i="18"/>
  <c r="H2220" i="18"/>
  <c r="H2216" i="18"/>
  <c r="H2212" i="18"/>
  <c r="H2208" i="18"/>
  <c r="H2204" i="18"/>
  <c r="H2200" i="18"/>
  <c r="H2196" i="18"/>
  <c r="H2192" i="18"/>
  <c r="H2188" i="18"/>
  <c r="H2184" i="18"/>
  <c r="H2180" i="18"/>
  <c r="H2176" i="18"/>
  <c r="H2172" i="18"/>
  <c r="H2168" i="18"/>
  <c r="H2164" i="18"/>
  <c r="H2160" i="18"/>
  <c r="H2156" i="18"/>
  <c r="H2152" i="18"/>
  <c r="H2148" i="18"/>
  <c r="H2144" i="18"/>
  <c r="H2140" i="18"/>
  <c r="H2136" i="18"/>
  <c r="H2132" i="18"/>
  <c r="H2128" i="18"/>
  <c r="H2124" i="18"/>
  <c r="H2120" i="18"/>
  <c r="H2116" i="18"/>
  <c r="H2112" i="18"/>
  <c r="H2108" i="18"/>
  <c r="H2104" i="18"/>
  <c r="H2100" i="18"/>
  <c r="H2096" i="18"/>
  <c r="H2092" i="18"/>
  <c r="H2088" i="18"/>
  <c r="H2084" i="18"/>
  <c r="H2080" i="18"/>
  <c r="H2076" i="18"/>
  <c r="H2072" i="18"/>
  <c r="H2068" i="18"/>
  <c r="H2064" i="18"/>
  <c r="H2060" i="18"/>
  <c r="H2056" i="18"/>
  <c r="H2052" i="18"/>
  <c r="H2048" i="18"/>
  <c r="H2044" i="18"/>
  <c r="H2040" i="18"/>
  <c r="H2036" i="18"/>
  <c r="H2032" i="18"/>
  <c r="H2028" i="18"/>
  <c r="H2024" i="18"/>
  <c r="H2020" i="18"/>
  <c r="H2016" i="18"/>
  <c r="H2012" i="18"/>
  <c r="H2008" i="18"/>
  <c r="H2004" i="18"/>
  <c r="H2000" i="18"/>
  <c r="H1996" i="18"/>
  <c r="H1992" i="18"/>
  <c r="H1988" i="18"/>
  <c r="H1984" i="18"/>
  <c r="H1980" i="18"/>
  <c r="H1976" i="18"/>
  <c r="H1972" i="18"/>
  <c r="H1968" i="18"/>
  <c r="H1964" i="18"/>
  <c r="H1956" i="18"/>
  <c r="H1948" i="18"/>
  <c r="H1940" i="18"/>
  <c r="H1932" i="18"/>
  <c r="H1924" i="18"/>
  <c r="H1916" i="18"/>
  <c r="H1908" i="18"/>
  <c r="H1900" i="18"/>
  <c r="H1892" i="18"/>
  <c r="H1884" i="18"/>
  <c r="H1876" i="18"/>
  <c r="H1868" i="18"/>
  <c r="H1860" i="18"/>
  <c r="H1852" i="18"/>
  <c r="H1844" i="18"/>
  <c r="H1836" i="18"/>
  <c r="H1828" i="18"/>
  <c r="H1820" i="18"/>
  <c r="H1812" i="18"/>
  <c r="H1804" i="18"/>
  <c r="H1796" i="18"/>
  <c r="H1788" i="18"/>
  <c r="H1780" i="18"/>
  <c r="H1772" i="18"/>
  <c r="H1764" i="18"/>
  <c r="H1756" i="18"/>
  <c r="H1748" i="18"/>
  <c r="H1740" i="18"/>
  <c r="H1732" i="18"/>
  <c r="H1724" i="18"/>
  <c r="H1716" i="18"/>
  <c r="H1708" i="18"/>
  <c r="H1700" i="18"/>
  <c r="H1692" i="18"/>
  <c r="H1684" i="18"/>
  <c r="H1676" i="18"/>
  <c r="H1668" i="18"/>
  <c r="H1660" i="18"/>
  <c r="H1652" i="18"/>
  <c r="H1644" i="18"/>
  <c r="H1636" i="18"/>
  <c r="H1628" i="18"/>
  <c r="H1620" i="18"/>
  <c r="H1612" i="18"/>
  <c r="H1604" i="18"/>
  <c r="H1596" i="18"/>
  <c r="H1588" i="18"/>
  <c r="H1580" i="18"/>
  <c r="H1572" i="18"/>
  <c r="H1564" i="18"/>
  <c r="H1556" i="18"/>
  <c r="H1548" i="18"/>
  <c r="H1540" i="18"/>
  <c r="H1532" i="18"/>
  <c r="H1524" i="18"/>
  <c r="H1516" i="18"/>
  <c r="H1508" i="18"/>
  <c r="H1500" i="18"/>
  <c r="H1492" i="18"/>
  <c r="H1484" i="18"/>
  <c r="H1476" i="18"/>
  <c r="H1468" i="18"/>
  <c r="H1460" i="18"/>
  <c r="H1452" i="18"/>
  <c r="H1444" i="18"/>
  <c r="H1436" i="18"/>
  <c r="H1428" i="18"/>
  <c r="H1420" i="18"/>
  <c r="H1412" i="18"/>
  <c r="H1404" i="18"/>
  <c r="H1396" i="18"/>
  <c r="H1388" i="18"/>
  <c r="H1380" i="18"/>
  <c r="H1372" i="18"/>
  <c r="H1364" i="18"/>
  <c r="H1356" i="18"/>
  <c r="H1348" i="18"/>
  <c r="H1340" i="18"/>
  <c r="H1332" i="18"/>
  <c r="H1324" i="18"/>
  <c r="H1316" i="18"/>
  <c r="H1308" i="18"/>
  <c r="H1300" i="18"/>
  <c r="H1292" i="18"/>
  <c r="H1284" i="18"/>
  <c r="H1276" i="18"/>
  <c r="H1268" i="18"/>
  <c r="H1260" i="18"/>
  <c r="H1252" i="18"/>
  <c r="H1244" i="18"/>
  <c r="H1236" i="18"/>
  <c r="H1228" i="18"/>
  <c r="H1220" i="18"/>
  <c r="H1212" i="18"/>
  <c r="H1204" i="18"/>
  <c r="H1196" i="18"/>
  <c r="H1188" i="18"/>
  <c r="H1180" i="18"/>
  <c r="H1172" i="18"/>
  <c r="H1164" i="18"/>
  <c r="H1156" i="18"/>
  <c r="H1148" i="18"/>
  <c r="H1140" i="18"/>
  <c r="H1132" i="18"/>
  <c r="H1124" i="18"/>
  <c r="H1116" i="18"/>
  <c r="H1108" i="18"/>
  <c r="H1100" i="18"/>
  <c r="H1092" i="18"/>
  <c r="H1084" i="18"/>
  <c r="H1076" i="18"/>
  <c r="H1068" i="18"/>
  <c r="H1060" i="18"/>
  <c r="H1052" i="18"/>
  <c r="H1044" i="18"/>
  <c r="H1036" i="18"/>
  <c r="H1028" i="18"/>
  <c r="H1020" i="18"/>
  <c r="H1012" i="18"/>
  <c r="H1004" i="18"/>
  <c r="H996" i="18"/>
  <c r="H988" i="18"/>
  <c r="H980" i="18"/>
  <c r="H972" i="18"/>
  <c r="H964" i="18"/>
  <c r="H956" i="18"/>
  <c r="H948" i="18"/>
  <c r="H939" i="18"/>
  <c r="H923" i="18"/>
  <c r="H907" i="18"/>
  <c r="H891" i="18"/>
  <c r="H875" i="18"/>
  <c r="H859" i="18"/>
  <c r="H843" i="18"/>
  <c r="H827" i="18"/>
  <c r="H811" i="18"/>
  <c r="H795" i="18"/>
  <c r="H779" i="18"/>
  <c r="H763" i="18"/>
  <c r="H747" i="18"/>
  <c r="H731" i="18"/>
  <c r="H715" i="18"/>
  <c r="H699" i="18"/>
  <c r="H683" i="18"/>
  <c r="H667" i="18"/>
  <c r="H651" i="18"/>
  <c r="H635" i="18"/>
  <c r="H619" i="18"/>
  <c r="H603" i="18"/>
  <c r="H587" i="18"/>
  <c r="H571" i="18"/>
  <c r="H555" i="18"/>
  <c r="H539" i="18"/>
  <c r="H523" i="18"/>
  <c r="H507" i="18"/>
  <c r="H491" i="18"/>
  <c r="H475" i="18"/>
  <c r="H459" i="18"/>
  <c r="H443" i="18"/>
  <c r="H425" i="18"/>
  <c r="H393" i="18"/>
  <c r="H361" i="18"/>
  <c r="H329" i="18"/>
  <c r="H297" i="18"/>
  <c r="H265" i="18"/>
  <c r="H233" i="18"/>
  <c r="H201" i="18"/>
  <c r="H164" i="18"/>
  <c r="H100" i="18"/>
  <c r="H36" i="18"/>
  <c r="M14" i="18"/>
  <c r="N14" i="18" s="1"/>
  <c r="M13" i="18"/>
  <c r="N13" i="18" s="1"/>
  <c r="M15" i="18"/>
  <c r="N15" i="18" s="1"/>
  <c r="B5" i="7"/>
  <c r="F11" i="1"/>
  <c r="F12" i="1"/>
  <c r="F13" i="1"/>
  <c r="F14" i="1"/>
  <c r="E10" i="1"/>
  <c r="D11" i="1"/>
  <c r="D12" i="1"/>
  <c r="D13" i="1"/>
  <c r="D14" i="1"/>
  <c r="D10" i="1"/>
  <c r="P27" i="19"/>
  <c r="Q27" i="19"/>
  <c r="O27" i="19"/>
  <c r="P25" i="19"/>
  <c r="Q25" i="19"/>
  <c r="O25" i="19"/>
  <c r="Q10" i="19"/>
  <c r="Q11" i="19"/>
  <c r="Q12" i="19"/>
  <c r="Q13" i="19"/>
  <c r="Q9" i="19"/>
  <c r="P10" i="19"/>
  <c r="P12" i="19"/>
  <c r="O10" i="19"/>
  <c r="O12" i="19"/>
  <c r="M10" i="19"/>
  <c r="M11" i="19"/>
  <c r="M12" i="19"/>
  <c r="M13" i="19"/>
  <c r="L10" i="19"/>
  <c r="L11" i="19"/>
  <c r="P11" i="19" s="1"/>
  <c r="L12" i="19"/>
  <c r="L13" i="19"/>
  <c r="P13" i="19" s="1"/>
  <c r="K10" i="19"/>
  <c r="K11" i="19"/>
  <c r="O11" i="19" s="1"/>
  <c r="K12" i="19"/>
  <c r="K13" i="19"/>
  <c r="O13" i="19" s="1"/>
  <c r="D83" i="25" l="1"/>
  <c r="D96" i="25"/>
  <c r="D97" i="25" s="1"/>
  <c r="F83" i="25"/>
  <c r="F96" i="25"/>
  <c r="F97" i="25" s="1"/>
  <c r="E99" i="21"/>
  <c r="E101" i="21" s="1"/>
  <c r="E108" i="21" s="1"/>
  <c r="I99" i="21"/>
  <c r="I101" i="21" s="1"/>
  <c r="I108" i="21" s="1"/>
  <c r="C99" i="21"/>
  <c r="C101" i="21" s="1"/>
  <c r="C108" i="21" s="1"/>
  <c r="G99" i="21"/>
  <c r="G101" i="21" s="1"/>
  <c r="G108" i="21" s="1"/>
  <c r="L26" i="18"/>
  <c r="M26" i="18" s="1"/>
  <c r="N26" i="18" s="1"/>
  <c r="L27" i="18"/>
  <c r="M27" i="18" s="1"/>
  <c r="N27" i="18" s="1"/>
  <c r="L25" i="18"/>
  <c r="M25" i="18" s="1"/>
  <c r="N25" i="18" s="1"/>
  <c r="N18" i="18"/>
  <c r="N21" i="18"/>
  <c r="N20" i="18"/>
  <c r="N19" i="18"/>
  <c r="F9" i="19"/>
  <c r="H9" i="19" s="1"/>
  <c r="M4" i="20"/>
  <c r="M5" i="20"/>
  <c r="M6" i="20"/>
  <c r="M7" i="20"/>
  <c r="M8" i="20"/>
  <c r="L4" i="20"/>
  <c r="L5" i="20"/>
  <c r="L6" i="20"/>
  <c r="L7" i="20"/>
  <c r="L8" i="20"/>
  <c r="L9" i="19"/>
  <c r="P9" i="19" s="1"/>
  <c r="I4" i="20"/>
  <c r="I5" i="20"/>
  <c r="I6" i="20"/>
  <c r="I7" i="20"/>
  <c r="I8" i="20"/>
  <c r="H4" i="20"/>
  <c r="H5" i="20"/>
  <c r="H6" i="20"/>
  <c r="H7" i="20"/>
  <c r="H8" i="20"/>
  <c r="I3" i="20"/>
  <c r="E4" i="20"/>
  <c r="E5" i="20"/>
  <c r="E6" i="20"/>
  <c r="E7" i="20"/>
  <c r="E8" i="20"/>
  <c r="F101" i="25" l="1"/>
  <c r="F102" i="25" s="1"/>
  <c r="D101" i="25"/>
  <c r="D102" i="25" s="1"/>
  <c r="F13" i="19"/>
  <c r="H13" i="19" s="1"/>
  <c r="F11" i="19"/>
  <c r="H11" i="19" s="1"/>
  <c r="F10" i="19" l="1"/>
  <c r="F12" i="19"/>
  <c r="H12" i="19" s="1"/>
  <c r="H10" i="19" l="1"/>
  <c r="Q19" i="19"/>
  <c r="Q18" i="19"/>
  <c r="Q15" i="19"/>
  <c r="Q20" i="19"/>
  <c r="Q17" i="19"/>
  <c r="Q16" i="19"/>
  <c r="Q26" i="19" l="1"/>
  <c r="Q24" i="19" s="1"/>
  <c r="O19" i="19"/>
  <c r="P18" i="19"/>
  <c r="P24" i="19" s="1"/>
  <c r="O20" i="19"/>
  <c r="O18" i="19"/>
  <c r="O24" i="19" s="1"/>
  <c r="Q29" i="19" l="1"/>
  <c r="P17" i="19"/>
  <c r="P26" i="19" s="1"/>
  <c r="P29" i="19" s="1"/>
  <c r="P15" i="19"/>
  <c r="P16" i="19"/>
  <c r="P19" i="19"/>
  <c r="P20" i="19"/>
  <c r="O17" i="19"/>
  <c r="O26" i="19" s="1"/>
  <c r="O29" i="19" s="1"/>
  <c r="O16" i="19"/>
  <c r="O15" i="19"/>
  <c r="G11" i="9"/>
  <c r="G9" i="9"/>
  <c r="J34" i="11"/>
  <c r="D35" i="5"/>
  <c r="D32" i="5"/>
  <c r="G9" i="5"/>
  <c r="H9" i="5" s="1"/>
  <c r="G5" i="5"/>
  <c r="H5" i="5"/>
  <c r="I5" i="5"/>
  <c r="J5" i="5"/>
  <c r="F5" i="5"/>
  <c r="H34" i="11"/>
  <c r="E2" i="5"/>
  <c r="C15" i="10"/>
  <c r="C36" i="13"/>
  <c r="D36" i="13"/>
  <c r="E36" i="13"/>
  <c r="F36" i="13"/>
  <c r="G36" i="13"/>
  <c r="H36" i="13"/>
  <c r="I36" i="13"/>
  <c r="J36" i="13"/>
  <c r="K36" i="13"/>
  <c r="L36" i="13"/>
  <c r="M36" i="13"/>
  <c r="N36" i="13"/>
  <c r="C37" i="13"/>
  <c r="D37" i="13"/>
  <c r="E37" i="13"/>
  <c r="F37" i="13"/>
  <c r="G37" i="13"/>
  <c r="H37" i="13"/>
  <c r="I37" i="13"/>
  <c r="J37" i="13"/>
  <c r="K37" i="13"/>
  <c r="L37" i="13"/>
  <c r="M37" i="13"/>
  <c r="N37" i="13"/>
  <c r="C38" i="13"/>
  <c r="D38" i="13"/>
  <c r="E38" i="13"/>
  <c r="F38" i="13"/>
  <c r="G38" i="13"/>
  <c r="H38" i="13"/>
  <c r="I38" i="13"/>
  <c r="J38" i="13"/>
  <c r="K38" i="13"/>
  <c r="L38" i="13"/>
  <c r="M38" i="13"/>
  <c r="N38" i="13"/>
  <c r="C39" i="13"/>
  <c r="D39" i="13"/>
  <c r="E39" i="13"/>
  <c r="F39" i="13"/>
  <c r="G39" i="13"/>
  <c r="H39" i="13"/>
  <c r="I39" i="13"/>
  <c r="J39" i="13"/>
  <c r="K39" i="13"/>
  <c r="L39" i="13"/>
  <c r="M39" i="13"/>
  <c r="N39" i="13"/>
  <c r="D35" i="13"/>
  <c r="E35" i="13"/>
  <c r="F35" i="13"/>
  <c r="G35" i="13"/>
  <c r="H35" i="13"/>
  <c r="I35" i="13"/>
  <c r="J35" i="13"/>
  <c r="K35" i="13"/>
  <c r="L35" i="13"/>
  <c r="M35" i="13"/>
  <c r="N35" i="13"/>
  <c r="C35" i="13"/>
  <c r="D31" i="13"/>
  <c r="E31" i="13"/>
  <c r="F31" i="13"/>
  <c r="G31" i="13"/>
  <c r="H31" i="13"/>
  <c r="I31" i="13"/>
  <c r="J31" i="13"/>
  <c r="K31" i="13"/>
  <c r="L31" i="13"/>
  <c r="M31" i="13"/>
  <c r="N31" i="13"/>
  <c r="D32" i="13"/>
  <c r="E32" i="13"/>
  <c r="F32" i="13"/>
  <c r="G32" i="13"/>
  <c r="H32" i="13"/>
  <c r="I32" i="13"/>
  <c r="J32" i="13"/>
  <c r="K32" i="13"/>
  <c r="L32" i="13"/>
  <c r="M32" i="13"/>
  <c r="N32" i="13"/>
  <c r="C32" i="13"/>
  <c r="C31" i="13"/>
  <c r="D28" i="13"/>
  <c r="E28" i="13"/>
  <c r="F28" i="13"/>
  <c r="G28" i="13"/>
  <c r="H28" i="13"/>
  <c r="I28" i="13"/>
  <c r="J28" i="13"/>
  <c r="K28" i="13"/>
  <c r="L28" i="13"/>
  <c r="M28" i="13"/>
  <c r="N28" i="13"/>
  <c r="C28" i="13"/>
  <c r="C20" i="13"/>
  <c r="D20" i="13"/>
  <c r="E20" i="13"/>
  <c r="F20" i="13"/>
  <c r="G20" i="13"/>
  <c r="H20" i="13"/>
  <c r="I20" i="13"/>
  <c r="J20" i="13"/>
  <c r="K20" i="13"/>
  <c r="L20" i="13"/>
  <c r="M20" i="13"/>
  <c r="N20" i="13"/>
  <c r="C21" i="13"/>
  <c r="D21" i="13"/>
  <c r="E21" i="13"/>
  <c r="F21" i="13"/>
  <c r="G21" i="13"/>
  <c r="H21" i="13"/>
  <c r="I21" i="13"/>
  <c r="J21" i="13"/>
  <c r="K21" i="13"/>
  <c r="L21" i="13"/>
  <c r="M21" i="13"/>
  <c r="N21" i="13"/>
  <c r="C22" i="13"/>
  <c r="D22" i="13"/>
  <c r="E22" i="13"/>
  <c r="F22" i="13"/>
  <c r="G22" i="13"/>
  <c r="H22" i="13"/>
  <c r="I22" i="13"/>
  <c r="J22" i="13"/>
  <c r="K22" i="13"/>
  <c r="L22" i="13"/>
  <c r="M22" i="13"/>
  <c r="N22" i="13"/>
  <c r="C23" i="13"/>
  <c r="D23" i="13"/>
  <c r="E23" i="13"/>
  <c r="F23" i="13"/>
  <c r="G23" i="13"/>
  <c r="H23" i="13"/>
  <c r="I23" i="13"/>
  <c r="J23" i="13"/>
  <c r="K23" i="13"/>
  <c r="L23" i="13"/>
  <c r="M23" i="13"/>
  <c r="N23" i="13"/>
  <c r="C24" i="13"/>
  <c r="D24" i="13"/>
  <c r="E24" i="13"/>
  <c r="F24" i="13"/>
  <c r="G24" i="13"/>
  <c r="H24" i="13"/>
  <c r="I24" i="13"/>
  <c r="J24" i="13"/>
  <c r="K24" i="13"/>
  <c r="L24" i="13"/>
  <c r="M24" i="13"/>
  <c r="N24" i="13"/>
  <c r="C25" i="13"/>
  <c r="D25" i="13"/>
  <c r="E25" i="13"/>
  <c r="F25" i="13"/>
  <c r="G25" i="13"/>
  <c r="H25" i="13"/>
  <c r="I25" i="13"/>
  <c r="J25" i="13"/>
  <c r="K25" i="13"/>
  <c r="L25" i="13"/>
  <c r="M25" i="13"/>
  <c r="N25" i="13"/>
  <c r="C26" i="13"/>
  <c r="D26" i="13"/>
  <c r="E26" i="13"/>
  <c r="F26" i="13"/>
  <c r="G26" i="13"/>
  <c r="H26" i="13"/>
  <c r="I26" i="13"/>
  <c r="J26" i="13"/>
  <c r="K26" i="13"/>
  <c r="L26" i="13"/>
  <c r="M26" i="13"/>
  <c r="N26" i="13"/>
  <c r="D19" i="13"/>
  <c r="D27" i="13" s="1"/>
  <c r="E19" i="13"/>
  <c r="E27" i="13" s="1"/>
  <c r="F19" i="13"/>
  <c r="F27" i="13" s="1"/>
  <c r="G19" i="13"/>
  <c r="G27" i="13" s="1"/>
  <c r="H19" i="13"/>
  <c r="H27" i="13" s="1"/>
  <c r="I19" i="13"/>
  <c r="I27" i="13" s="1"/>
  <c r="J19" i="13"/>
  <c r="J27" i="13" s="1"/>
  <c r="K19" i="13"/>
  <c r="K27" i="13" s="1"/>
  <c r="L19" i="13"/>
  <c r="L27" i="13" s="1"/>
  <c r="M19" i="13"/>
  <c r="M27" i="13" s="1"/>
  <c r="N19" i="13"/>
  <c r="N27" i="13" s="1"/>
  <c r="C19" i="13"/>
  <c r="C27" i="13" s="1"/>
  <c r="I9" i="5" l="1"/>
  <c r="J9" i="5" s="1"/>
  <c r="F4" i="5"/>
  <c r="G4" i="5" s="1"/>
  <c r="H4" i="5" s="1"/>
  <c r="I4" i="5" s="1"/>
  <c r="J4" i="5" s="1"/>
  <c r="E6" i="5"/>
  <c r="F6" i="5" s="1"/>
  <c r="G6" i="5" s="1"/>
  <c r="H6" i="5" s="1"/>
  <c r="I6" i="5" s="1"/>
  <c r="J6" i="5" s="1"/>
  <c r="C13" i="13"/>
  <c r="D13" i="13"/>
  <c r="E13" i="13"/>
  <c r="F13" i="13"/>
  <c r="G13" i="13"/>
  <c r="H13" i="13"/>
  <c r="I13" i="13"/>
  <c r="J13" i="13"/>
  <c r="E12" i="14" s="1"/>
  <c r="K13" i="13"/>
  <c r="L13" i="13"/>
  <c r="G12" i="14" s="1"/>
  <c r="M13" i="13"/>
  <c r="N13" i="13"/>
  <c r="I12" i="14" s="1"/>
  <c r="C14" i="13"/>
  <c r="D14" i="13"/>
  <c r="E14" i="13"/>
  <c r="F14" i="13"/>
  <c r="G14" i="13"/>
  <c r="H14" i="13"/>
  <c r="I14" i="13"/>
  <c r="J14" i="13"/>
  <c r="E13" i="14" s="1"/>
  <c r="K14" i="13"/>
  <c r="L14" i="13"/>
  <c r="G13" i="14" s="1"/>
  <c r="M14" i="13"/>
  <c r="N14" i="13"/>
  <c r="I13" i="14" s="1"/>
  <c r="C15" i="13"/>
  <c r="D15" i="13"/>
  <c r="E15" i="13"/>
  <c r="F15" i="13"/>
  <c r="G15" i="13"/>
  <c r="H15" i="13"/>
  <c r="I15" i="13"/>
  <c r="J15" i="13"/>
  <c r="K15" i="13"/>
  <c r="L15" i="13"/>
  <c r="M15" i="13"/>
  <c r="N15" i="13"/>
  <c r="D12" i="13"/>
  <c r="E12" i="13"/>
  <c r="F12" i="13"/>
  <c r="G12" i="13"/>
  <c r="H12" i="13"/>
  <c r="I12" i="13"/>
  <c r="J12" i="13"/>
  <c r="K12" i="13"/>
  <c r="L12" i="13"/>
  <c r="M12" i="13"/>
  <c r="N12" i="13"/>
  <c r="C12" i="13"/>
  <c r="C8" i="13"/>
  <c r="D8" i="13"/>
  <c r="E8" i="13"/>
  <c r="F8" i="13"/>
  <c r="G8" i="13"/>
  <c r="H8" i="13"/>
  <c r="I8" i="13"/>
  <c r="J8" i="13"/>
  <c r="K8" i="13"/>
  <c r="L8" i="13"/>
  <c r="M8" i="13"/>
  <c r="N8" i="13"/>
  <c r="C9" i="13"/>
  <c r="D9" i="13"/>
  <c r="E9" i="13"/>
  <c r="F9" i="13"/>
  <c r="G9" i="13"/>
  <c r="H9" i="13"/>
  <c r="I9" i="13"/>
  <c r="J9" i="13"/>
  <c r="K9" i="13"/>
  <c r="L9" i="13"/>
  <c r="M9" i="13"/>
  <c r="N9" i="13"/>
  <c r="C10" i="13"/>
  <c r="D10" i="13"/>
  <c r="E10" i="13"/>
  <c r="F10" i="13"/>
  <c r="G10" i="13"/>
  <c r="H10" i="13"/>
  <c r="I10" i="13"/>
  <c r="J10" i="13"/>
  <c r="K10" i="13"/>
  <c r="L10" i="13"/>
  <c r="M10" i="13"/>
  <c r="N10" i="13"/>
  <c r="D7" i="13"/>
  <c r="E7" i="13"/>
  <c r="F7" i="13"/>
  <c r="G7" i="13"/>
  <c r="H7" i="13"/>
  <c r="I7" i="13"/>
  <c r="J7" i="13"/>
  <c r="K7" i="13"/>
  <c r="L7" i="13"/>
  <c r="M7" i="13"/>
  <c r="N7" i="13"/>
  <c r="C7" i="13"/>
  <c r="D5" i="13"/>
  <c r="E5" i="13"/>
  <c r="F5" i="13"/>
  <c r="G5" i="13"/>
  <c r="H5" i="13"/>
  <c r="I5" i="13"/>
  <c r="J5" i="13"/>
  <c r="K5" i="13"/>
  <c r="L5" i="13"/>
  <c r="M5" i="13"/>
  <c r="N5" i="13"/>
  <c r="C5" i="13"/>
  <c r="N4" i="13"/>
  <c r="D4" i="13"/>
  <c r="D16" i="13" s="1"/>
  <c r="E4" i="13"/>
  <c r="F4" i="13"/>
  <c r="F16" i="13" s="1"/>
  <c r="G4" i="13"/>
  <c r="H4" i="13"/>
  <c r="H16" i="13" s="1"/>
  <c r="I4" i="13"/>
  <c r="J4" i="13"/>
  <c r="J16" i="13" s="1"/>
  <c r="K4" i="13"/>
  <c r="L4" i="13"/>
  <c r="L16" i="13" s="1"/>
  <c r="M4" i="13"/>
  <c r="C4" i="13"/>
  <c r="C16" i="13" s="1"/>
  <c r="D2" i="13"/>
  <c r="E2" i="13"/>
  <c r="F2" i="13"/>
  <c r="G2" i="13"/>
  <c r="H2" i="13"/>
  <c r="I2" i="13"/>
  <c r="J2" i="13"/>
  <c r="K2" i="13"/>
  <c r="F2" i="14" s="1"/>
  <c r="L2" i="13"/>
  <c r="M2" i="13"/>
  <c r="H2" i="14" s="1"/>
  <c r="N2" i="13"/>
  <c r="C2" i="13"/>
  <c r="I55" i="14"/>
  <c r="H55" i="14"/>
  <c r="G55" i="14"/>
  <c r="F55" i="14"/>
  <c r="E55" i="14"/>
  <c r="I41" i="14"/>
  <c r="H41" i="14"/>
  <c r="G41" i="14"/>
  <c r="F41" i="14"/>
  <c r="E41" i="14"/>
  <c r="I39" i="14"/>
  <c r="H39" i="14"/>
  <c r="G39" i="14"/>
  <c r="F39" i="14"/>
  <c r="E39" i="14"/>
  <c r="I2" i="14"/>
  <c r="F2" i="5" s="1"/>
  <c r="G2" i="5" s="1"/>
  <c r="H2" i="5" s="1"/>
  <c r="I2" i="5" s="1"/>
  <c r="J2" i="5" s="1"/>
  <c r="G2" i="14"/>
  <c r="E2" i="14"/>
  <c r="I30" i="14"/>
  <c r="H30" i="14"/>
  <c r="G30" i="14"/>
  <c r="F30" i="14"/>
  <c r="E30" i="14"/>
  <c r="I27" i="14"/>
  <c r="H27" i="14"/>
  <c r="G27" i="14"/>
  <c r="F27" i="14"/>
  <c r="E27" i="14"/>
  <c r="I26" i="14"/>
  <c r="H26" i="14"/>
  <c r="G26" i="14"/>
  <c r="F26" i="14"/>
  <c r="E26" i="14"/>
  <c r="I25" i="14"/>
  <c r="H25" i="14"/>
  <c r="G25" i="14"/>
  <c r="F25" i="14"/>
  <c r="E25" i="14"/>
  <c r="I24" i="14"/>
  <c r="H24" i="14"/>
  <c r="G24" i="14"/>
  <c r="F24" i="14"/>
  <c r="E24" i="14"/>
  <c r="I23" i="14"/>
  <c r="H23" i="14"/>
  <c r="G23" i="14"/>
  <c r="F23" i="14"/>
  <c r="E23" i="14"/>
  <c r="I22" i="14"/>
  <c r="H22" i="14"/>
  <c r="G22" i="14"/>
  <c r="F22" i="14"/>
  <c r="E22" i="14"/>
  <c r="I21" i="14"/>
  <c r="H21" i="14"/>
  <c r="G21" i="14"/>
  <c r="F21" i="14"/>
  <c r="E21" i="14"/>
  <c r="I20" i="14"/>
  <c r="H20" i="14"/>
  <c r="G20" i="14"/>
  <c r="F20" i="14"/>
  <c r="E20" i="14"/>
  <c r="B21" i="14"/>
  <c r="B22" i="14"/>
  <c r="B23" i="14"/>
  <c r="B24" i="14"/>
  <c r="B25" i="14"/>
  <c r="B26" i="14"/>
  <c r="B27" i="14"/>
  <c r="B20" i="14"/>
  <c r="I14" i="14"/>
  <c r="H14" i="14"/>
  <c r="G14" i="14"/>
  <c r="F14" i="14"/>
  <c r="E14" i="14"/>
  <c r="H13" i="14"/>
  <c r="F13" i="14"/>
  <c r="H12" i="14"/>
  <c r="F12" i="14"/>
  <c r="B14" i="14"/>
  <c r="B13" i="14"/>
  <c r="B12" i="14"/>
  <c r="I8" i="14"/>
  <c r="H8" i="14"/>
  <c r="G8" i="14"/>
  <c r="F8" i="14"/>
  <c r="E8" i="14"/>
  <c r="I7" i="14"/>
  <c r="H7" i="14"/>
  <c r="G7" i="14"/>
  <c r="F7" i="14"/>
  <c r="E7" i="14"/>
  <c r="I6" i="14"/>
  <c r="H6" i="14"/>
  <c r="G6" i="14"/>
  <c r="F6" i="14"/>
  <c r="E6" i="14"/>
  <c r="I5" i="14"/>
  <c r="H5" i="14"/>
  <c r="G5" i="14"/>
  <c r="F5" i="14"/>
  <c r="E5" i="14"/>
  <c r="B8" i="14"/>
  <c r="B7" i="14"/>
  <c r="B6" i="14"/>
  <c r="B5" i="14"/>
  <c r="N29" i="13"/>
  <c r="N40" i="13" s="1"/>
  <c r="M29" i="13"/>
  <c r="M40" i="13" s="1"/>
  <c r="L29" i="13"/>
  <c r="L40" i="13" s="1"/>
  <c r="K29" i="13"/>
  <c r="K40" i="13" s="1"/>
  <c r="J29" i="13"/>
  <c r="J40" i="13" s="1"/>
  <c r="I29" i="13"/>
  <c r="I40" i="13" s="1"/>
  <c r="H29" i="13"/>
  <c r="H40" i="13" s="1"/>
  <c r="G29" i="13"/>
  <c r="G40" i="13" s="1"/>
  <c r="F29" i="13"/>
  <c r="F40" i="13" s="1"/>
  <c r="E29" i="13"/>
  <c r="E40" i="13" s="1"/>
  <c r="D29" i="13"/>
  <c r="D40" i="13" s="1"/>
  <c r="C29" i="13"/>
  <c r="C40" i="13" s="1"/>
  <c r="K73" i="11"/>
  <c r="J73" i="11"/>
  <c r="I73" i="11"/>
  <c r="H73" i="11"/>
  <c r="K51" i="11"/>
  <c r="J51" i="11"/>
  <c r="I51" i="11"/>
  <c r="H51" i="11"/>
  <c r="G51" i="11"/>
  <c r="F51" i="11"/>
  <c r="E51" i="11"/>
  <c r="D51" i="11"/>
  <c r="C51" i="11"/>
  <c r="B51" i="11"/>
  <c r="K34" i="11"/>
  <c r="I34" i="11"/>
  <c r="G34" i="11"/>
  <c r="F34" i="11"/>
  <c r="E34" i="11"/>
  <c r="D34" i="11"/>
  <c r="C34" i="11"/>
  <c r="B34" i="11"/>
  <c r="B15" i="11" s="1"/>
  <c r="K32" i="11"/>
  <c r="J32" i="11"/>
  <c r="I32" i="11"/>
  <c r="H32" i="11"/>
  <c r="G32" i="11"/>
  <c r="F32" i="11"/>
  <c r="E32" i="11"/>
  <c r="D32" i="11"/>
  <c r="C32" i="11"/>
  <c r="B32" i="11"/>
  <c r="K15" i="11"/>
  <c r="B6" i="11"/>
  <c r="E1" i="11"/>
  <c r="L74" i="10"/>
  <c r="K74" i="10"/>
  <c r="J74" i="10"/>
  <c r="I74" i="10"/>
  <c r="H74" i="10"/>
  <c r="G74" i="10"/>
  <c r="F74" i="10"/>
  <c r="E74" i="10"/>
  <c r="D74" i="10"/>
  <c r="C74" i="10"/>
  <c r="L72" i="10"/>
  <c r="K72" i="10"/>
  <c r="J72" i="10"/>
  <c r="I72" i="10"/>
  <c r="H72" i="10"/>
  <c r="G72" i="10"/>
  <c r="F72" i="10"/>
  <c r="E72" i="10"/>
  <c r="D72" i="10"/>
  <c r="C72" i="10"/>
  <c r="L70" i="10"/>
  <c r="L76" i="10" s="1"/>
  <c r="K70" i="10"/>
  <c r="K76" i="10" s="1"/>
  <c r="J70" i="10"/>
  <c r="J76" i="10" s="1"/>
  <c r="I70" i="10"/>
  <c r="I76" i="10" s="1"/>
  <c r="H70" i="10"/>
  <c r="H76" i="10" s="1"/>
  <c r="G70" i="10"/>
  <c r="G76" i="10" s="1"/>
  <c r="F70" i="10"/>
  <c r="F76" i="10" s="1"/>
  <c r="E70" i="10"/>
  <c r="E76" i="10" s="1"/>
  <c r="D70" i="10"/>
  <c r="D76" i="10" s="1"/>
  <c r="C70" i="10"/>
  <c r="C76" i="10" s="1"/>
  <c r="L61" i="10"/>
  <c r="K61" i="10"/>
  <c r="J61" i="10"/>
  <c r="I61" i="10"/>
  <c r="H61" i="10"/>
  <c r="G61" i="10"/>
  <c r="F61" i="10"/>
  <c r="E61" i="10"/>
  <c r="D61" i="10"/>
  <c r="C61" i="10"/>
  <c r="L60" i="10"/>
  <c r="K60" i="10"/>
  <c r="J60" i="10"/>
  <c r="I60" i="10"/>
  <c r="H60" i="10"/>
  <c r="G60" i="10"/>
  <c r="F60" i="10"/>
  <c r="E60" i="10"/>
  <c r="D60" i="10"/>
  <c r="C60" i="10"/>
  <c r="L59" i="10"/>
  <c r="L62" i="10" s="1"/>
  <c r="K59" i="10"/>
  <c r="K62" i="10" s="1"/>
  <c r="J59" i="10"/>
  <c r="J62" i="10" s="1"/>
  <c r="I59" i="10"/>
  <c r="I62" i="10" s="1"/>
  <c r="H59" i="10"/>
  <c r="H62" i="10" s="1"/>
  <c r="G59" i="10"/>
  <c r="G62" i="10" s="1"/>
  <c r="F59" i="10"/>
  <c r="F62" i="10" s="1"/>
  <c r="E59" i="10"/>
  <c r="E62" i="10" s="1"/>
  <c r="D59" i="10"/>
  <c r="C59" i="10"/>
  <c r="L56" i="10"/>
  <c r="K56" i="10"/>
  <c r="J56" i="10"/>
  <c r="I56" i="10"/>
  <c r="H56" i="10"/>
  <c r="G56" i="10"/>
  <c r="F56" i="10"/>
  <c r="E56" i="10"/>
  <c r="D56" i="10"/>
  <c r="C56" i="10"/>
  <c r="L55" i="10"/>
  <c r="K55" i="10"/>
  <c r="J55" i="10"/>
  <c r="I55" i="10"/>
  <c r="H55" i="10"/>
  <c r="G55" i="10"/>
  <c r="F55" i="10"/>
  <c r="E55" i="10"/>
  <c r="D55" i="10"/>
  <c r="C55" i="10"/>
  <c r="L54" i="10"/>
  <c r="K54" i="10"/>
  <c r="J54" i="10"/>
  <c r="I54" i="10"/>
  <c r="H54" i="10"/>
  <c r="G54" i="10"/>
  <c r="F54" i="10"/>
  <c r="E54" i="10"/>
  <c r="D54" i="10"/>
  <c r="C54" i="10"/>
  <c r="L53" i="10"/>
  <c r="L57" i="10" s="1"/>
  <c r="K53" i="10"/>
  <c r="K57" i="10" s="1"/>
  <c r="J53" i="10"/>
  <c r="J57" i="10" s="1"/>
  <c r="I53" i="10"/>
  <c r="I57" i="10" s="1"/>
  <c r="H53" i="10"/>
  <c r="H57" i="10" s="1"/>
  <c r="G53" i="10"/>
  <c r="G57" i="10" s="1"/>
  <c r="F53" i="10"/>
  <c r="F57" i="10" s="1"/>
  <c r="E53" i="10"/>
  <c r="E57" i="10" s="1"/>
  <c r="D53" i="10"/>
  <c r="D57" i="10" s="1"/>
  <c r="C53" i="10"/>
  <c r="C57" i="10" s="1"/>
  <c r="L51" i="10"/>
  <c r="K51" i="10"/>
  <c r="J51" i="10"/>
  <c r="I51" i="10"/>
  <c r="H51" i="10"/>
  <c r="G51" i="10"/>
  <c r="F51" i="10"/>
  <c r="E51" i="10"/>
  <c r="D51" i="10"/>
  <c r="C51" i="10"/>
  <c r="L50" i="10"/>
  <c r="K50" i="10"/>
  <c r="J50" i="10"/>
  <c r="I50" i="10"/>
  <c r="H50" i="10"/>
  <c r="G50" i="10"/>
  <c r="F50" i="10"/>
  <c r="E50" i="10"/>
  <c r="D50" i="10"/>
  <c r="C50" i="10"/>
  <c r="L49" i="10"/>
  <c r="K49" i="10"/>
  <c r="J49" i="10"/>
  <c r="I49" i="10"/>
  <c r="H49" i="10"/>
  <c r="G49" i="10"/>
  <c r="F49" i="10"/>
  <c r="E49" i="10"/>
  <c r="D49" i="10"/>
  <c r="C49" i="10"/>
  <c r="L48" i="10"/>
  <c r="K48" i="10"/>
  <c r="J48" i="10"/>
  <c r="I48" i="10"/>
  <c r="H48" i="10"/>
  <c r="G48" i="10"/>
  <c r="F48" i="10"/>
  <c r="E48" i="10"/>
  <c r="D48" i="10"/>
  <c r="C48" i="10"/>
  <c r="L47" i="10"/>
  <c r="K47" i="10"/>
  <c r="J47" i="10"/>
  <c r="I47" i="10"/>
  <c r="H47" i="10"/>
  <c r="G47" i="10"/>
  <c r="F47" i="10"/>
  <c r="E47" i="10"/>
  <c r="D47" i="10"/>
  <c r="C47" i="10"/>
  <c r="L36" i="10"/>
  <c r="M36" i="10" s="1"/>
  <c r="M41" i="10" s="1"/>
  <c r="K36" i="10"/>
  <c r="K41" i="10" s="1"/>
  <c r="J36" i="10"/>
  <c r="J41" i="10" s="1"/>
  <c r="I36" i="10"/>
  <c r="I41" i="10" s="1"/>
  <c r="H36" i="10"/>
  <c r="H41" i="10" s="1"/>
  <c r="G36" i="10"/>
  <c r="G41" i="10" s="1"/>
  <c r="F36" i="10"/>
  <c r="F41" i="10" s="1"/>
  <c r="E36" i="10"/>
  <c r="E41" i="10" s="1"/>
  <c r="D36" i="10"/>
  <c r="D41" i="10" s="1"/>
  <c r="C36" i="10"/>
  <c r="C41" i="10" s="1"/>
  <c r="M30" i="10"/>
  <c r="L30" i="10"/>
  <c r="K30" i="10"/>
  <c r="J30" i="10"/>
  <c r="I30" i="10"/>
  <c r="H30" i="10"/>
  <c r="G30" i="10"/>
  <c r="F30" i="10"/>
  <c r="E30" i="10"/>
  <c r="D30" i="10"/>
  <c r="C30" i="10"/>
  <c r="M24" i="10"/>
  <c r="L24" i="10"/>
  <c r="K24" i="10"/>
  <c r="J24" i="10"/>
  <c r="I24" i="10"/>
  <c r="H24" i="10"/>
  <c r="G24" i="10"/>
  <c r="F24" i="10"/>
  <c r="E24" i="10"/>
  <c r="D24" i="10"/>
  <c r="C24" i="10"/>
  <c r="M21" i="10"/>
  <c r="L21" i="10"/>
  <c r="K21" i="10"/>
  <c r="J21" i="10"/>
  <c r="I21" i="10"/>
  <c r="H21" i="10"/>
  <c r="G21" i="10"/>
  <c r="G22" i="10" s="1"/>
  <c r="F21" i="10"/>
  <c r="E21" i="10"/>
  <c r="D21" i="10"/>
  <c r="C21" i="10"/>
  <c r="L15" i="10"/>
  <c r="K15" i="10"/>
  <c r="K16" i="10" s="1"/>
  <c r="J15" i="10"/>
  <c r="I15" i="10"/>
  <c r="H15" i="10"/>
  <c r="G15" i="10"/>
  <c r="F15" i="10"/>
  <c r="E15" i="10"/>
  <c r="D15" i="10"/>
  <c r="C16" i="10"/>
  <c r="M9" i="10"/>
  <c r="L9" i="10"/>
  <c r="K9" i="10"/>
  <c r="J9" i="10"/>
  <c r="I9" i="10"/>
  <c r="H9" i="10"/>
  <c r="G9" i="10"/>
  <c r="F9" i="10"/>
  <c r="E9" i="10"/>
  <c r="D9" i="10"/>
  <c r="C9" i="10"/>
  <c r="M6" i="10"/>
  <c r="L6" i="10"/>
  <c r="L12" i="10" s="1"/>
  <c r="K6" i="10"/>
  <c r="J6" i="10"/>
  <c r="J12" i="10" s="1"/>
  <c r="J18" i="10" s="1"/>
  <c r="I6" i="10"/>
  <c r="H6" i="10"/>
  <c r="H12" i="10" s="1"/>
  <c r="G6" i="10"/>
  <c r="F6" i="10"/>
  <c r="F10" i="10" s="1"/>
  <c r="E6" i="10"/>
  <c r="D6" i="10"/>
  <c r="D12" i="10" s="1"/>
  <c r="C6" i="10"/>
  <c r="L3" i="10"/>
  <c r="K3" i="10"/>
  <c r="J3" i="10"/>
  <c r="I3" i="10"/>
  <c r="H3" i="10"/>
  <c r="G3" i="10"/>
  <c r="F3" i="10"/>
  <c r="E3" i="10"/>
  <c r="D3" i="10"/>
  <c r="C3" i="10"/>
  <c r="B2" i="10"/>
  <c r="E8" i="5" l="1"/>
  <c r="F8" i="5" s="1"/>
  <c r="D25" i="10"/>
  <c r="F25" i="10"/>
  <c r="H25" i="10"/>
  <c r="J25" i="10"/>
  <c r="L25" i="10"/>
  <c r="H64" i="10"/>
  <c r="H66" i="10" s="1"/>
  <c r="C12" i="10"/>
  <c r="C18" i="10" s="1"/>
  <c r="E12" i="10"/>
  <c r="E18" i="10" s="1"/>
  <c r="G12" i="10"/>
  <c r="I7" i="10"/>
  <c r="K12" i="10"/>
  <c r="K18" i="10" s="1"/>
  <c r="J16" i="10"/>
  <c r="F22" i="10"/>
  <c r="I25" i="10"/>
  <c r="M18" i="10"/>
  <c r="M27" i="10" s="1"/>
  <c r="M33" i="10" s="1"/>
  <c r="M16" i="13"/>
  <c r="K16" i="13"/>
  <c r="I16" i="13"/>
  <c r="G16" i="13"/>
  <c r="E16" i="13"/>
  <c r="N16" i="13"/>
  <c r="M19" i="10"/>
  <c r="K7" i="10"/>
  <c r="C10" i="10"/>
  <c r="G10" i="10"/>
  <c r="I10" i="10"/>
  <c r="K10" i="10"/>
  <c r="E16" i="10"/>
  <c r="G16" i="10"/>
  <c r="I16" i="10"/>
  <c r="C22" i="10"/>
  <c r="E22" i="10"/>
  <c r="I22" i="10"/>
  <c r="K22" i="10"/>
  <c r="M22" i="10"/>
  <c r="D62" i="10"/>
  <c r="D64" i="10" s="1"/>
  <c r="D66" i="10" s="1"/>
  <c r="J7" i="10"/>
  <c r="D7" i="10"/>
  <c r="L7" i="10"/>
  <c r="D10" i="10"/>
  <c r="H10" i="10"/>
  <c r="J10" i="10"/>
  <c r="L10" i="10"/>
  <c r="D16" i="10"/>
  <c r="F16" i="10"/>
  <c r="H16" i="10"/>
  <c r="L16" i="10"/>
  <c r="D22" i="10"/>
  <c r="H22" i="10"/>
  <c r="J22" i="10"/>
  <c r="L22" i="10"/>
  <c r="C25" i="10"/>
  <c r="E25" i="10"/>
  <c r="G25" i="10"/>
  <c r="K25" i="10"/>
  <c r="M25" i="10"/>
  <c r="E64" i="10"/>
  <c r="E66" i="10" s="1"/>
  <c r="I64" i="10"/>
  <c r="I66" i="10" s="1"/>
  <c r="K64" i="10"/>
  <c r="K66" i="10" s="1"/>
  <c r="C62" i="10"/>
  <c r="C64" i="10" s="1"/>
  <c r="C66" i="10" s="1"/>
  <c r="G29" i="14"/>
  <c r="G31" i="14" s="1"/>
  <c r="E29" i="14"/>
  <c r="F29" i="14"/>
  <c r="F31" i="14" s="1"/>
  <c r="H29" i="14"/>
  <c r="H31" i="14" s="1"/>
  <c r="I29" i="14"/>
  <c r="I31" i="14" s="1"/>
  <c r="F9" i="14"/>
  <c r="E9" i="14"/>
  <c r="G9" i="14"/>
  <c r="G15" i="14"/>
  <c r="E15" i="14"/>
  <c r="H9" i="14"/>
  <c r="I9" i="14"/>
  <c r="H15" i="14"/>
  <c r="F15" i="14"/>
  <c r="I15" i="14"/>
  <c r="F64" i="10"/>
  <c r="F66" i="10" s="1"/>
  <c r="D18" i="10"/>
  <c r="D13" i="10"/>
  <c r="L18" i="10"/>
  <c r="L13" i="10"/>
  <c r="C27" i="10"/>
  <c r="C19" i="10"/>
  <c r="G64" i="10"/>
  <c r="G66" i="10" s="1"/>
  <c r="E13" i="10"/>
  <c r="J19" i="10"/>
  <c r="J27" i="10"/>
  <c r="G34" i="14" s="1"/>
  <c r="G44" i="14" s="1"/>
  <c r="G46" i="14" s="1"/>
  <c r="K27" i="10"/>
  <c r="H34" i="14" s="1"/>
  <c r="H44" i="14" s="1"/>
  <c r="H46" i="14" s="1"/>
  <c r="K19" i="10"/>
  <c r="G13" i="10"/>
  <c r="G18" i="10"/>
  <c r="M38" i="10"/>
  <c r="M34" i="10"/>
  <c r="J64" i="10"/>
  <c r="J66" i="10" s="1"/>
  <c r="H13" i="10"/>
  <c r="H18" i="10"/>
  <c r="C31" i="10"/>
  <c r="K31" i="10"/>
  <c r="L64" i="10"/>
  <c r="L66" i="10" s="1"/>
  <c r="E10" i="10"/>
  <c r="L41" i="10"/>
  <c r="I12" i="10"/>
  <c r="M31" i="10"/>
  <c r="E7" i="10"/>
  <c r="M7" i="10"/>
  <c r="F7" i="10"/>
  <c r="M12" i="10"/>
  <c r="M13" i="10" s="1"/>
  <c r="J13" i="10"/>
  <c r="M16" i="10"/>
  <c r="M28" i="10"/>
  <c r="G7" i="10"/>
  <c r="F12" i="10"/>
  <c r="C13" i="10"/>
  <c r="K13" i="10"/>
  <c r="M10" i="10"/>
  <c r="H7" i="10"/>
  <c r="G8" i="5" l="1"/>
  <c r="I17" i="14"/>
  <c r="F17" i="14"/>
  <c r="E17" i="14"/>
  <c r="E33" i="14" s="1"/>
  <c r="H17" i="14"/>
  <c r="G17" i="14"/>
  <c r="F18" i="10"/>
  <c r="F13" i="10"/>
  <c r="I18" i="10"/>
  <c r="I13" i="10"/>
  <c r="H19" i="10"/>
  <c r="H27" i="10"/>
  <c r="E34" i="14" s="1"/>
  <c r="E44" i="14" s="1"/>
  <c r="E46" i="14" s="1"/>
  <c r="G19" i="10"/>
  <c r="G27" i="10"/>
  <c r="J33" i="10"/>
  <c r="J28" i="10"/>
  <c r="C28" i="10"/>
  <c r="C33" i="10"/>
  <c r="E27" i="10"/>
  <c r="E19" i="10"/>
  <c r="L19" i="10"/>
  <c r="L27" i="10"/>
  <c r="I34" i="14" s="1"/>
  <c r="I44" i="14" s="1"/>
  <c r="I46" i="14" s="1"/>
  <c r="J31" i="10"/>
  <c r="K33" i="10"/>
  <c r="K28" i="10"/>
  <c r="M42" i="10"/>
  <c r="M44" i="10" s="1"/>
  <c r="D27" i="10"/>
  <c r="D19" i="10"/>
  <c r="H8" i="5" l="1"/>
  <c r="E36" i="14"/>
  <c r="G42" i="14"/>
  <c r="G48" i="14" s="1"/>
  <c r="G50" i="14" s="1"/>
  <c r="G57" i="14" s="1"/>
  <c r="G60" i="14" s="1"/>
  <c r="G33" i="14"/>
  <c r="G36" i="14" s="1"/>
  <c r="G58" i="14" s="1"/>
  <c r="H42" i="14"/>
  <c r="H48" i="14" s="1"/>
  <c r="H50" i="14" s="1"/>
  <c r="H57" i="14" s="1"/>
  <c r="H60" i="14" s="1"/>
  <c r="H33" i="14"/>
  <c r="H36" i="14" s="1"/>
  <c r="H58" i="14" s="1"/>
  <c r="F42" i="14"/>
  <c r="F48" i="14" s="1"/>
  <c r="F33" i="14"/>
  <c r="I42" i="14"/>
  <c r="I48" i="14" s="1"/>
  <c r="I50" i="14" s="1"/>
  <c r="I57" i="14" s="1"/>
  <c r="I60" i="14" s="1"/>
  <c r="I33" i="14"/>
  <c r="I36" i="14" s="1"/>
  <c r="I58" i="14" s="1"/>
  <c r="E33" i="10"/>
  <c r="E28" i="10"/>
  <c r="E31" i="10"/>
  <c r="C34" i="10"/>
  <c r="C38" i="10"/>
  <c r="J34" i="10"/>
  <c r="J38" i="10"/>
  <c r="D33" i="10"/>
  <c r="D28" i="10"/>
  <c r="D31" i="10"/>
  <c r="H28" i="10"/>
  <c r="H33" i="10"/>
  <c r="H31" i="10"/>
  <c r="K34" i="10"/>
  <c r="K38" i="10"/>
  <c r="I19" i="10"/>
  <c r="I27" i="10"/>
  <c r="F34" i="14" s="1"/>
  <c r="F44" i="14" s="1"/>
  <c r="F46" i="14" s="1"/>
  <c r="G33" i="10"/>
  <c r="G28" i="10"/>
  <c r="G31" i="10"/>
  <c r="L33" i="10"/>
  <c r="L28" i="10"/>
  <c r="L31" i="10"/>
  <c r="F19" i="10"/>
  <c r="F27" i="10"/>
  <c r="I8" i="5" l="1"/>
  <c r="F50" i="14"/>
  <c r="F36" i="14"/>
  <c r="F58" i="14" s="1"/>
  <c r="I52" i="14"/>
  <c r="L34" i="10"/>
  <c r="L38" i="10"/>
  <c r="C42" i="10"/>
  <c r="H34" i="10"/>
  <c r="H38" i="10"/>
  <c r="G34" i="10"/>
  <c r="G38" i="10"/>
  <c r="F33" i="10"/>
  <c r="F28" i="10"/>
  <c r="F31" i="10"/>
  <c r="I33" i="10"/>
  <c r="I28" i="10"/>
  <c r="I31" i="10"/>
  <c r="E38" i="10"/>
  <c r="E34" i="10"/>
  <c r="D34" i="10"/>
  <c r="D38" i="10"/>
  <c r="K39" i="10"/>
  <c r="K42" i="10"/>
  <c r="K44" i="10" s="1"/>
  <c r="J42" i="10"/>
  <c r="J44" i="10" s="1"/>
  <c r="J8" i="5" l="1"/>
  <c r="F57" i="14"/>
  <c r="I53" i="14"/>
  <c r="F60" i="14"/>
  <c r="D39" i="10"/>
  <c r="D42" i="10"/>
  <c r="D44" i="10" s="1"/>
  <c r="F38" i="10"/>
  <c r="F34" i="10"/>
  <c r="H39" i="10"/>
  <c r="H42" i="10"/>
  <c r="H44" i="10" s="1"/>
  <c r="L39" i="10"/>
  <c r="M39" i="10"/>
  <c r="L42" i="10"/>
  <c r="L44" i="10" s="1"/>
  <c r="G39" i="10"/>
  <c r="G42" i="10"/>
  <c r="G44" i="10" s="1"/>
  <c r="E39" i="10"/>
  <c r="E42" i="10"/>
  <c r="E44" i="10" s="1"/>
  <c r="I34" i="10"/>
  <c r="I38" i="10"/>
  <c r="I63" i="14" l="1"/>
  <c r="I62" i="14"/>
  <c r="I39" i="10"/>
  <c r="I42" i="10"/>
  <c r="I44" i="10" s="1"/>
  <c r="J39" i="10"/>
  <c r="F39" i="10"/>
  <c r="F42" i="10"/>
  <c r="F44" i="10" s="1"/>
  <c r="J23" i="1" l="1"/>
  <c r="E11" i="1"/>
  <c r="E12" i="1"/>
  <c r="E13" i="1"/>
  <c r="E14" i="1"/>
  <c r="C32" i="1"/>
  <c r="H11" i="1"/>
  <c r="C31" i="1"/>
  <c r="G14" i="1" l="1"/>
  <c r="G12" i="1"/>
  <c r="G13" i="1"/>
  <c r="H13" i="1"/>
  <c r="G11" i="1"/>
  <c r="H10" i="1"/>
  <c r="H12" i="1"/>
  <c r="H14" i="1"/>
  <c r="G10" i="1"/>
  <c r="C33" i="1"/>
  <c r="D33" i="1" s="1"/>
  <c r="E33" i="1" s="1"/>
  <c r="F17" i="1"/>
  <c r="E23" i="1" s="1"/>
  <c r="J32" i="1" s="1"/>
  <c r="F16" i="1"/>
  <c r="M6" i="7" l="1"/>
  <c r="M5" i="7"/>
  <c r="J7" i="7" s="1"/>
  <c r="J13" i="7" s="1"/>
  <c r="E24" i="1"/>
  <c r="J40" i="1" s="1"/>
  <c r="H17" i="1"/>
  <c r="D31" i="1"/>
  <c r="D32" i="1"/>
  <c r="G17" i="1"/>
  <c r="H16" i="1"/>
  <c r="E31" i="1" s="1"/>
  <c r="J41" i="1" s="1"/>
  <c r="G16" i="1"/>
  <c r="J24" i="1" l="1"/>
  <c r="I10" i="1"/>
  <c r="E32" i="1"/>
  <c r="D35" i="1"/>
  <c r="I17" i="1" l="1"/>
  <c r="I16" i="1"/>
  <c r="J10" i="1"/>
  <c r="E35" i="1"/>
  <c r="J31" i="1" s="1"/>
  <c r="J38" i="1"/>
  <c r="J16" i="1" l="1"/>
  <c r="J17" i="1"/>
  <c r="J30" i="1" s="1"/>
  <c r="J33" i="1" s="1"/>
  <c r="J25" i="1" s="1"/>
  <c r="J37" i="1" s="1"/>
  <c r="J43" i="1" s="1"/>
  <c r="D16" i="5" s="1"/>
  <c r="G10" i="5" l="1"/>
  <c r="G12" i="5" s="1"/>
  <c r="F10" i="5"/>
  <c r="F12" i="5" s="1"/>
  <c r="D24" i="5"/>
  <c r="H10" i="5"/>
  <c r="H12" i="5" s="1"/>
  <c r="J10" i="5"/>
  <c r="J12" i="5" s="1"/>
  <c r="I10" i="5"/>
  <c r="I12" i="5" s="1"/>
  <c r="D28" i="5" l="1"/>
  <c r="D29" i="5"/>
  <c r="D30" i="5" l="1"/>
  <c r="D34" i="5" s="1"/>
  <c r="D37" i="5" s="1"/>
  <c r="F16" i="5" s="1"/>
  <c r="D40" i="5" l="1"/>
</calcChain>
</file>

<file path=xl/sharedStrings.xml><?xml version="1.0" encoding="utf-8"?>
<sst xmlns="http://schemas.openxmlformats.org/spreadsheetml/2006/main" count="17117" uniqueCount="8594">
  <si>
    <t>Weighted Average Cost of Capital</t>
  </si>
  <si>
    <t>All figures are in INR unless stated otherwise.</t>
  </si>
  <si>
    <t>Peer Comps</t>
  </si>
  <si>
    <t>Name</t>
  </si>
  <si>
    <t>Country</t>
  </si>
  <si>
    <t>Total Debt</t>
  </si>
  <si>
    <t>Total Equity</t>
  </si>
  <si>
    <t>Average</t>
  </si>
  <si>
    <t>Debt/</t>
  </si>
  <si>
    <t>Equity</t>
  </si>
  <si>
    <t>Levered</t>
  </si>
  <si>
    <r>
      <t xml:space="preserve">Tax Rate </t>
    </r>
    <r>
      <rPr>
        <vertAlign val="superscript"/>
        <sz val="11"/>
        <color theme="1"/>
        <rFont val="Calibri"/>
        <family val="2"/>
      </rPr>
      <t>1</t>
    </r>
  </si>
  <si>
    <r>
      <t xml:space="preserve">Beta </t>
    </r>
    <r>
      <rPr>
        <vertAlign val="superscript"/>
        <sz val="11"/>
        <color theme="1"/>
        <rFont val="Calibri"/>
        <family val="2"/>
      </rPr>
      <t>2</t>
    </r>
  </si>
  <si>
    <t>Unlevered</t>
  </si>
  <si>
    <r>
      <t xml:space="preserve">Beta </t>
    </r>
    <r>
      <rPr>
        <vertAlign val="superscript"/>
        <sz val="11"/>
        <color theme="1"/>
        <rFont val="Calibri"/>
        <family val="2"/>
      </rPr>
      <t>3</t>
    </r>
  </si>
  <si>
    <t>India</t>
  </si>
  <si>
    <t>Capital</t>
  </si>
  <si>
    <t>Median</t>
  </si>
  <si>
    <t>Capital Structure</t>
  </si>
  <si>
    <t>Market Capitalization</t>
  </si>
  <si>
    <t>Total Capitalization</t>
  </si>
  <si>
    <t>Current</t>
  </si>
  <si>
    <t>Target</t>
  </si>
  <si>
    <t>Cost of Equity</t>
  </si>
  <si>
    <t>Risk Free Rate</t>
  </si>
  <si>
    <t>Equity Risk Premium</t>
  </si>
  <si>
    <t>Levered Beta</t>
  </si>
  <si>
    <t>Debt / Equity</t>
  </si>
  <si>
    <r>
      <t xml:space="preserve">Levered Beta </t>
    </r>
    <r>
      <rPr>
        <vertAlign val="superscript"/>
        <sz val="11"/>
        <color theme="1"/>
        <rFont val="Calibri"/>
        <family val="2"/>
      </rPr>
      <t>4</t>
    </r>
  </si>
  <si>
    <t>Cost of Debt</t>
  </si>
  <si>
    <t>Pre-tax Cost of Debt</t>
  </si>
  <si>
    <t>Tax Rate</t>
  </si>
  <si>
    <t>After Tax Cost of Debt</t>
  </si>
  <si>
    <t xml:space="preserve">Levered Beta </t>
  </si>
  <si>
    <t>Comps Median Unlevered Beta</t>
  </si>
  <si>
    <t xml:space="preserve">Target Debt/ Equity  </t>
  </si>
  <si>
    <t>1. Tax Rate considered as Marginal Tax Rate for the country</t>
  </si>
  <si>
    <t>2. Levered Beta is based on 5 year monthly data</t>
  </si>
  <si>
    <t xml:space="preserve"> </t>
  </si>
  <si>
    <t>3. Unlevered Beta = Levered Beta/(1+(1-Tax Rate) x Debt/Equity)</t>
  </si>
  <si>
    <t>Date</t>
  </si>
  <si>
    <t>S.No.</t>
  </si>
  <si>
    <t>CMP Rs.</t>
  </si>
  <si>
    <t>Debt Rs.Cr.</t>
  </si>
  <si>
    <t xml:space="preserve">Mar Cap Rs.Cr. </t>
  </si>
  <si>
    <t>Debt / Eq</t>
  </si>
  <si>
    <t>Closing Price</t>
  </si>
  <si>
    <t>Return</t>
  </si>
  <si>
    <t>NIFTY Returns</t>
  </si>
  <si>
    <t>Beta 1</t>
  </si>
  <si>
    <t>Beta 2</t>
  </si>
  <si>
    <t>Beta 3</t>
  </si>
  <si>
    <t>Total</t>
  </si>
  <si>
    <t>Beta Drifting</t>
  </si>
  <si>
    <t>Levered Raw Beta</t>
  </si>
  <si>
    <t>Raw Beta Weight</t>
  </si>
  <si>
    <t>Market Beta Weight</t>
  </si>
  <si>
    <t xml:space="preserve">Market Beta </t>
  </si>
  <si>
    <t>Adjusted Beta</t>
  </si>
  <si>
    <t>Year</t>
  </si>
  <si>
    <t>Annual</t>
  </si>
  <si>
    <t>Average Return</t>
  </si>
  <si>
    <t>Dividend Yield</t>
  </si>
  <si>
    <t>Total Market Returns</t>
  </si>
  <si>
    <t>Equity Weight</t>
  </si>
  <si>
    <t>Debt Weight</t>
  </si>
  <si>
    <t>WACC</t>
  </si>
  <si>
    <t>Years</t>
  </si>
  <si>
    <t>LTM</t>
  </si>
  <si>
    <t>#</t>
  </si>
  <si>
    <t>Income Statement</t>
  </si>
  <si>
    <t>Sales</t>
  </si>
  <si>
    <t>Sales Growth</t>
  </si>
  <si>
    <t>-</t>
  </si>
  <si>
    <t>COGS</t>
  </si>
  <si>
    <t>COGS % Sales</t>
  </si>
  <si>
    <t>Gross Profit</t>
  </si>
  <si>
    <t>Gross Margins</t>
  </si>
  <si>
    <t>Selling &amp; General Expenses</t>
  </si>
  <si>
    <t>S&amp;G Exp % Sales</t>
  </si>
  <si>
    <t>EBITDA</t>
  </si>
  <si>
    <t>EBITDA Margins</t>
  </si>
  <si>
    <t>Interest</t>
  </si>
  <si>
    <t>Interest % Sales</t>
  </si>
  <si>
    <t>Depreciation</t>
  </si>
  <si>
    <t>Depreciation%Sales</t>
  </si>
  <si>
    <t>Earnings Before Tax</t>
  </si>
  <si>
    <t>EBT % Sales</t>
  </si>
  <si>
    <t>Tax</t>
  </si>
  <si>
    <t>Effective Tax Rate</t>
  </si>
  <si>
    <t>Net Profit</t>
  </si>
  <si>
    <t>Net Margins</t>
  </si>
  <si>
    <t>No of Equity Shares</t>
  </si>
  <si>
    <t>Earnings per Share</t>
  </si>
  <si>
    <t>EPS Growth %</t>
  </si>
  <si>
    <t>Dividend per Share</t>
  </si>
  <si>
    <t>Dividend payout ratio</t>
  </si>
  <si>
    <t>Retained Earnings</t>
  </si>
  <si>
    <t>Balance Sheet</t>
  </si>
  <si>
    <t>Equity Share Capital</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</si>
  <si>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</si>
  <si>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</si>
  <si>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</si>
  <si>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</si>
  <si>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</si>
  <si>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</si>
  <si>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</si>
  <si>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</si>
  <si>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</si>
  <si>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</si>
  <si>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</si>
  <si>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</si>
  <si>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</si>
  <si>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</si>
  <si>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Check</t>
  </si>
  <si>
    <t>Cash Flow Statements</t>
  </si>
  <si>
    <t>Cash from Operating Activities</t>
  </si>
  <si>
    <t>Cash from Investing Activities</t>
  </si>
  <si>
    <t>Cash from Financing Activities</t>
  </si>
  <si>
    <t>Net Cash Flow</t>
  </si>
  <si>
    <t>COMPANY NAME</t>
  </si>
  <si>
    <t>ASIAN PAINTS LTD</t>
  </si>
  <si>
    <t>LATEST VERSION</t>
  </si>
  <si>
    <t>PLEASE DO NOT MAKE ANY CHANGES TO THIS SHEET</t>
  </si>
  <si>
    <t>CURRENT VERSION</t>
  </si>
  <si>
    <t>META</t>
  </si>
  <si>
    <t>Number of shares</t>
  </si>
  <si>
    <t>Face Value</t>
  </si>
  <si>
    <t>Current Price</t>
  </si>
  <si>
    <t>PROFIT &amp; LOSS</t>
  </si>
  <si>
    <t>Report Date</t>
  </si>
  <si>
    <t>Raw Material Cost</t>
  </si>
  <si>
    <t>Change in Inventory</t>
  </si>
  <si>
    <t>Power and Fuel</t>
  </si>
  <si>
    <t>Other Mfr. Exp</t>
  </si>
  <si>
    <t>Employee Cost</t>
  </si>
  <si>
    <t>Selling and admin</t>
  </si>
  <si>
    <t>Other Expenses</t>
  </si>
  <si>
    <t>Other Income</t>
  </si>
  <si>
    <t>Profit before tax</t>
  </si>
  <si>
    <t>Net profit</t>
  </si>
  <si>
    <t>Dividend Amount</t>
  </si>
  <si>
    <t>Quarters</t>
  </si>
  <si>
    <t>Expenses</t>
  </si>
  <si>
    <t>Operating Profit</t>
  </si>
  <si>
    <t>BALANCE SHEET</t>
  </si>
  <si>
    <t>Net Block</t>
  </si>
  <si>
    <t>No. of Equity Shares</t>
  </si>
  <si>
    <t>New Bonus Shares</t>
  </si>
  <si>
    <t>Face value</t>
  </si>
  <si>
    <t>CASH FLOW:</t>
  </si>
  <si>
    <t>Cash from Operating Activity</t>
  </si>
  <si>
    <t>Cash from Investing Activity</t>
  </si>
  <si>
    <t>Cash from Financing Activity</t>
  </si>
  <si>
    <t>PRICE:</t>
  </si>
  <si>
    <t>DERIVED:</t>
  </si>
  <si>
    <t>Adjusted Equity Shares in Cr</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</si>
  <si>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</si>
  <si>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</si>
  <si>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</si>
  <si>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</si>
  <si>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</si>
  <si>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</si>
  <si>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</si>
  <si>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</si>
  <si>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</si>
  <si>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</si>
  <si>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</si>
  <si>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</si>
  <si>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</si>
  <si>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</si>
  <si>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</si>
  <si>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</si>
  <si>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</si>
  <si>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</si>
  <si>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</si>
  <si>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</si>
  <si>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</si>
  <si>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</si>
  <si>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</si>
  <si>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</si>
  <si>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</si>
  <si>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Trade receivables</t>
  </si>
  <si>
    <t>Cash Equivalents</t>
  </si>
  <si>
    <t>Loans n Advances</t>
  </si>
  <si>
    <t>Other asset items</t>
  </si>
  <si>
    <t>Particulars</t>
  </si>
  <si>
    <t>ROIC</t>
  </si>
  <si>
    <t>Calculation of ROIC</t>
  </si>
  <si>
    <t>Current Assets</t>
  </si>
  <si>
    <t>Current Liabilities</t>
  </si>
  <si>
    <t>Total Current Liabilities</t>
  </si>
  <si>
    <t>Net Working Capital</t>
  </si>
  <si>
    <t>Non Current Assets</t>
  </si>
  <si>
    <t>Net Non Current Assets</t>
  </si>
  <si>
    <t>Invested Capital</t>
  </si>
  <si>
    <t>EBIT</t>
  </si>
  <si>
    <t>Calculation of Reinvestment Rate</t>
  </si>
  <si>
    <t>Net Capex</t>
  </si>
  <si>
    <t>Profit from operations</t>
  </si>
  <si>
    <t>Payables</t>
  </si>
  <si>
    <t>Other WC items</t>
  </si>
  <si>
    <t>Working capital changes</t>
  </si>
  <si>
    <t>Direct taxes</t>
  </si>
  <si>
    <t>Exceptional CF items</t>
  </si>
  <si>
    <t>Fixed assets purchased</t>
  </si>
  <si>
    <t>Fixed assets sold</t>
  </si>
  <si>
    <t>Investments purchased</t>
  </si>
  <si>
    <t>Investments sold</t>
  </si>
  <si>
    <t>Interest received</t>
  </si>
  <si>
    <t>Dividends received</t>
  </si>
  <si>
    <t>Redemp n Canc of Shares</t>
  </si>
  <si>
    <t>Acquisition of companies</t>
  </si>
  <si>
    <t>Other investing items</t>
  </si>
  <si>
    <t>Proceeds from borrowings</t>
  </si>
  <si>
    <t>Repayment of borrowings</t>
  </si>
  <si>
    <t>Interest paid fin</t>
  </si>
  <si>
    <t>Dividends paid</t>
  </si>
  <si>
    <t>Financial liabilities</t>
  </si>
  <si>
    <t>Other financing items</t>
  </si>
  <si>
    <t>Change in Working Capital</t>
  </si>
  <si>
    <t>Marginal Tax Rate</t>
  </si>
  <si>
    <t>Reinvestment</t>
  </si>
  <si>
    <t>EBIT(1-T)</t>
  </si>
  <si>
    <t>Reinvestment Rate</t>
  </si>
  <si>
    <t>4 Year Average</t>
  </si>
  <si>
    <t>4 Year Median</t>
  </si>
  <si>
    <t>Calculation of Growth Rate</t>
  </si>
  <si>
    <t>Intrinsic Growth</t>
  </si>
  <si>
    <t>Trade receivables +</t>
  </si>
  <si>
    <t>Calculation of PV of FCFF</t>
  </si>
  <si>
    <t>EBIT(1-Tax)</t>
  </si>
  <si>
    <t>Less: Reinvestment Rate</t>
  </si>
  <si>
    <t>Free Cash Flow to Firm(FCFF)</t>
  </si>
  <si>
    <t>Cash from Operating Activity -</t>
  </si>
  <si>
    <t>Cash from Investing Activity -</t>
  </si>
  <si>
    <t>Cash from Financing Activity -</t>
  </si>
  <si>
    <t>Mid Year Convention</t>
  </si>
  <si>
    <t>Discounting Factor</t>
  </si>
  <si>
    <t>PV of FCFF</t>
  </si>
  <si>
    <t xml:space="preserve">Expected Growth </t>
  </si>
  <si>
    <t>Terminal Growth</t>
  </si>
  <si>
    <t>FCFF(n+1)</t>
  </si>
  <si>
    <t>Terminal Growth Rate</t>
  </si>
  <si>
    <t>Terminal Value</t>
  </si>
  <si>
    <t>PV Terminal Value</t>
  </si>
  <si>
    <t>Value of Operating Activities</t>
  </si>
  <si>
    <t>Add: Cash</t>
  </si>
  <si>
    <t>Less: debt</t>
  </si>
  <si>
    <t>Value of Equity</t>
  </si>
  <si>
    <t>NO. of Shares</t>
  </si>
  <si>
    <t xml:space="preserve"> Equity Value Per Share</t>
  </si>
  <si>
    <t>Share Price</t>
  </si>
  <si>
    <t>Discount/Premium</t>
  </si>
  <si>
    <t xml:space="preserve"> make changes according to the Column TO THIS SHEET</t>
  </si>
  <si>
    <t>Calculation of Terminal Value</t>
  </si>
  <si>
    <t>Calculation of Enterprise Value</t>
  </si>
  <si>
    <t>Sensitivy Analysis</t>
  </si>
  <si>
    <t>Asian Paints</t>
  </si>
  <si>
    <t>Berger Paints</t>
  </si>
  <si>
    <t>Kansai Nerolac</t>
  </si>
  <si>
    <t>JSW Dulux</t>
  </si>
  <si>
    <t>Indigo Paints</t>
  </si>
  <si>
    <t>DCF Bear</t>
  </si>
  <si>
    <t>DCF Bull</t>
  </si>
  <si>
    <t>DCF Base</t>
  </si>
  <si>
    <t>Open Low</t>
  </si>
  <si>
    <t>Open High</t>
  </si>
  <si>
    <t>Low</t>
  </si>
  <si>
    <t>High</t>
  </si>
  <si>
    <t>Amount in crores</t>
  </si>
  <si>
    <t>Comparable Company Valuations</t>
  </si>
  <si>
    <t>Market Data</t>
  </si>
  <si>
    <t>Financials</t>
  </si>
  <si>
    <t>Valuation</t>
  </si>
  <si>
    <t>Company</t>
  </si>
  <si>
    <t>Ticker</t>
  </si>
  <si>
    <t>Share prize</t>
  </si>
  <si>
    <t>Shares Outstanding</t>
  </si>
  <si>
    <t>Equity Value</t>
  </si>
  <si>
    <t>Net Debt</t>
  </si>
  <si>
    <t>Enterprise Value</t>
  </si>
  <si>
    <t>Revenue</t>
  </si>
  <si>
    <t>Net Income</t>
  </si>
  <si>
    <t>EV/Revenue</t>
  </si>
  <si>
    <t>EV/EBITDA</t>
  </si>
  <si>
    <t>P/E</t>
  </si>
  <si>
    <t>75th Percentile</t>
  </si>
  <si>
    <t>25th Percentile</t>
  </si>
  <si>
    <t>Implied Enterprise Value</t>
  </si>
  <si>
    <t>Implied value per share</t>
  </si>
  <si>
    <t>Source: The Valuation School, Screener.in</t>
  </si>
  <si>
    <t>Return on Markets - Nifty 50</t>
  </si>
  <si>
    <t>Mar Cap Rs.Cr.</t>
  </si>
  <si>
    <t>Sales Rs.Cr.</t>
  </si>
  <si>
    <t>OPM %</t>
  </si>
  <si>
    <t>EV Rs.Cr.</t>
  </si>
  <si>
    <t>EV / EBITDA</t>
  </si>
  <si>
    <t>Ind PE</t>
  </si>
  <si>
    <t>Sirca Paints</t>
  </si>
  <si>
    <t>no of equity share</t>
  </si>
  <si>
    <t>Cash</t>
  </si>
  <si>
    <t>NP</t>
  </si>
  <si>
    <t>market cap/pe</t>
  </si>
  <si>
    <t>ev/ev/ebitda</t>
  </si>
  <si>
    <t>MC+DBT-EV</t>
  </si>
  <si>
    <t>MC/CMP</t>
  </si>
  <si>
    <t xml:space="preserve">needs correction </t>
  </si>
  <si>
    <t>Fooball Field Analysis - Data</t>
  </si>
  <si>
    <t>Regression Beta - 5 Years Monthly</t>
  </si>
  <si>
    <t>4. Levered Beta = Unlevered Beta/(1+(1-Tax Rate) x Debt/Equity)</t>
  </si>
  <si>
    <t>5.All Beta are calculated on 5 year monthly basis</t>
  </si>
  <si>
    <t>52 Weeks Range</t>
  </si>
  <si>
    <t>Implied Market Value</t>
  </si>
  <si>
    <t>Relative Valuation</t>
  </si>
  <si>
    <t>Price</t>
  </si>
  <si>
    <t>Returns</t>
  </si>
  <si>
    <t>Shorted Returns</t>
  </si>
  <si>
    <t>calculation of value at Risk -Asian Paints (Historical)</t>
  </si>
  <si>
    <t>Mean</t>
  </si>
  <si>
    <t xml:space="preserve"> Std</t>
  </si>
  <si>
    <t>Min</t>
  </si>
  <si>
    <t>Max</t>
  </si>
  <si>
    <t>Percentile</t>
  </si>
  <si>
    <t>VAR%</t>
  </si>
  <si>
    <t>current Price</t>
  </si>
  <si>
    <t>Stock Price</t>
  </si>
  <si>
    <t>VAR(INR)</t>
  </si>
  <si>
    <t>Confidence</t>
  </si>
  <si>
    <t>Replication</t>
  </si>
  <si>
    <t>Simulated Returns</t>
  </si>
  <si>
    <t>Historical Approach</t>
  </si>
  <si>
    <t>Monte Carlo Simulation</t>
  </si>
  <si>
    <t xml:space="preserve">5 Year -Daily </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</si>
  <si>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</si>
  <si>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</si>
  <si>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</si>
  <si>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</si>
  <si>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</si>
  <si>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</si>
  <si>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</si>
  <si>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</si>
  <si>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</si>
  <si>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</si>
  <si>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</si>
  <si>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</si>
  <si>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</si>
  <si>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</si>
  <si>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</si>
  <si>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</si>
  <si>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</si>
  <si>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</si>
  <si>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</si>
  <si>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</si>
  <si>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</si>
  <si>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</si>
  <si>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</si>
  <si>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</si>
  <si>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</si>
  <si>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</si>
  <si>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</si>
  <si>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</si>
  <si>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</si>
  <si>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</si>
  <si>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</si>
  <si>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</si>
  <si>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</si>
  <si>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</si>
  <si>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</si>
  <si>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</si>
  <si>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</si>
  <si>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</si>
  <si>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</si>
  <si>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</si>
  <si>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</si>
  <si>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</si>
  <si>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</si>
  <si>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</si>
  <si>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</si>
  <si>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</si>
  <si>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</si>
  <si>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</si>
  <si>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</si>
  <si>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</si>
  <si>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</si>
  <si>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</si>
  <si>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</si>
  <si>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</si>
  <si>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</si>
  <si>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</si>
  <si>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</si>
  <si>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</si>
  <si>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</si>
  <si>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</si>
  <si>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</si>
  <si>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</si>
  <si>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</si>
  <si>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</si>
  <si>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</si>
  <si>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</si>
  <si>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</si>
  <si>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</si>
  <si>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</si>
  <si>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</si>
  <si>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</si>
  <si>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</si>
  <si>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</si>
  <si>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</si>
  <si>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</si>
  <si>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</si>
  <si>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</si>
  <si>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</si>
  <si>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</si>
  <si>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</si>
  <si>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</si>
  <si>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</si>
  <si>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</si>
  <si>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</si>
  <si>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</si>
  <si>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</si>
  <si>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</si>
  <si>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</si>
  <si>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</si>
  <si>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</si>
  <si>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</si>
  <si>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</si>
  <si>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</si>
  <si>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</si>
  <si>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</si>
  <si>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</si>
  <si>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</si>
  <si>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</si>
  <si>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</si>
  <si>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</si>
  <si>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</si>
  <si>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</si>
  <si>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</si>
  <si>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</si>
  <si>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</si>
  <si>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</si>
  <si>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</si>
  <si>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</si>
  <si>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</si>
  <si>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</si>
  <si>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</si>
  <si>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</si>
  <si>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</si>
  <si>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</si>
  <si>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</si>
  <si>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</si>
  <si>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</si>
  <si>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</si>
  <si>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</si>
  <si>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</si>
  <si>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</si>
  <si>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</si>
  <si>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</si>
  <si>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</si>
  <si>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</si>
  <si>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</si>
  <si>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</si>
  <si>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</si>
  <si>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</si>
  <si>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</si>
  <si>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</si>
  <si>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</si>
  <si>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</si>
  <si>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</si>
  <si>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</si>
  <si>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</si>
  <si>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</si>
  <si>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</si>
  <si>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</si>
  <si>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</si>
  <si>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</si>
  <si>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</si>
  <si>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</si>
  <si>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</si>
  <si>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</si>
  <si>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</si>
  <si>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</si>
  <si>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</si>
  <si>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</si>
  <si>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</si>
  <si>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</si>
  <si>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</si>
  <si>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</si>
  <si>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</si>
  <si>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</si>
  <si>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</si>
  <si>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</si>
  <si>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</si>
  <si>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</si>
  <si>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</si>
  <si>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</si>
  <si>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</si>
  <si>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</si>
  <si>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</si>
  <si>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</si>
  <si>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</si>
  <si>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</si>
  <si>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</si>
  <si>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</si>
  <si>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</si>
  <si>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</si>
  <si>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</si>
  <si>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</si>
  <si>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</si>
  <si>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</si>
  <si>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</si>
  <si>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</si>
  <si>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</si>
  <si>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</si>
  <si>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</si>
  <si>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</si>
  <si>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</si>
  <si>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</si>
  <si>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</si>
  <si>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</si>
  <si>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</si>
  <si>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</si>
  <si>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</si>
  <si>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</si>
  <si>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</si>
  <si>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</si>
  <si>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</si>
  <si>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</si>
  <si>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</si>
  <si>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</si>
  <si>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</si>
  <si>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</si>
  <si>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</si>
  <si>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</si>
  <si>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</si>
  <si>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</si>
  <si>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</si>
  <si>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</si>
  <si>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</si>
  <si>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</si>
  <si>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</si>
  <si>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</si>
  <si>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</si>
  <si>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</si>
  <si>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</si>
  <si>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</si>
  <si>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</si>
  <si>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</si>
  <si>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</si>
  <si>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</si>
  <si>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</si>
  <si>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</si>
  <si>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</si>
  <si>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</si>
  <si>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</si>
  <si>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</si>
  <si>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</si>
  <si>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</si>
  <si>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</si>
  <si>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</si>
  <si>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</si>
  <si>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</si>
  <si>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</si>
  <si>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</si>
  <si>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</si>
  <si>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</si>
  <si>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</si>
  <si>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</si>
  <si>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</si>
  <si>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</si>
  <si>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</si>
  <si>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</si>
  <si>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</si>
  <si>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</si>
  <si>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</si>
  <si>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</si>
  <si>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</si>
  <si>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</si>
  <si>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</si>
  <si>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</si>
  <si>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</si>
  <si>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</si>
  <si>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</si>
  <si>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</si>
  <si>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</si>
  <si>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</si>
  <si>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</si>
  <si>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</si>
  <si>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</si>
  <si>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</si>
  <si>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</si>
  <si>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</si>
  <si>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</si>
  <si>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</si>
  <si>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</si>
  <si>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</si>
  <si>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</si>
  <si>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</si>
  <si>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</si>
  <si>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</si>
  <si>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</si>
  <si>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</si>
  <si>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</si>
  <si>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</si>
  <si>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</si>
  <si>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</si>
  <si>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</si>
  <si>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</si>
  <si>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</si>
  <si>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</si>
  <si>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</si>
  <si>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</si>
  <si>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</si>
  <si>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</si>
  <si>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</si>
  <si>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</si>
  <si>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</si>
  <si>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</si>
  <si>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</si>
  <si>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</si>
  <si>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</si>
  <si>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</si>
  <si>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</si>
  <si>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</si>
  <si>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</si>
  <si>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</si>
  <si>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</si>
  <si>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</si>
  <si>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</si>
  <si>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</si>
  <si>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</si>
  <si>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</si>
  <si>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</si>
  <si>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</si>
  <si>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</si>
  <si>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</si>
  <si>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</si>
  <si>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</si>
  <si>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</si>
  <si>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</si>
  <si>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</si>
  <si>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</si>
  <si>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</si>
  <si>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</si>
  <si>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</si>
  <si>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</si>
  <si>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</si>
  <si>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</si>
  <si>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</si>
  <si>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</si>
  <si>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</si>
  <si>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</si>
  <si>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</si>
  <si>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</si>
  <si>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</si>
  <si>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</si>
  <si>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</si>
  <si>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</si>
  <si>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</si>
  <si>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</si>
  <si>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</si>
  <si>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</si>
  <si>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</si>
  <si>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</si>
  <si>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</si>
  <si>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</si>
  <si>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</si>
  <si>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</si>
  <si>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</si>
  <si>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</si>
  <si>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</si>
  <si>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</si>
  <si>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</si>
  <si>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</si>
  <si>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</si>
  <si>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</si>
  <si>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</si>
  <si>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</si>
  <si>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</si>
  <si>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</si>
  <si>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</si>
  <si>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</si>
  <si>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</si>
  <si>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</si>
  <si>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</si>
  <si>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</si>
  <si>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</si>
  <si>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</si>
  <si>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</si>
  <si>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</si>
  <si>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</si>
  <si>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</si>
  <si>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</si>
  <si>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</si>
  <si>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</si>
  <si>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</si>
  <si>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</si>
  <si>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</si>
  <si>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</si>
  <si>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</si>
  <si>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</si>
  <si>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</si>
  <si>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</si>
  <si>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</si>
  <si>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</si>
  <si>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</si>
  <si>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</si>
  <si>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</si>
  <si>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</si>
  <si>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</si>
  <si>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</si>
  <si>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</si>
  <si>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</si>
  <si>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</si>
  <si>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</si>
  <si>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</si>
  <si>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</si>
  <si>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</si>
  <si>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</si>
  <si>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</si>
  <si>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</si>
  <si>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</si>
  <si>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</si>
  <si>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</si>
  <si>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</si>
  <si>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</si>
  <si>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</si>
  <si>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</si>
  <si>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</si>
  <si>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</si>
  <si>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</si>
  <si>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</si>
  <si>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</si>
  <si>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</si>
  <si>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</si>
  <si>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</si>
  <si>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</si>
  <si>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</si>
  <si>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</si>
  <si>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</si>
  <si>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</si>
  <si>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</si>
  <si>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</si>
  <si>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</si>
  <si>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</si>
  <si>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</si>
  <si>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</si>
  <si>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</si>
  <si>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</si>
  <si>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</si>
  <si>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</si>
  <si>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</si>
  <si>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</si>
  <si>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</si>
  <si>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</si>
  <si>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</si>
  <si>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</si>
  <si>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</si>
  <si>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</si>
  <si>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</si>
  <si>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</si>
  <si>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</si>
  <si>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</si>
  <si>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</si>
  <si>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</si>
  <si>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</si>
  <si>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</si>
  <si>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</si>
  <si>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</si>
  <si>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</si>
  <si>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</si>
  <si>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</si>
  <si>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</si>
  <si>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</si>
  <si>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</si>
  <si>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</si>
  <si>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</si>
  <si>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</si>
  <si>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</si>
  <si>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</si>
  <si>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</si>
  <si>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</si>
  <si>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</si>
  <si>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</si>
  <si>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</si>
  <si>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</si>
  <si>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</si>
  <si>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</si>
  <si>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</si>
  <si>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</si>
  <si>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</si>
  <si>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</si>
  <si>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</si>
  <si>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</si>
  <si>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</si>
  <si>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</si>
  <si>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</si>
  <si>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</si>
  <si>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</si>
  <si>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</si>
  <si>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</si>
  <si>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</si>
  <si>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</si>
  <si>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</si>
  <si>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</si>
  <si>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</si>
  <si>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</si>
  <si>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</si>
  <si>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</si>
  <si>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</si>
  <si>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</si>
  <si>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</si>
  <si>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</si>
  <si>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</si>
  <si>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</si>
  <si>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</si>
  <si>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</si>
  <si>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</si>
  <si>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</si>
  <si>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</si>
  <si>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</si>
  <si>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</si>
  <si>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</si>
  <si>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</si>
  <si>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</si>
  <si>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</si>
  <si>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</si>
  <si>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</si>
  <si>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</si>
  <si>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</si>
  <si>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</si>
  <si>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</si>
  <si>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</si>
  <si>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</si>
  <si>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</si>
  <si>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</si>
  <si>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</si>
  <si>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</si>
  <si>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</si>
  <si>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</si>
  <si>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</si>
  <si>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</si>
  <si>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</si>
  <si>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</si>
  <si>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</si>
  <si>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</si>
  <si>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</si>
  <si>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</si>
  <si>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</si>
  <si>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</si>
  <si>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</si>
  <si>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</si>
  <si>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</si>
  <si>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</si>
  <si>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</si>
  <si>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</si>
  <si>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</si>
  <si>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</si>
  <si>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</si>
  <si>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</si>
  <si>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</si>
  <si>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</si>
  <si>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</si>
  <si>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</si>
  <si>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</si>
  <si>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</si>
  <si>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</si>
  <si>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</si>
  <si>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</si>
  <si>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</si>
  <si>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</si>
  <si>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</si>
  <si>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</si>
  <si>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</si>
  <si>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</si>
  <si>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</si>
  <si>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</si>
  <si>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</si>
  <si>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</si>
  <si>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</si>
  <si>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</si>
  <si>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</si>
  <si>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</si>
  <si>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</si>
  <si>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</si>
  <si>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</si>
  <si>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</si>
  <si>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</si>
  <si>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</si>
  <si>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</si>
  <si>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</si>
  <si>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</si>
  <si>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</si>
  <si>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</si>
  <si>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</si>
  <si>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</si>
  <si>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</si>
  <si>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</si>
  <si>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</si>
  <si>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</si>
  <si>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</si>
  <si>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</si>
  <si>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</si>
  <si>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</si>
  <si>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</si>
  <si>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</si>
  <si>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</si>
  <si>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</si>
  <si>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</si>
  <si>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</si>
  <si>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</si>
  <si>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</si>
  <si>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</si>
  <si>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</si>
  <si>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</si>
  <si>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</si>
  <si>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</si>
  <si>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</si>
  <si>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</si>
  <si>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</si>
  <si>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</si>
  <si>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</si>
  <si>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</si>
  <si>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</si>
  <si>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</si>
  <si>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</si>
  <si>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</si>
  <si>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</si>
  <si>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</si>
  <si>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</si>
  <si>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</si>
  <si>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</si>
  <si>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</si>
  <si>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</si>
  <si>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</si>
  <si>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</si>
  <si>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</si>
  <si>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</si>
  <si>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</si>
  <si>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</si>
  <si>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</si>
  <si>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</si>
  <si>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</si>
  <si>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</si>
  <si>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</si>
  <si>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</si>
  <si>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</si>
  <si>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</si>
  <si>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</si>
  <si>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</si>
  <si>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</si>
  <si>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</si>
  <si>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</si>
  <si>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</si>
  <si>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</si>
  <si>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</si>
  <si>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</si>
  <si>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</si>
  <si>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</si>
  <si>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</si>
  <si>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</si>
  <si>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</si>
  <si>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</si>
  <si>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</si>
  <si>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</si>
  <si>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</si>
  <si>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</si>
  <si>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</si>
  <si>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</si>
  <si>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</si>
  <si>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</si>
  <si>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</si>
  <si>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</si>
  <si>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</si>
  <si>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</si>
  <si>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</si>
  <si>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</si>
  <si>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</si>
  <si>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</si>
  <si>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</si>
  <si>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</si>
  <si>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</si>
  <si>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</si>
  <si>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</si>
  <si>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</si>
  <si>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</si>
  <si>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</si>
  <si>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</si>
  <si>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</si>
  <si>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</si>
  <si>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</si>
  <si>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</si>
  <si>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</si>
  <si>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</si>
  <si>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</si>
  <si>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</si>
  <si>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</si>
  <si>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</si>
  <si>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</si>
  <si>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</si>
  <si>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</si>
  <si>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</si>
  <si>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</si>
  <si>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</si>
  <si>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</si>
  <si>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</si>
  <si>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</si>
  <si>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</si>
  <si>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</si>
  <si>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</si>
  <si>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</si>
  <si>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</si>
  <si>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</si>
  <si>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</si>
  <si>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</si>
  <si>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</si>
  <si>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</si>
  <si>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</si>
  <si>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</si>
  <si>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</si>
  <si>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</si>
  <si>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</si>
  <si>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</si>
  <si>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</si>
  <si>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</si>
  <si>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</si>
  <si>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</si>
  <si>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</si>
  <si>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</si>
  <si>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</si>
  <si>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</si>
  <si>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</si>
  <si>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</si>
  <si>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</si>
  <si>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</si>
  <si>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</si>
  <si>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</si>
  <si>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</si>
  <si>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</si>
  <si>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</si>
  <si>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</si>
  <si>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</si>
  <si>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</si>
  <si>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</si>
  <si>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</si>
  <si>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</si>
  <si>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</si>
  <si>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</si>
  <si>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</si>
  <si>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</si>
  <si>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</si>
  <si>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</si>
  <si>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</si>
  <si>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</si>
  <si>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</si>
  <si>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</si>
  <si>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</si>
  <si>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</si>
  <si>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</si>
  <si>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</si>
  <si>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</si>
  <si>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</si>
  <si>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</si>
  <si>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</si>
  <si>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</si>
  <si>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</si>
  <si>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</si>
  <si>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</si>
  <si>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</si>
  <si>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</si>
  <si>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</si>
  <si>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</si>
  <si>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</si>
  <si>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</si>
  <si>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</si>
  <si>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</si>
  <si>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</si>
  <si>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</si>
  <si>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</si>
  <si>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</si>
  <si>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</si>
  <si>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</si>
  <si>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</si>
  <si>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</si>
  <si>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</si>
  <si>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</si>
  <si>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</si>
  <si>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</si>
  <si>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</si>
  <si>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</si>
  <si>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</si>
  <si>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</si>
  <si>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</si>
  <si>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</si>
  <si>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</si>
  <si>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</si>
  <si>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</si>
  <si>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</si>
  <si>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</si>
  <si>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</si>
  <si>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</si>
  <si>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</si>
  <si>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</si>
  <si>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</si>
  <si>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</si>
  <si>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</si>
  <si>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</si>
  <si>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</si>
  <si>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</si>
  <si>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</si>
  <si>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</si>
  <si>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</si>
  <si>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</si>
  <si>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</si>
  <si>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</si>
  <si>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</si>
  <si>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</si>
  <si>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</si>
  <si>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</si>
  <si>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</si>
  <si>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</si>
  <si>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</si>
  <si>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</si>
  <si>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</si>
  <si>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</si>
  <si>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</si>
  <si>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</si>
  <si>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</si>
  <si>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</si>
  <si>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</si>
  <si>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</si>
  <si>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</si>
  <si>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</si>
  <si>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</si>
  <si>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</si>
  <si>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</si>
  <si>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</si>
  <si>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</si>
  <si>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</si>
  <si>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</si>
  <si>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</si>
  <si>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</si>
  <si>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</si>
  <si>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</si>
  <si>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</si>
  <si>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</si>
  <si>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</si>
  <si>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</si>
  <si>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</si>
  <si>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</si>
  <si>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</si>
  <si>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</si>
  <si>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</si>
  <si>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</si>
  <si>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</si>
  <si>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</si>
  <si>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</si>
  <si>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</si>
  <si>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</si>
  <si>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</si>
  <si>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</si>
  <si>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</si>
  <si>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</si>
  <si>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</si>
  <si>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</si>
  <si>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</si>
  <si>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</si>
  <si>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</si>
  <si>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</si>
  <si>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</si>
  <si>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</si>
  <si>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</si>
  <si>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</si>
  <si>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</si>
  <si>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</si>
  <si>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</si>
  <si>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</si>
  <si>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</si>
  <si>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</si>
  <si>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</si>
  <si>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</si>
  <si>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</si>
  <si>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</si>
  <si>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</si>
  <si>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</si>
  <si>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</si>
  <si>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</si>
  <si>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</si>
  <si>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</si>
  <si>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</si>
  <si>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</si>
  <si>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</si>
  <si>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</si>
  <si>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</si>
  <si>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</si>
  <si>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</si>
  <si>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</si>
  <si>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</si>
  <si>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</si>
  <si>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</si>
  <si>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</si>
  <si>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</si>
  <si>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</si>
  <si>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</si>
  <si>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</si>
  <si>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</si>
  <si>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</si>
  <si>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</si>
  <si>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</si>
  <si>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</si>
  <si>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</si>
  <si>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</si>
  <si>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</si>
  <si>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</si>
  <si>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</si>
  <si>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</si>
  <si>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</si>
  <si>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</si>
  <si>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</si>
  <si>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</si>
  <si>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</si>
  <si>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</si>
  <si>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</si>
  <si>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</si>
  <si>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</si>
  <si>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</si>
  <si>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</si>
  <si>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</si>
  <si>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</si>
  <si>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</si>
  <si>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</si>
  <si>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</si>
  <si>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</si>
  <si>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</si>
  <si>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</si>
  <si>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</si>
  <si>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</si>
  <si>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</si>
  <si>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</si>
  <si>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</si>
  <si>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</si>
  <si>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</si>
  <si>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</si>
  <si>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</si>
  <si>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</si>
  <si>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</si>
  <si>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</si>
  <si>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</si>
  <si>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</si>
  <si>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</si>
  <si>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</si>
  <si>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</si>
  <si>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</si>
  <si>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</si>
  <si>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</si>
  <si>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</si>
  <si>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</si>
  <si>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</si>
  <si>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</si>
  <si>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</si>
  <si>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</si>
  <si>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</si>
  <si>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</si>
  <si>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</si>
  <si>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</si>
  <si>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</si>
  <si>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</si>
  <si>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</si>
  <si>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</si>
  <si>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</si>
  <si>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</si>
  <si>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</si>
  <si>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</si>
  <si>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</si>
  <si>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</si>
  <si>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</si>
  <si>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</si>
  <si>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</si>
  <si>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</si>
  <si>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</si>
  <si>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</si>
  <si>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</si>
  <si>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</si>
  <si>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</si>
  <si>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</si>
  <si>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</si>
  <si>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</si>
  <si>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</si>
  <si>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</si>
  <si>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</si>
  <si>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</si>
  <si>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</si>
  <si>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</si>
  <si>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</si>
  <si>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</si>
  <si>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</si>
  <si>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</si>
  <si>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</si>
  <si>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</si>
  <si>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</si>
  <si>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</si>
  <si>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</si>
  <si>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</si>
  <si>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</si>
  <si>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</si>
  <si>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</si>
  <si>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</si>
  <si>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</si>
  <si>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</si>
  <si>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</si>
  <si>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</si>
  <si>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</si>
  <si>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</si>
  <si>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</si>
  <si>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</si>
  <si>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</si>
  <si>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</si>
  <si>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</si>
  <si>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</si>
  <si>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</si>
  <si>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</si>
  <si>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</si>
  <si>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</si>
  <si>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</si>
  <si>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</si>
  <si>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</si>
  <si>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</si>
  <si>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</si>
  <si>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</si>
  <si>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</si>
  <si>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</si>
  <si>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</si>
  <si>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</si>
  <si>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</si>
  <si>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</si>
  <si>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</si>
  <si>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</si>
  <si>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</si>
  <si>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</si>
  <si>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</si>
  <si>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</si>
  <si>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</si>
  <si>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</si>
  <si>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</si>
  <si>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</si>
  <si>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</si>
  <si>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</si>
  <si>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</si>
  <si>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</si>
  <si>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</si>
  <si>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</si>
  <si>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</si>
  <si>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</si>
  <si>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</si>
  <si>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</si>
  <si>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</si>
  <si>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</si>
  <si>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</si>
  <si>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</si>
  <si>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</si>
  <si>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</si>
  <si>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</si>
  <si>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</si>
  <si>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</si>
  <si>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</si>
  <si>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</si>
  <si>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</si>
  <si>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</si>
  <si>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</si>
  <si>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</si>
  <si>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</si>
  <si>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</si>
  <si>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</si>
  <si>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</si>
  <si>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</si>
  <si>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</si>
  <si>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</si>
  <si>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</si>
  <si>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</si>
  <si>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</si>
  <si>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</si>
  <si>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</si>
  <si>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</si>
  <si>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</si>
  <si>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</si>
  <si>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</si>
  <si>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</si>
  <si>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</si>
  <si>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</si>
  <si>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</si>
  <si>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</si>
  <si>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</si>
  <si>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</si>
  <si>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</si>
  <si>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</si>
  <si>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</si>
  <si>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</si>
  <si>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</si>
  <si>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</si>
  <si>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</si>
  <si>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</si>
  <si>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</si>
  <si>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</si>
  <si>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</si>
  <si>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</si>
  <si>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</si>
  <si>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</si>
  <si>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</si>
  <si>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</si>
  <si>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</si>
  <si>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</si>
  <si>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</si>
  <si>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</si>
  <si>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</si>
  <si>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</si>
  <si>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</si>
  <si>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</si>
  <si>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</si>
  <si>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</si>
  <si>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</si>
  <si>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</si>
  <si>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</si>
  <si>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</si>
  <si>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</si>
  <si>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</si>
  <si>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</si>
  <si>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</si>
  <si>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</si>
  <si>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</si>
  <si>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</si>
  <si>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</si>
  <si>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</si>
  <si>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</si>
  <si>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</si>
  <si>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</si>
  <si>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</si>
  <si>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</si>
  <si>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</si>
  <si>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</si>
  <si>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</si>
  <si>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</si>
  <si>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</si>
  <si>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</si>
  <si>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</si>
  <si>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</si>
  <si>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</si>
  <si>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</si>
  <si>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</si>
  <si>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</si>
  <si>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</si>
  <si>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</si>
  <si>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</si>
  <si>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</si>
  <si>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</si>
  <si>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</si>
  <si>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</si>
  <si>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</si>
  <si>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</si>
  <si>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</si>
  <si>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</si>
  <si>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</si>
  <si>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</si>
  <si>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</si>
  <si>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</si>
  <si>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</si>
  <si>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</si>
  <si>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</si>
  <si>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</si>
  <si>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</si>
  <si>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</si>
  <si>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</si>
  <si>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</si>
  <si>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</si>
  <si>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</si>
  <si>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</si>
  <si>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</si>
  <si>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</si>
  <si>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</si>
  <si>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</si>
  <si>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</si>
  <si>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</si>
  <si>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</si>
  <si>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</si>
  <si>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</si>
  <si>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</si>
  <si>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</si>
  <si>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</si>
  <si>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</si>
  <si>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</si>
  <si>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</si>
  <si>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</si>
  <si>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</si>
  <si>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</si>
  <si>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</si>
  <si>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</si>
  <si>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</si>
  <si>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</si>
  <si>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</si>
  <si>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</si>
  <si>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</si>
  <si>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</si>
  <si>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</si>
  <si>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</si>
  <si>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</si>
  <si>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</si>
  <si>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</si>
  <si>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</si>
  <si>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</si>
  <si>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</si>
  <si>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</si>
  <si>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</si>
  <si>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</si>
  <si>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</si>
  <si>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</si>
  <si>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</si>
  <si>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</si>
  <si>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</si>
  <si>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</si>
  <si>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</si>
  <si>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</si>
  <si>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</si>
  <si>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</si>
  <si>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</si>
  <si>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</si>
  <si>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</si>
  <si>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</si>
  <si>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</si>
  <si>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</si>
  <si>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</si>
  <si>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</si>
  <si>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</si>
  <si>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</si>
  <si>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</si>
  <si>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</si>
  <si>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</si>
  <si>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</si>
  <si>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</si>
  <si>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</si>
  <si>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</si>
  <si>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</si>
  <si>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</si>
  <si>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</si>
  <si>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</si>
  <si>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</si>
  <si>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</si>
  <si>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</si>
  <si>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</si>
  <si>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</si>
  <si>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</si>
  <si>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</si>
  <si>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</si>
  <si>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</si>
  <si>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</si>
  <si>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</si>
  <si>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</si>
  <si>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</si>
  <si>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</si>
  <si>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</si>
  <si>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</si>
  <si>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</si>
  <si>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</si>
  <si>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</si>
  <si>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</si>
  <si>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</si>
  <si>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</si>
  <si>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</si>
  <si>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</si>
  <si>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</si>
  <si>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</si>
  <si>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</si>
  <si>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</si>
  <si>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</si>
  <si>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</si>
  <si>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</si>
  <si>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</si>
  <si>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</si>
  <si>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</si>
  <si>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</si>
  <si>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</si>
  <si>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</si>
  <si>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</si>
  <si>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</si>
  <si>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</si>
  <si>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</si>
  <si>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</si>
  <si>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</si>
  <si>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</si>
  <si>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</si>
  <si>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</si>
  <si>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</si>
  <si>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</si>
  <si>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</si>
  <si>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</si>
  <si>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</si>
  <si>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</si>
  <si>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</si>
  <si>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</si>
  <si>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</si>
  <si>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</si>
  <si>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</si>
  <si>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</si>
  <si>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</si>
  <si>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</si>
  <si>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</si>
  <si>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</si>
  <si>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</si>
  <si>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</si>
  <si>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</si>
  <si>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</si>
  <si>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</si>
  <si>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</si>
  <si>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</si>
  <si>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</si>
  <si>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</si>
  <si>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</si>
  <si>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</si>
  <si>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</si>
  <si>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</si>
  <si>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</si>
  <si>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</si>
  <si>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</si>
  <si>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</si>
  <si>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</si>
  <si>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</si>
  <si>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</si>
  <si>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</si>
  <si>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</si>
  <si>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</si>
  <si>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</si>
  <si>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</si>
  <si>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</si>
  <si>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</si>
  <si>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</si>
  <si>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</si>
  <si>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</si>
  <si>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</si>
  <si>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</si>
  <si>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</si>
  <si>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</si>
  <si>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</si>
  <si>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</si>
  <si>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</si>
  <si>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</si>
  <si>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</si>
  <si>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</si>
  <si>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</si>
  <si>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</si>
  <si>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</si>
  <si>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</si>
  <si>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</si>
  <si>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</si>
  <si>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</si>
  <si>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</si>
  <si>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</si>
  <si>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</si>
  <si>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</si>
  <si>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</si>
  <si>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</si>
  <si>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</si>
  <si>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</si>
  <si>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</si>
  <si>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</si>
  <si>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</si>
  <si>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</si>
  <si>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</si>
  <si>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</si>
  <si>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</si>
  <si>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</si>
  <si>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</si>
  <si>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</si>
  <si>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</si>
  <si>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</si>
  <si>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</si>
  <si>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</si>
  <si>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</si>
  <si>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</si>
  <si>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</si>
  <si>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</si>
  <si>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</si>
  <si>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</si>
  <si>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</si>
  <si>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</si>
  <si>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</si>
  <si>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</si>
  <si>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</si>
  <si>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</si>
  <si>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</si>
  <si>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</si>
  <si>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</si>
  <si>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</si>
  <si>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</si>
  <si>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</si>
  <si>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</si>
  <si>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</si>
  <si>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</si>
  <si>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</si>
  <si>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</si>
  <si>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</si>
  <si>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</si>
  <si>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</si>
  <si>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</si>
  <si>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</si>
  <si>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</si>
  <si>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</si>
  <si>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</si>
  <si>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</si>
  <si>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</si>
  <si>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</si>
  <si>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</si>
  <si>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</si>
  <si>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</si>
  <si>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</si>
  <si>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</si>
  <si>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</si>
  <si>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</si>
  <si>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</si>
  <si>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</si>
  <si>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</si>
  <si>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</si>
  <si>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</si>
  <si>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</si>
  <si>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</si>
  <si>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</si>
  <si>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</si>
  <si>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</si>
  <si>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</si>
  <si>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</si>
  <si>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</si>
  <si>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</si>
  <si>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</si>
  <si>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</si>
  <si>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</si>
  <si>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</si>
  <si>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</si>
  <si>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</si>
  <si>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</si>
  <si>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</si>
  <si>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</si>
  <si>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</si>
  <si>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</si>
  <si>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</si>
  <si>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</si>
  <si>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</si>
  <si>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</si>
  <si>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</si>
  <si>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</si>
  <si>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</si>
  <si>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</si>
  <si>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</si>
  <si>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</si>
  <si>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</si>
  <si>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</si>
  <si>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</si>
  <si>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</si>
  <si>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</si>
  <si>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</si>
  <si>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</si>
  <si>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</si>
  <si>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</si>
  <si>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</si>
  <si>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</si>
  <si>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</si>
  <si>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</si>
  <si>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</si>
  <si>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</si>
  <si>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</si>
  <si>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</si>
  <si>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</si>
  <si>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</si>
  <si>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</si>
  <si>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</si>
  <si>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</si>
  <si>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</si>
  <si>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</si>
  <si>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</si>
  <si>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</si>
  <si>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</si>
  <si>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</si>
  <si>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</si>
  <si>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</si>
  <si>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</si>
  <si>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</si>
  <si>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</si>
  <si>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</si>
  <si>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</si>
  <si>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</si>
  <si>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</si>
  <si>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</si>
  <si>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</si>
  <si>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</si>
  <si>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</si>
  <si>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</si>
  <si>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</si>
  <si>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</si>
  <si>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</si>
  <si>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</si>
  <si>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</si>
  <si>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</si>
  <si>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</si>
  <si>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</si>
  <si>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</si>
  <si>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</si>
  <si>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</si>
  <si>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</si>
  <si>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</si>
  <si>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</si>
  <si>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</si>
  <si>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</si>
  <si>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</si>
  <si>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</si>
  <si>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</si>
  <si>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</si>
  <si>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</si>
  <si>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</si>
  <si>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</si>
  <si>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</si>
  <si>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</si>
  <si>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</si>
  <si>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</si>
  <si>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</si>
  <si>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</si>
  <si>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</si>
  <si>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</si>
  <si>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</si>
  <si>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</si>
  <si>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</si>
  <si>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</si>
  <si>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</si>
  <si>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</si>
  <si>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</si>
  <si>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</si>
  <si>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</si>
  <si>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</si>
  <si>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</si>
  <si>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</si>
  <si>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</si>
  <si>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</si>
  <si>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</si>
  <si>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</si>
  <si>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</si>
  <si>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</si>
  <si>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</si>
  <si>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</si>
  <si>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</si>
  <si>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</si>
  <si>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</si>
  <si>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</si>
  <si>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</si>
  <si>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</si>
  <si>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</si>
  <si>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</si>
  <si>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</si>
  <si>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</si>
  <si>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</si>
  <si>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</si>
  <si>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</si>
  <si>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</si>
  <si>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</si>
  <si>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</si>
  <si>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</si>
  <si>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</si>
  <si>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</si>
  <si>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</si>
  <si>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</si>
  <si>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</si>
  <si>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</si>
  <si>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</si>
  <si>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</si>
  <si>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</si>
  <si>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</si>
  <si>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</si>
  <si>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</si>
  <si>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</si>
  <si>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</si>
  <si>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</si>
  <si>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</si>
  <si>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</si>
  <si>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</si>
  <si>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</si>
  <si>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</si>
  <si>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</si>
  <si>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</si>
  <si>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</si>
  <si>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</si>
  <si>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</si>
  <si>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</si>
  <si>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</si>
  <si>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</si>
  <si>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</si>
  <si>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</si>
  <si>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</si>
  <si>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</si>
  <si>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</si>
  <si>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</si>
  <si>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</si>
  <si>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</si>
  <si>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</si>
  <si>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</si>
  <si>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</si>
  <si>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</si>
  <si>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</si>
  <si>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</si>
  <si>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</si>
  <si>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</si>
  <si>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</si>
  <si>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</si>
  <si>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</si>
  <si>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</si>
  <si>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</si>
  <si>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</si>
  <si>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</si>
  <si>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</si>
  <si>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</si>
  <si>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</si>
  <si>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</si>
  <si>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</si>
  <si>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</si>
  <si>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</si>
  <si>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</si>
  <si>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</si>
  <si>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</si>
  <si>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</si>
  <si>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</si>
  <si>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</si>
  <si>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</si>
  <si>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</si>
  <si>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</si>
  <si>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</si>
  <si>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</si>
  <si>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</si>
  <si>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</si>
  <si>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</si>
  <si>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</si>
  <si>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</si>
  <si>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</si>
  <si>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</si>
  <si>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</si>
  <si>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</si>
  <si>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</si>
  <si>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</si>
  <si>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</si>
  <si>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</si>
  <si>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</si>
  <si>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</si>
  <si>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</si>
  <si>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</si>
  <si>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</si>
  <si>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</si>
  <si>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</si>
  <si>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</si>
  <si>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</si>
  <si>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</si>
  <si>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</si>
  <si>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</si>
  <si>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</si>
  <si>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</si>
  <si>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</si>
  <si>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</si>
  <si>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</si>
  <si>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</si>
  <si>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</si>
  <si>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</si>
  <si>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</si>
  <si>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</si>
  <si>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</si>
  <si>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</si>
  <si>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</si>
  <si>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</si>
  <si>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</si>
  <si>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</si>
  <si>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</si>
  <si>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</si>
  <si>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</si>
  <si>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</si>
  <si>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</si>
  <si>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</si>
  <si>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</si>
  <si>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</si>
  <si>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</si>
  <si>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</si>
  <si>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</si>
  <si>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</si>
  <si>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</si>
  <si>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</si>
  <si>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</si>
  <si>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</si>
  <si>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</si>
  <si>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</si>
  <si>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</si>
  <si>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</si>
  <si>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</si>
  <si>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</si>
  <si>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</si>
  <si>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</si>
  <si>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</si>
  <si>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</si>
  <si>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</si>
  <si>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</si>
  <si>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</si>
  <si>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</si>
  <si>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</si>
  <si>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</si>
  <si>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</si>
  <si>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</si>
  <si>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</si>
  <si>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</si>
  <si>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</si>
  <si>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</si>
  <si>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</si>
  <si>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</si>
  <si>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</si>
  <si>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</si>
  <si>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</si>
  <si>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</si>
  <si>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</si>
  <si>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</si>
  <si>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</si>
  <si>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</si>
  <si>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</si>
  <si>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</si>
  <si>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</si>
  <si>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</si>
  <si>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</si>
  <si>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</si>
  <si>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</si>
  <si>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</si>
  <si>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</si>
  <si>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</si>
  <si>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</si>
  <si>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</si>
  <si>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</si>
  <si>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</si>
  <si>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</si>
  <si>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</si>
  <si>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</si>
  <si>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</si>
  <si>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</si>
  <si>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</si>
  <si>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</si>
  <si>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</si>
  <si>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</si>
  <si>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</si>
  <si>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</si>
  <si>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</si>
  <si>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</si>
  <si>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</si>
  <si>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</si>
  <si>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</si>
  <si>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</si>
  <si>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</si>
  <si>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</si>
  <si>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</si>
  <si>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</si>
  <si>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</si>
  <si>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</si>
  <si>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</si>
  <si>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</si>
  <si>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</si>
  <si>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</si>
  <si>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</si>
  <si>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</si>
  <si>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</si>
  <si>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</si>
  <si>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</si>
  <si>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</si>
  <si>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</si>
  <si>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</si>
  <si>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</si>
  <si>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</si>
  <si>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</si>
  <si>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</si>
  <si>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</si>
  <si>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</si>
  <si>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</si>
  <si>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</si>
  <si>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</si>
  <si>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</si>
  <si>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</si>
  <si>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</si>
  <si>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</si>
  <si>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</si>
  <si>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</si>
  <si>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</si>
  <si>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</si>
  <si>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</si>
  <si>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</si>
  <si>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</si>
  <si>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</si>
  <si>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</si>
  <si>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</si>
  <si>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</si>
  <si>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</si>
  <si>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</si>
  <si>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</si>
  <si>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</si>
  <si>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</si>
  <si>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</si>
  <si>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</si>
  <si>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</si>
  <si>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</si>
  <si>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</si>
  <si>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</si>
  <si>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</si>
  <si>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</si>
  <si>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</si>
  <si>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</si>
  <si>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</si>
  <si>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</si>
  <si>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</si>
  <si>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</si>
  <si>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</si>
  <si>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</si>
  <si>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</si>
  <si>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</si>
  <si>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</si>
  <si>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</si>
  <si>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</si>
  <si>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</si>
  <si>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</si>
  <si>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</si>
  <si>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</si>
  <si>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</si>
  <si>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</si>
  <si>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</si>
  <si>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</si>
  <si>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</si>
  <si>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</si>
  <si>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</si>
  <si>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</si>
  <si>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</si>
  <si>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</si>
  <si>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</si>
  <si>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</si>
  <si>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</si>
  <si>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</si>
  <si>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</si>
  <si>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</si>
  <si>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</si>
  <si>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</si>
  <si>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</si>
  <si>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</si>
  <si>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</si>
  <si>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</si>
  <si>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</si>
  <si>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</si>
  <si>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</si>
  <si>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</si>
  <si>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</si>
  <si>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</si>
  <si>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</si>
  <si>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</si>
  <si>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</si>
  <si>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</si>
  <si>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</si>
  <si>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</si>
  <si>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</si>
  <si>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</si>
  <si>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</si>
  <si>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</si>
  <si>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</si>
  <si>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</si>
  <si>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</si>
  <si>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</si>
  <si>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</si>
  <si>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</si>
  <si>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</si>
  <si>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</si>
  <si>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</si>
  <si>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</si>
  <si>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</si>
  <si>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</si>
  <si>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</si>
  <si>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</si>
  <si>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</si>
  <si>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</si>
  <si>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</si>
  <si>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</si>
  <si>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</si>
  <si>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</si>
  <si>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</si>
  <si>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</si>
  <si>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</si>
  <si>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</si>
  <si>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</si>
  <si>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</si>
  <si>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</si>
  <si>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</si>
  <si>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</si>
  <si>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</si>
  <si>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</si>
  <si>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</si>
  <si>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</si>
  <si>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</si>
  <si>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</si>
  <si>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</si>
  <si>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</si>
  <si>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</si>
  <si>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</si>
  <si>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</si>
  <si>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</si>
  <si>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</si>
  <si>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</si>
  <si>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</si>
  <si>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</si>
  <si>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</si>
  <si>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</si>
  <si>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</si>
  <si>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</si>
  <si>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</si>
  <si>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</si>
  <si>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</si>
  <si>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</si>
  <si>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</si>
  <si>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</si>
  <si>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</si>
  <si>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</si>
  <si>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</si>
  <si>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</si>
  <si>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</si>
  <si>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</si>
  <si>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</si>
  <si>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</si>
  <si>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</si>
  <si>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</si>
  <si>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</si>
  <si>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</si>
  <si>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</si>
  <si>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</si>
  <si>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</si>
  <si>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</si>
  <si>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</si>
  <si>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</si>
  <si>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</si>
  <si>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</si>
  <si>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</si>
  <si>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</si>
  <si>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</si>
  <si>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</si>
  <si>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</si>
  <si>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</si>
  <si>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</si>
  <si>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</si>
  <si>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</si>
  <si>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</si>
  <si>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</si>
  <si>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</si>
  <si>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</si>
  <si>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</si>
  <si>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</si>
  <si>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</si>
  <si>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</si>
  <si>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</si>
  <si>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</si>
  <si>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</si>
  <si>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</si>
  <si>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</si>
  <si>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</si>
  <si>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</si>
  <si>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</si>
  <si>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</si>
  <si>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</si>
  <si>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</si>
  <si>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</si>
  <si>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</si>
  <si>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</si>
  <si>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</si>
  <si>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</si>
  <si>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</si>
  <si>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</si>
  <si>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</si>
  <si>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</si>
  <si>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</si>
  <si>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</si>
  <si>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</si>
  <si>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</si>
  <si>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</si>
  <si>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</si>
  <si>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</si>
  <si>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</si>
  <si>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</si>
  <si>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</si>
  <si>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</si>
  <si>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</si>
  <si>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</si>
  <si>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</si>
  <si>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</si>
  <si>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</si>
  <si>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</si>
  <si>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</si>
  <si>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</si>
  <si>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</si>
  <si>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</si>
  <si>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</si>
  <si>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</si>
  <si>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</si>
  <si>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</si>
  <si>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</si>
  <si>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</si>
  <si>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</si>
  <si>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</si>
  <si>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</si>
  <si>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</si>
  <si>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</si>
  <si>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</si>
  <si>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</si>
  <si>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</si>
  <si>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</si>
  <si>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</si>
  <si>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</si>
  <si>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</si>
  <si>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</si>
  <si>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</si>
  <si>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</si>
  <si>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</si>
  <si>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</si>
  <si>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</si>
  <si>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</si>
  <si>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</si>
  <si>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</si>
  <si>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</si>
  <si>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</si>
  <si>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</si>
  <si>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</si>
  <si>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</si>
  <si>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</si>
  <si>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</si>
  <si>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</si>
  <si>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</si>
  <si>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</si>
  <si>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</si>
  <si>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</si>
  <si>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</si>
  <si>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</si>
  <si>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</si>
  <si>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</si>
  <si>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</si>
  <si>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</si>
  <si>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</si>
  <si>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</si>
  <si>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</si>
  <si>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</si>
  <si>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</si>
  <si>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</si>
  <si>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</si>
  <si>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</si>
  <si>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</si>
  <si>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</si>
  <si>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</si>
  <si>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</si>
  <si>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</si>
  <si>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</si>
  <si>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</si>
  <si>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</si>
  <si>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</si>
  <si>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</si>
  <si>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</si>
  <si>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</si>
  <si>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</si>
  <si>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</si>
  <si>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</si>
  <si>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</si>
  <si>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</si>
  <si>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</si>
  <si>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</si>
  <si>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</si>
  <si>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</si>
  <si>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</si>
  <si>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</si>
  <si>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</si>
  <si>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</si>
  <si>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</si>
  <si>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</si>
  <si>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</si>
  <si>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</si>
  <si>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</si>
  <si>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</si>
  <si>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</si>
  <si>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</si>
  <si>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</si>
  <si>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</si>
  <si>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</si>
  <si>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</si>
  <si>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</si>
  <si>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</si>
  <si>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</si>
  <si>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</si>
  <si>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</si>
  <si>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</si>
  <si>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</si>
  <si>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</si>
  <si>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</si>
  <si>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</si>
  <si>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</si>
  <si>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</si>
  <si>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</si>
  <si>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</si>
  <si>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</si>
  <si>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</si>
  <si>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</si>
  <si>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</si>
  <si>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</si>
  <si>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</si>
  <si>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</si>
  <si>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</si>
  <si>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</si>
  <si>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</si>
  <si>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</si>
  <si>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</si>
  <si>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</si>
  <si>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</si>
  <si>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</si>
  <si>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</si>
  <si>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</si>
  <si>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</si>
  <si>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</si>
  <si>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</si>
  <si>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</si>
  <si>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</si>
  <si>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</si>
  <si>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</si>
  <si>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</si>
  <si>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</si>
  <si>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</si>
  <si>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</si>
  <si>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</si>
  <si>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</si>
  <si>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</si>
  <si>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</si>
  <si>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</si>
  <si>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</si>
  <si>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</si>
  <si>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</si>
  <si>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</si>
  <si>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</si>
  <si>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</si>
  <si>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</si>
  <si>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</si>
  <si>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</si>
  <si>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</si>
  <si>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</si>
  <si>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</si>
  <si>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</si>
  <si>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</si>
  <si>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</si>
  <si>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</si>
  <si>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</si>
  <si>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</si>
  <si>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</si>
  <si>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</si>
  <si>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</si>
  <si>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</si>
  <si>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</si>
  <si>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</si>
  <si>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</si>
  <si>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</si>
  <si>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</si>
  <si>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</si>
  <si>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</si>
  <si>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</si>
  <si>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</si>
  <si>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</si>
  <si>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</si>
  <si>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</si>
  <si>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</si>
  <si>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</si>
  <si>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</si>
  <si>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</si>
  <si>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</si>
  <si>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</si>
  <si>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</si>
  <si>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</si>
  <si>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</si>
  <si>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</si>
  <si>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</si>
  <si>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</si>
  <si>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</si>
  <si>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</si>
  <si>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</si>
  <si>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</si>
  <si>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</si>
  <si>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</si>
  <si>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</si>
  <si>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</si>
  <si>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</si>
  <si>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</si>
  <si>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</si>
  <si>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</si>
  <si>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</si>
  <si>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</si>
  <si>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</si>
  <si>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</si>
  <si>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</si>
  <si>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</si>
  <si>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</si>
  <si>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</si>
  <si>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</si>
  <si>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</si>
  <si>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</si>
  <si>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</si>
  <si>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</si>
  <si>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</si>
  <si>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</si>
  <si>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</si>
  <si>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</si>
  <si>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</si>
  <si>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</si>
  <si>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</si>
  <si>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</si>
  <si>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</si>
  <si>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</si>
  <si>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</si>
  <si>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</si>
  <si>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</si>
  <si>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</si>
  <si>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</si>
  <si>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</si>
  <si>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</si>
  <si>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</si>
  <si>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</si>
  <si>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</si>
  <si>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</si>
  <si>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</si>
  <si>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</si>
  <si>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</si>
  <si>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</si>
  <si>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</si>
  <si>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</si>
  <si>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</si>
  <si>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</si>
  <si>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</si>
  <si>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</si>
  <si>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</si>
  <si>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</si>
  <si>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</si>
  <si>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</si>
  <si>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</si>
  <si>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</si>
  <si>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</si>
  <si>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</si>
  <si>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</si>
  <si>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</si>
  <si>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</si>
  <si>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</si>
  <si>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</si>
  <si>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</si>
  <si>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</si>
  <si>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</si>
  <si>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</si>
  <si>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</si>
  <si>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</si>
  <si>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</si>
  <si>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</si>
  <si>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</si>
  <si>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</si>
  <si>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</si>
  <si>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</si>
  <si>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</si>
  <si>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</si>
  <si>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</si>
  <si>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</si>
  <si>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</si>
  <si>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</si>
  <si>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</si>
  <si>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</si>
  <si>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</si>
  <si>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</si>
  <si>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</si>
  <si>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</si>
  <si>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</si>
  <si>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</si>
  <si>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</si>
  <si>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</si>
  <si>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</si>
  <si>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</si>
  <si>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</si>
  <si>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</si>
  <si>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</si>
  <si>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</si>
  <si>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</si>
  <si>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</si>
  <si>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</si>
  <si>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</si>
  <si>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</si>
  <si>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</si>
  <si>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</si>
  <si>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</si>
  <si>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</si>
  <si>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</si>
  <si>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</si>
  <si>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</si>
  <si>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</si>
  <si>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</si>
  <si>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</si>
  <si>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</si>
  <si>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</si>
  <si>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</si>
  <si>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</si>
  <si>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</si>
  <si>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</si>
  <si>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</si>
  <si>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</si>
  <si>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</si>
  <si>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</si>
  <si>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</si>
  <si>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</si>
  <si>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</si>
  <si>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</si>
  <si>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</si>
  <si>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</si>
  <si>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</si>
  <si>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</si>
  <si>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</si>
  <si>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</si>
  <si>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</si>
  <si>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</si>
  <si>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</si>
  <si>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</si>
  <si>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</si>
  <si>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</si>
  <si>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</si>
  <si>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</si>
  <si>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</si>
  <si>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</si>
  <si>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</si>
  <si>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</si>
  <si>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</si>
  <si>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</si>
  <si>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</si>
  <si>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</si>
  <si>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</si>
  <si>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</si>
  <si>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</si>
  <si>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</si>
  <si>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</si>
  <si>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</si>
  <si>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</si>
  <si>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</si>
  <si>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</si>
  <si>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</si>
  <si>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</si>
  <si>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</si>
  <si>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</si>
  <si>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</si>
  <si>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</si>
  <si>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</si>
  <si>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</si>
  <si>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</si>
  <si>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</si>
  <si>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</si>
  <si>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</si>
  <si>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</si>
  <si>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</si>
  <si>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</si>
  <si>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</si>
  <si>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</si>
  <si>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</si>
  <si>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</si>
  <si>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</si>
  <si>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</si>
  <si>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</si>
  <si>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</si>
  <si>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</si>
  <si>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</si>
  <si>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</si>
  <si>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</si>
  <si>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</si>
  <si>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</si>
  <si>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</si>
  <si>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</si>
  <si>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</si>
  <si>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</si>
  <si>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</si>
  <si>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</si>
  <si>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</si>
  <si>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</si>
  <si>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</si>
  <si>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</si>
  <si>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</si>
  <si>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</si>
  <si>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</si>
  <si>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</si>
  <si>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</si>
  <si>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</si>
  <si>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</si>
  <si>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</si>
  <si>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</si>
  <si>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</si>
  <si>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</si>
  <si>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</si>
  <si>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</si>
  <si>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</si>
  <si>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</si>
  <si>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</si>
  <si>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</si>
  <si>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</si>
  <si>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</si>
  <si>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</si>
  <si>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</si>
  <si>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</si>
  <si>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</si>
  <si>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</si>
  <si>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</si>
  <si>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</si>
  <si>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</si>
  <si>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</si>
  <si>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</si>
  <si>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</si>
  <si>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</si>
  <si>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</si>
  <si>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</si>
  <si>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</si>
  <si>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</si>
  <si>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</si>
  <si>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</si>
  <si>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</si>
  <si>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</si>
  <si>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</si>
  <si>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</si>
  <si>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</si>
  <si>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</si>
  <si>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</si>
  <si>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</si>
  <si>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</si>
  <si>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</si>
  <si>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</si>
  <si>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</si>
  <si>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</si>
  <si>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</si>
  <si>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</si>
  <si>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</si>
  <si>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</si>
  <si>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</si>
  <si>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</si>
  <si>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</si>
  <si>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</si>
  <si>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</si>
  <si>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</si>
  <si>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</si>
  <si>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</si>
  <si>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</si>
  <si>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</si>
  <si>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</si>
  <si>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</si>
  <si>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</si>
  <si>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</si>
  <si>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</si>
  <si>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</si>
  <si>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</si>
  <si>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</si>
  <si>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</si>
  <si>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</si>
  <si>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</si>
  <si>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</si>
  <si>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</si>
  <si>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</si>
  <si>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</si>
  <si>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</si>
  <si>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</si>
  <si>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</si>
  <si>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</si>
  <si>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</si>
  <si>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</si>
  <si>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</si>
  <si>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</si>
  <si>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</si>
  <si>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</si>
  <si>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</si>
  <si>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</si>
  <si>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</si>
  <si>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</si>
  <si>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</si>
  <si>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</si>
  <si>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</si>
  <si>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</si>
  <si>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</si>
  <si>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</si>
  <si>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</si>
  <si>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</si>
  <si>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</si>
  <si>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</si>
  <si>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</si>
  <si>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</si>
  <si>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</si>
  <si>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</si>
  <si>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</si>
  <si>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</si>
  <si>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</si>
  <si>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</si>
  <si>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</si>
  <si>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</si>
  <si>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</si>
  <si>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</si>
  <si>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</si>
  <si>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</si>
  <si>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</si>
  <si>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</si>
  <si>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</si>
  <si>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</si>
  <si>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</si>
  <si>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</si>
  <si>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</si>
  <si>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</si>
  <si>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</si>
  <si>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</si>
  <si>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</si>
  <si>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</si>
  <si>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</si>
  <si>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</si>
  <si>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</si>
  <si>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</si>
  <si>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</si>
  <si>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</si>
  <si>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</si>
  <si>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</si>
  <si>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</si>
  <si>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</si>
  <si>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</si>
  <si>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</si>
  <si>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</si>
  <si>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</si>
  <si>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</si>
  <si>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</si>
  <si>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</si>
  <si>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</si>
  <si>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</si>
  <si>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</si>
  <si>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</si>
  <si>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</si>
  <si>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</si>
  <si>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</si>
  <si>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</si>
  <si>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</si>
  <si>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</si>
  <si>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</si>
  <si>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</si>
  <si>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</si>
  <si>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</si>
  <si>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</si>
  <si>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</si>
  <si>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</si>
  <si>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</si>
  <si>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</si>
  <si>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</si>
  <si>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</si>
  <si>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</si>
  <si>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</si>
  <si>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</si>
  <si>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</si>
  <si>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</si>
  <si>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</si>
  <si>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</si>
  <si>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</si>
  <si>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</si>
  <si>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</si>
  <si>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</si>
  <si>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</si>
  <si>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</si>
  <si>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</si>
  <si>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</si>
  <si>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</si>
  <si>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</si>
  <si>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</si>
  <si>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</si>
  <si>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</si>
  <si>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</si>
  <si>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</si>
  <si>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</si>
  <si>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</si>
  <si>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</si>
  <si>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</si>
  <si>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</si>
  <si>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</si>
  <si>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</si>
  <si>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</si>
  <si>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</si>
  <si>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</si>
  <si>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</si>
  <si>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</si>
  <si>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</si>
  <si>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</si>
  <si>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</si>
  <si>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</si>
  <si>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</si>
  <si>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</si>
  <si>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</si>
  <si>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</si>
  <si>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</si>
  <si>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</si>
  <si>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</si>
  <si>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</si>
  <si>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</si>
  <si>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</si>
  <si>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</si>
  <si>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</si>
  <si>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</si>
  <si>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</si>
  <si>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</si>
  <si>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</si>
  <si>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</si>
  <si>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</si>
  <si>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</si>
  <si>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</si>
  <si>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</si>
  <si>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</si>
  <si>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</si>
  <si>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</si>
  <si>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</si>
  <si>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</si>
  <si>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</si>
  <si>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</si>
  <si>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</si>
  <si>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</si>
  <si>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</si>
  <si>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</si>
  <si>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</si>
  <si>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</si>
  <si>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</si>
  <si>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</si>
  <si>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</si>
  <si>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</si>
  <si>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</si>
  <si>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</si>
  <si>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</si>
  <si>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</si>
  <si>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</si>
  <si>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</si>
  <si>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</si>
  <si>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</si>
  <si>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</si>
  <si>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</si>
  <si>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</si>
  <si>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</si>
  <si>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</si>
  <si>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</si>
  <si>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</si>
  <si>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</si>
  <si>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</si>
  <si>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</si>
  <si>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</si>
  <si>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</si>
  <si>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</si>
  <si>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</si>
  <si>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</si>
  <si>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</si>
  <si>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</si>
  <si>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</si>
  <si>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</si>
  <si>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</si>
  <si>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</si>
  <si>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</si>
  <si>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</si>
  <si>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</si>
  <si>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</si>
  <si>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</si>
  <si>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</si>
  <si>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</si>
  <si>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</si>
  <si>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</si>
  <si>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</si>
  <si>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</si>
  <si>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</si>
  <si>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</si>
  <si>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</si>
  <si>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</si>
  <si>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</si>
  <si>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</si>
  <si>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</si>
  <si>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</si>
  <si>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</si>
  <si>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</si>
  <si>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</si>
  <si>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</si>
  <si>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</si>
  <si>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</si>
  <si>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</si>
  <si>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</si>
  <si>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</si>
  <si>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</si>
  <si>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</si>
  <si>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</si>
  <si>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</si>
  <si>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</si>
  <si>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</si>
  <si>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</si>
  <si>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</si>
  <si>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</si>
  <si>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</si>
  <si>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</si>
  <si>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</si>
  <si>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</si>
  <si>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</si>
  <si>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</si>
  <si>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</si>
  <si>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</si>
  <si>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</si>
  <si>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</si>
  <si>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</si>
  <si>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</si>
  <si>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</si>
  <si>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</si>
  <si>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</si>
  <si>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</si>
  <si>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</si>
  <si>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</si>
  <si>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</si>
  <si>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</si>
  <si>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</si>
  <si>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</si>
  <si>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</si>
  <si>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</si>
  <si>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</si>
  <si>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</si>
  <si>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</si>
  <si>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</si>
  <si>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</si>
  <si>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</si>
  <si>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</si>
  <si>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</si>
  <si>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</si>
  <si>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</si>
  <si>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</si>
  <si>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</si>
  <si>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</si>
  <si>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</si>
  <si>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</si>
  <si>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</si>
  <si>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</si>
  <si>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</si>
  <si>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</si>
  <si>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</si>
  <si>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</si>
  <si>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</si>
  <si>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</si>
  <si>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</si>
  <si>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</si>
  <si>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</si>
  <si>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</si>
  <si>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</si>
  <si>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</si>
  <si>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</si>
  <si>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</si>
  <si>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</si>
  <si>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</si>
  <si>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</si>
  <si>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</si>
  <si>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</si>
  <si>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</si>
  <si>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</si>
  <si>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</si>
  <si>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</si>
  <si>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</si>
  <si>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</si>
  <si>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</si>
  <si>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</si>
  <si>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</si>
  <si>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</si>
  <si>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</si>
  <si>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</si>
  <si>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</si>
  <si>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</si>
  <si>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</si>
  <si>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</si>
  <si>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</si>
  <si>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</si>
  <si>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</si>
  <si>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</si>
  <si>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</si>
  <si>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</si>
  <si>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</si>
  <si>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</si>
  <si>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</si>
  <si>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</si>
  <si>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</si>
  <si>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</si>
  <si>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</si>
  <si>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</si>
  <si>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</si>
  <si>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</si>
  <si>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</si>
  <si>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</si>
  <si>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</si>
  <si>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</si>
  <si>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</si>
  <si>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</si>
  <si>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</si>
  <si>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</si>
  <si>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</si>
  <si>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</si>
  <si>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</si>
  <si>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</si>
  <si>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</si>
  <si>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</si>
  <si>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</si>
  <si>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</si>
  <si>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</si>
  <si>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</si>
  <si>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</si>
  <si>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</si>
  <si>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</si>
  <si>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</si>
  <si>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</si>
  <si>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</si>
  <si>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</si>
  <si>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</si>
  <si>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</si>
  <si>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</si>
  <si>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</si>
  <si>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</si>
  <si>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</si>
  <si>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</si>
  <si>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</si>
  <si>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</si>
  <si>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</si>
  <si>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</si>
  <si>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</si>
  <si>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</si>
  <si>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</si>
  <si>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</si>
  <si>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</si>
  <si>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</si>
  <si>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</si>
  <si>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</si>
  <si>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</si>
  <si>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</si>
  <si>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</si>
  <si>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</si>
  <si>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</si>
  <si>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</si>
  <si>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</si>
  <si>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</si>
  <si>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</si>
  <si>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</si>
  <si>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</si>
  <si>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</si>
  <si>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</si>
  <si>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</si>
  <si>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</si>
  <si>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</si>
  <si>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</si>
  <si>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</si>
  <si>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</si>
  <si>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</si>
  <si>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</si>
  <si>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</si>
  <si>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</si>
  <si>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</si>
  <si>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</si>
  <si>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</si>
  <si>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</si>
  <si>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</si>
  <si>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</si>
  <si>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</si>
  <si>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</si>
  <si>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</si>
  <si>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</si>
  <si>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</si>
  <si>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</si>
  <si>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</si>
  <si>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</si>
  <si>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</si>
  <si>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</si>
  <si>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</si>
  <si>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</si>
  <si>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</si>
  <si>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</si>
  <si>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</si>
  <si>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</si>
  <si>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</si>
  <si>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</si>
  <si>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</si>
  <si>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</si>
  <si>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</si>
  <si>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</si>
  <si>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</si>
  <si>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</si>
  <si>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</si>
  <si>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</si>
  <si>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</si>
  <si>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</si>
  <si>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</si>
  <si>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</si>
  <si>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</si>
  <si>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</si>
  <si>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</si>
  <si>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</si>
  <si>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</si>
  <si>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</si>
  <si>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</si>
  <si>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</si>
  <si>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</si>
  <si>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</si>
  <si>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</si>
  <si>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</si>
  <si>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</si>
  <si>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</si>
  <si>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</si>
  <si>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</si>
  <si>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</si>
  <si>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</si>
  <si>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</si>
  <si>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</si>
  <si>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</si>
  <si>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</si>
  <si>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</si>
  <si>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</si>
  <si>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</si>
  <si>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</si>
  <si>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</si>
  <si>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</si>
  <si>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</si>
  <si>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</si>
  <si>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</si>
  <si>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</si>
  <si>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</si>
  <si>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</si>
  <si>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</si>
  <si>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</si>
  <si>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</si>
  <si>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</si>
  <si>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</si>
  <si>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</si>
  <si>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</si>
  <si>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</si>
  <si>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</si>
  <si>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</si>
  <si>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</si>
  <si>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</si>
  <si>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</si>
  <si>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</si>
  <si>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</si>
  <si>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</si>
  <si>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</si>
  <si>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</si>
  <si>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</si>
  <si>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</si>
  <si>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</si>
  <si>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</si>
  <si>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</si>
  <si>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</si>
  <si>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</si>
  <si>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</si>
  <si>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</si>
  <si>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</si>
  <si>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</si>
  <si>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</si>
  <si>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</si>
  <si>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</si>
  <si>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</si>
  <si>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</si>
  <si>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</si>
  <si>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</si>
  <si>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</si>
  <si>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</si>
  <si>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</si>
  <si>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</si>
  <si>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</si>
  <si>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</si>
  <si>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</si>
  <si>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</si>
  <si>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</si>
  <si>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</si>
  <si>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</si>
  <si>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</si>
  <si>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</si>
  <si>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</si>
  <si>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</si>
  <si>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</si>
  <si>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</si>
  <si>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</si>
  <si>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</si>
  <si>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</si>
  <si>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</si>
  <si>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</si>
  <si>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</si>
  <si>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</si>
  <si>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</si>
  <si>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</si>
  <si>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</si>
  <si>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</si>
  <si>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</si>
  <si>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</si>
  <si>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</si>
  <si>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</si>
  <si>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</si>
  <si>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</si>
  <si>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</si>
  <si>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</si>
  <si>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</si>
  <si>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</si>
  <si>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</si>
  <si>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</si>
  <si>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</si>
  <si>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</si>
  <si>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</si>
  <si>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</si>
  <si>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</si>
  <si>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</si>
  <si>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</si>
  <si>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</si>
  <si>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</si>
  <si>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</si>
  <si>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</si>
  <si>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</si>
  <si>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</si>
  <si>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</si>
  <si>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</si>
  <si>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</si>
  <si>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</si>
  <si>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</si>
  <si>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</si>
  <si>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</si>
  <si>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</si>
  <si>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</si>
  <si>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</si>
  <si>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</si>
  <si>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</si>
  <si>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</si>
  <si>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</si>
  <si>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</si>
  <si>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</si>
  <si>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</si>
  <si>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</si>
  <si>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</si>
  <si>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</si>
  <si>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</si>
  <si>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</si>
  <si>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</si>
  <si>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</si>
  <si>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</si>
  <si>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</si>
  <si>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</si>
  <si>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</si>
  <si>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</si>
  <si>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</si>
  <si>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</si>
  <si>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</si>
  <si>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</si>
  <si>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</si>
  <si>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</si>
  <si>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</si>
  <si>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</si>
  <si>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</si>
  <si>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</si>
  <si>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</si>
  <si>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</si>
  <si>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</si>
  <si>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</si>
  <si>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</si>
  <si>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</si>
  <si>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</si>
  <si>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</si>
  <si>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</si>
  <si>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</si>
  <si>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</si>
  <si>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</si>
  <si>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</si>
  <si>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</si>
  <si>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</si>
  <si>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</si>
  <si>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</si>
  <si>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</si>
  <si>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</si>
  <si>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</si>
  <si>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</si>
  <si>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</si>
  <si>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</si>
  <si>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</si>
  <si>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</si>
  <si>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</si>
  <si>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</si>
  <si>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</si>
  <si>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</si>
  <si>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</si>
  <si>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</si>
  <si>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</si>
  <si>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</si>
  <si>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</si>
  <si>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</si>
  <si>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</si>
  <si>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</si>
  <si>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</si>
  <si>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</si>
  <si>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</si>
  <si>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</si>
  <si>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</si>
  <si>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</si>
  <si>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</si>
  <si>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</si>
  <si>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</si>
  <si>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</si>
  <si>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</si>
  <si>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</si>
  <si>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</si>
  <si>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</si>
  <si>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</si>
  <si>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</si>
  <si>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</si>
  <si>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</si>
  <si>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</si>
  <si>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</si>
  <si>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</si>
  <si>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</si>
  <si>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</si>
  <si>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</si>
  <si>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</si>
  <si>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</si>
  <si>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</si>
  <si>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</si>
  <si>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</si>
  <si>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</si>
  <si>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</si>
  <si>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</si>
  <si>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</si>
  <si>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</si>
  <si>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</si>
  <si>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</si>
  <si>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</si>
  <si>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</si>
  <si>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</si>
  <si>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</si>
  <si>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</si>
  <si>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</si>
  <si>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</si>
  <si>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</si>
  <si>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</si>
  <si>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</si>
  <si>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</si>
  <si>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</si>
  <si>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</si>
  <si>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</si>
  <si>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</si>
  <si>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</si>
  <si>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</si>
  <si>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</si>
  <si>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</si>
  <si>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</si>
  <si>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</si>
  <si>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</si>
  <si>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</si>
  <si>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</si>
  <si>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</si>
  <si>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</si>
  <si>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</si>
  <si>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</si>
  <si>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</si>
  <si>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</si>
  <si>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</si>
  <si>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</si>
  <si>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</si>
  <si>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</si>
  <si>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</si>
  <si>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</si>
  <si>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</si>
  <si>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</si>
  <si>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</si>
  <si>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</si>
  <si>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</si>
  <si>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</si>
  <si>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</si>
  <si>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</si>
  <si>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</si>
  <si>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</si>
  <si>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</si>
  <si>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</si>
  <si>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</si>
  <si>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</si>
  <si>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</si>
  <si>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</si>
  <si>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</si>
  <si>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</si>
  <si>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</si>
  <si>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</si>
  <si>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</si>
  <si>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</si>
  <si>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</si>
  <si>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</si>
  <si>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</si>
  <si>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</si>
  <si>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</si>
  <si>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</si>
  <si>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</si>
  <si>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</si>
  <si>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</si>
  <si>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</si>
  <si>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</si>
  <si>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</si>
  <si>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</si>
  <si>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</si>
  <si>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</si>
  <si>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</si>
  <si>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</si>
  <si>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</si>
  <si>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</si>
  <si>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</si>
  <si>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</si>
  <si>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</si>
  <si>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</si>
  <si>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</si>
  <si>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</si>
  <si>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</si>
  <si>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</si>
  <si>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</si>
  <si>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</si>
  <si>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</si>
  <si>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</si>
  <si>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</si>
  <si>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</si>
  <si>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</si>
  <si>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</si>
  <si>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</si>
  <si>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</si>
  <si>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</si>
  <si>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</si>
  <si>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</si>
  <si>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</si>
  <si>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</si>
  <si>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</si>
  <si>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</si>
  <si>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</si>
  <si>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</si>
  <si>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</si>
  <si>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</si>
  <si>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</si>
  <si>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</si>
  <si>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</si>
  <si>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</si>
  <si>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</si>
  <si>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</si>
  <si>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</si>
  <si>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</si>
  <si>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</si>
  <si>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</si>
  <si>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</si>
  <si>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</si>
  <si>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</si>
  <si>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</si>
  <si>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</si>
  <si>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</si>
  <si>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</si>
  <si>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</si>
  <si>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</si>
  <si>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</si>
  <si>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</si>
  <si>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</si>
  <si>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</si>
  <si>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</si>
  <si>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</si>
  <si>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</si>
  <si>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</si>
  <si>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</si>
  <si>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</si>
  <si>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</si>
  <si>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</si>
  <si>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</si>
  <si>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</si>
  <si>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</si>
  <si>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</si>
  <si>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</si>
  <si>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</si>
  <si>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</si>
  <si>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</si>
  <si>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</si>
  <si>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</si>
  <si>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</si>
  <si>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</si>
  <si>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</si>
  <si>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</si>
  <si>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</si>
  <si>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</si>
  <si>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</si>
  <si>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</si>
  <si>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</si>
  <si>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</si>
  <si>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</si>
  <si>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</si>
  <si>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</si>
  <si>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</si>
  <si>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</si>
  <si>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</si>
  <si>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</si>
  <si>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</si>
  <si>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</si>
  <si>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</si>
  <si>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</si>
  <si>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</si>
  <si>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</si>
  <si>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</si>
  <si>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</si>
  <si>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</si>
  <si>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</si>
  <si>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</si>
  <si>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</si>
  <si>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</si>
  <si>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</si>
  <si>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</si>
  <si>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</si>
  <si>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</si>
  <si>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</si>
  <si>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</si>
  <si>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</si>
  <si>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</si>
  <si>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</si>
  <si>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</si>
  <si>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</si>
  <si>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</si>
  <si>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</si>
  <si>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</si>
  <si>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</si>
  <si>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</si>
  <si>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</si>
  <si>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</si>
  <si>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</si>
  <si>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</si>
  <si>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</si>
  <si>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</si>
  <si>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</si>
  <si>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</si>
  <si>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</si>
  <si>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</si>
  <si>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</si>
  <si>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</si>
  <si>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</si>
  <si>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</si>
  <si>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</si>
  <si>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</si>
  <si>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</si>
  <si>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</si>
  <si>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</si>
  <si>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</si>
  <si>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</si>
  <si>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</si>
  <si>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</si>
  <si>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</si>
  <si>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</si>
  <si>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</si>
  <si>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</si>
  <si>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</si>
  <si>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</si>
  <si>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</si>
  <si>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</si>
  <si>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</si>
  <si>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</si>
  <si>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</si>
  <si>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</si>
  <si>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</si>
  <si>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</si>
  <si>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</si>
  <si>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</si>
  <si>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</si>
  <si>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</si>
  <si>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</si>
  <si>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</si>
  <si>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</si>
  <si>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</si>
  <si>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</si>
  <si>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</si>
  <si>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</si>
  <si>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</si>
  <si>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</si>
  <si>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</si>
  <si>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</si>
  <si>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</si>
  <si>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</si>
  <si>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</si>
  <si>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</si>
  <si>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</si>
  <si>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</si>
  <si>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</si>
  <si>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</si>
  <si>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</si>
  <si>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</si>
  <si>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</si>
  <si>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</si>
  <si>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</si>
  <si>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</si>
  <si>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</si>
  <si>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</si>
  <si>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</si>
  <si>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</si>
  <si>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</si>
  <si>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</si>
  <si>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</si>
  <si>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</si>
  <si>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</si>
  <si>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</si>
  <si>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</si>
  <si>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</si>
  <si>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</si>
  <si>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</si>
  <si>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</si>
  <si>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</si>
  <si>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</si>
  <si>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</si>
  <si>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</si>
  <si>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</si>
  <si>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</si>
  <si>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</si>
  <si>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</si>
  <si>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</si>
  <si>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</si>
  <si>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</si>
  <si>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</si>
  <si>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</si>
  <si>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</si>
  <si>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</si>
  <si>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</si>
  <si>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</si>
  <si>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</si>
  <si>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</si>
  <si>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</si>
  <si>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</si>
  <si>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</si>
  <si>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</si>
  <si>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</si>
  <si>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</si>
  <si>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</si>
  <si>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</si>
  <si>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</si>
  <si>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</si>
  <si>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</si>
  <si>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</si>
  <si>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</si>
  <si>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</si>
  <si>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</si>
  <si>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</si>
  <si>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</si>
  <si>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</si>
  <si>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</si>
  <si>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</si>
  <si>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</si>
  <si>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</si>
  <si>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</si>
  <si>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</si>
  <si>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</si>
  <si>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</si>
  <si>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</si>
  <si>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</si>
  <si>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</si>
  <si>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</si>
  <si>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</si>
  <si>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</si>
  <si>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</si>
  <si>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</si>
  <si>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</si>
  <si>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</si>
  <si>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</si>
  <si>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</si>
  <si>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</si>
  <si>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</si>
  <si>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</si>
  <si>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</si>
  <si>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</si>
  <si>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</si>
  <si>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</si>
  <si>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</si>
  <si>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</si>
  <si>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</si>
  <si>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</si>
  <si>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</si>
  <si>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</si>
  <si>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</si>
  <si>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</si>
  <si>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</si>
  <si>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</si>
  <si>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</si>
  <si>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</si>
  <si>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</si>
  <si>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</si>
  <si>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</si>
  <si>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</si>
  <si>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</si>
  <si>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</si>
  <si>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</si>
  <si>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</si>
  <si>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</si>
  <si>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</si>
  <si>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</si>
  <si>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</si>
  <si>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</si>
  <si>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</si>
  <si>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</si>
  <si>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</si>
  <si>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</si>
  <si>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</si>
  <si>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</si>
  <si>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</si>
  <si>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</si>
  <si>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</si>
  <si>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</si>
  <si>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</si>
  <si>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</si>
  <si>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</si>
  <si>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</si>
  <si>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</si>
  <si>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</si>
  <si>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</si>
  <si>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</si>
  <si>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</si>
  <si>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</si>
  <si>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</si>
  <si>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</si>
  <si>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</si>
  <si>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</si>
  <si>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</si>
  <si>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</si>
  <si>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</si>
  <si>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</si>
  <si>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</si>
  <si>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</si>
  <si>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</si>
  <si>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</si>
  <si>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</si>
  <si>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</si>
  <si>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</si>
  <si>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</si>
  <si>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</si>
  <si>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</si>
  <si>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</si>
  <si>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</si>
  <si>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</si>
  <si>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</si>
  <si>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</si>
  <si>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</si>
  <si>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</si>
  <si>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</si>
  <si>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</si>
  <si>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</si>
  <si>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</si>
  <si>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</si>
  <si>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</si>
  <si>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</si>
  <si>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</si>
  <si>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</si>
  <si>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</si>
  <si>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</si>
  <si>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</si>
  <si>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</si>
  <si>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</si>
  <si>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</si>
  <si>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</si>
  <si>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</si>
  <si>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</si>
  <si>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</si>
  <si>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</si>
  <si>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</si>
  <si>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</si>
  <si>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</si>
  <si>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</si>
  <si>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</si>
  <si>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</si>
  <si>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</si>
  <si>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</si>
  <si>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</si>
  <si>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</si>
  <si>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</si>
  <si>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</si>
  <si>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</si>
  <si>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</si>
  <si>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</si>
  <si>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</si>
  <si>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</si>
  <si>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</si>
  <si>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</si>
  <si>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</si>
  <si>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</si>
  <si>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</si>
  <si>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</si>
  <si>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</si>
  <si>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</si>
  <si>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</si>
  <si>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</si>
  <si>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</si>
  <si>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</si>
  <si>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</si>
  <si>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</si>
  <si>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</si>
  <si>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</si>
  <si>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</si>
  <si>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</si>
  <si>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</si>
  <si>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</si>
  <si>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</si>
  <si>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</si>
  <si>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</si>
  <si>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</si>
  <si>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</si>
  <si>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</si>
  <si>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</si>
  <si>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</si>
  <si>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</si>
  <si>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</si>
  <si>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</si>
  <si>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</si>
  <si>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</si>
  <si>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</si>
  <si>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</si>
  <si>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</si>
  <si>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</si>
  <si>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</si>
  <si>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</si>
  <si>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</si>
  <si>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</si>
  <si>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</si>
  <si>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</si>
  <si>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</si>
  <si>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</si>
  <si>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</si>
  <si>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</si>
  <si>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</si>
  <si>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</si>
  <si>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</si>
  <si>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</si>
  <si>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</si>
  <si>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</si>
  <si>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</si>
  <si>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</si>
  <si>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</si>
  <si>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</si>
  <si>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</si>
  <si>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</si>
  <si>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</si>
  <si>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</si>
  <si>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</si>
  <si>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</si>
  <si>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</si>
  <si>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</si>
  <si>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</si>
  <si>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</si>
  <si>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</si>
  <si>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</si>
  <si>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</si>
  <si>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</si>
  <si>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</si>
  <si>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</si>
  <si>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</si>
  <si>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</si>
  <si>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</si>
  <si>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</si>
  <si>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</si>
  <si>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</si>
  <si>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</si>
  <si>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</si>
  <si>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</si>
  <si>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</si>
  <si>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</si>
  <si>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</si>
  <si>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</si>
  <si>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</si>
  <si>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</si>
  <si>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</si>
  <si>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</si>
  <si>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</si>
  <si>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</si>
  <si>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</si>
  <si>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</si>
  <si>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</si>
  <si>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</si>
  <si>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</si>
  <si>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</si>
  <si>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</si>
  <si>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</si>
  <si>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</si>
  <si>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</si>
  <si>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</si>
  <si>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</si>
  <si>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</si>
  <si>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</si>
  <si>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</si>
  <si>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</si>
  <si>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</si>
  <si>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</si>
  <si>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</si>
  <si>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</si>
  <si>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</si>
  <si>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</si>
  <si>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</si>
  <si>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</si>
  <si>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</si>
  <si>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</si>
  <si>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</si>
  <si>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</si>
  <si>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</si>
  <si>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</si>
  <si>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</si>
  <si>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</si>
  <si>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</si>
  <si>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</si>
  <si>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</si>
  <si>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</si>
  <si>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</si>
  <si>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</si>
  <si>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</si>
  <si>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</si>
  <si>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</si>
  <si>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</si>
  <si>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</si>
  <si>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</si>
  <si>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</si>
  <si>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</si>
  <si>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</si>
  <si>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</si>
  <si>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</si>
  <si>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</si>
  <si>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</si>
  <si>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</si>
  <si>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</si>
  <si>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</si>
  <si>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</si>
  <si>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</si>
  <si>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</si>
  <si>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</si>
  <si>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</si>
  <si>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</si>
  <si>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</si>
  <si>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</si>
  <si>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</si>
  <si>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</si>
  <si>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</si>
  <si>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</si>
  <si>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</si>
  <si>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</si>
  <si>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</si>
  <si>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</si>
  <si>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</si>
  <si>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</si>
  <si>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</si>
  <si>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</si>
  <si>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</si>
  <si>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</si>
  <si>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</si>
  <si>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</si>
  <si>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</si>
  <si>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</si>
  <si>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</si>
  <si>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</si>
  <si>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</si>
  <si>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</si>
  <si>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</si>
  <si>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</si>
  <si>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</si>
  <si>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</si>
  <si>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</si>
  <si>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</si>
  <si>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</si>
  <si>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</si>
  <si>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</si>
  <si>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</si>
  <si>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</si>
  <si>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</si>
  <si>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</si>
  <si>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</si>
  <si>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</si>
  <si>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</si>
  <si>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</si>
  <si>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</si>
  <si>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</si>
  <si>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</si>
  <si>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</si>
  <si>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</si>
  <si>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</si>
  <si>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</si>
  <si>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</si>
  <si>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</si>
  <si>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</si>
  <si>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</si>
  <si>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</si>
  <si>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</si>
  <si>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</si>
  <si>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</si>
  <si>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</si>
  <si>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</si>
  <si>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</si>
  <si>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</si>
  <si>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</si>
  <si>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</si>
  <si>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</si>
  <si>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</si>
  <si>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</si>
  <si>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</si>
  <si>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</si>
  <si>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</si>
  <si>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</si>
  <si>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</si>
  <si>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</si>
  <si>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</si>
  <si>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</si>
  <si>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</si>
  <si>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</si>
  <si>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</si>
  <si>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</si>
  <si>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</si>
  <si>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</si>
  <si>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</si>
  <si>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</si>
  <si>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</si>
  <si>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</si>
  <si>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</si>
  <si>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</si>
  <si>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</si>
  <si>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</si>
  <si>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</si>
  <si>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</si>
  <si>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</si>
  <si>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</si>
  <si>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</si>
  <si>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</si>
  <si>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</si>
  <si>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</si>
  <si>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</si>
  <si>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</si>
  <si>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</si>
  <si>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</si>
  <si>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</si>
  <si>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</si>
  <si>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</si>
  <si>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</si>
  <si>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</si>
  <si>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</si>
  <si>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</si>
  <si>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</si>
  <si>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</si>
  <si>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</si>
  <si>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</si>
  <si>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</si>
  <si>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</si>
  <si>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</si>
  <si>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</si>
  <si>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</si>
  <si>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</si>
  <si>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</si>
  <si>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</si>
  <si>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</si>
  <si>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</si>
  <si>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</si>
  <si>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</si>
  <si>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</si>
  <si>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</si>
  <si>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</si>
  <si>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</si>
  <si>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</si>
  <si>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</si>
  <si>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</si>
  <si>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</si>
  <si>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</si>
  <si>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</si>
  <si>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</si>
  <si>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</si>
  <si>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</si>
  <si>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</si>
  <si>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</si>
  <si>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</si>
  <si>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</si>
  <si>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</si>
  <si>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</si>
  <si>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</si>
  <si>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</si>
  <si>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</si>
  <si>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</si>
  <si>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</si>
  <si>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</si>
  <si>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</si>
  <si>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</si>
  <si>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</si>
  <si>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</si>
  <si>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</si>
  <si>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</si>
  <si>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</si>
  <si>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</si>
  <si>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</si>
  <si>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</si>
  <si>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</si>
  <si>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</si>
  <si>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</si>
  <si>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</si>
  <si>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</si>
  <si>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</si>
  <si>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</si>
  <si>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</si>
  <si>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</si>
  <si>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</si>
  <si>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</si>
  <si>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</si>
  <si>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</si>
  <si>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</si>
  <si>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</si>
  <si>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</si>
  <si>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</si>
  <si>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</si>
  <si>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</si>
  <si>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</si>
  <si>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</si>
  <si>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</si>
  <si>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</si>
  <si>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</si>
  <si>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</si>
  <si>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</si>
  <si>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</si>
  <si>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</si>
  <si>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</si>
  <si>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</si>
  <si>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</si>
  <si>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</si>
  <si>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</si>
  <si>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</si>
  <si>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</si>
  <si>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</si>
  <si>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</si>
  <si>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</si>
  <si>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</si>
  <si>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</si>
  <si>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</si>
  <si>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</si>
  <si>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</si>
  <si>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</si>
  <si>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</si>
  <si>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</si>
  <si>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</si>
  <si>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</si>
  <si>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</si>
  <si>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</si>
  <si>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</si>
  <si>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</si>
  <si>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</si>
  <si>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</si>
  <si>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</si>
  <si>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</si>
  <si>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</si>
  <si>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</si>
  <si>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</si>
  <si>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</si>
  <si>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</si>
  <si>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</si>
  <si>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</si>
  <si>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</si>
  <si>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</si>
  <si>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</si>
  <si>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</si>
  <si>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</si>
  <si>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</si>
  <si>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</si>
  <si>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</si>
  <si>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</si>
  <si>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</si>
  <si>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</si>
  <si>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</si>
  <si>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</si>
  <si>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</si>
  <si>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</si>
  <si>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</si>
  <si>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</si>
  <si>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</si>
  <si>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</si>
  <si>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</si>
  <si>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</si>
  <si>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</si>
  <si>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</si>
  <si>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</si>
  <si>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</si>
  <si>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</si>
  <si>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</si>
  <si>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</si>
  <si>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</si>
  <si>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</si>
  <si>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</si>
  <si>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</si>
  <si>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</si>
  <si>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</si>
  <si>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</si>
  <si>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</si>
  <si>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</si>
  <si>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</si>
  <si>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</si>
  <si>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</si>
  <si>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</si>
  <si>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</si>
  <si>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</si>
  <si>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</si>
  <si>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</si>
  <si>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</si>
  <si>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</si>
  <si>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</si>
  <si>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</si>
  <si>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</si>
  <si>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</si>
  <si>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</si>
  <si>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</si>
  <si>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</si>
  <si>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</si>
  <si>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</si>
  <si>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</si>
  <si>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</si>
  <si>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</si>
  <si>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</si>
  <si>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</si>
  <si>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</si>
  <si>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</si>
  <si>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</si>
  <si>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</si>
  <si>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</si>
  <si>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</si>
  <si>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</si>
  <si>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</si>
  <si>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</si>
  <si>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</si>
  <si>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</si>
  <si>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</si>
  <si>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</si>
  <si>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</si>
  <si>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</si>
  <si>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</si>
  <si>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</si>
  <si>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</si>
  <si>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</si>
  <si>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</si>
  <si>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</si>
  <si>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</si>
  <si>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</si>
  <si>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</si>
  <si>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</si>
  <si>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</si>
  <si>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</si>
  <si>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</si>
  <si>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</si>
  <si>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</si>
  <si>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</si>
  <si>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</si>
  <si>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</si>
  <si>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</si>
  <si>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</si>
  <si>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</si>
  <si>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</si>
  <si>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</si>
  <si>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</si>
  <si>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</si>
  <si>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</si>
  <si>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</si>
  <si>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</si>
  <si>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</si>
  <si>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</si>
  <si>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</si>
  <si>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</si>
  <si>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</si>
  <si>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</si>
  <si>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</si>
  <si>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</si>
  <si>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</si>
  <si>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</si>
  <si>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</si>
  <si>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</si>
  <si>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</si>
  <si>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</si>
  <si>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</si>
  <si>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</si>
  <si>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</si>
  <si>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</si>
  <si>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</si>
  <si>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</si>
  <si>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</si>
  <si>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</si>
  <si>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</si>
  <si>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</si>
  <si>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</si>
  <si>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</si>
  <si>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</si>
  <si>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</si>
  <si>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</si>
  <si>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</si>
  <si>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</si>
  <si>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</si>
  <si>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</si>
  <si>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</si>
  <si>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</si>
  <si>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</si>
  <si>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</si>
  <si>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</si>
  <si>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</si>
  <si>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</si>
  <si>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</si>
  <si>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</si>
  <si>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</si>
  <si>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</si>
  <si>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</si>
  <si>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</si>
  <si>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</si>
  <si>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</si>
  <si>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</si>
  <si>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</si>
  <si>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</si>
  <si>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</si>
  <si>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</si>
  <si>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</si>
  <si>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</si>
  <si>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</si>
  <si>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</si>
  <si>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</si>
  <si>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</si>
  <si>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</si>
  <si>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</si>
  <si>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</si>
  <si>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</si>
  <si>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</si>
  <si>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</si>
  <si>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</si>
  <si>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</si>
  <si>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</si>
  <si>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</si>
  <si>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</si>
  <si>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</si>
  <si>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</si>
  <si>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</si>
  <si>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</si>
  <si>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</si>
  <si>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</si>
  <si>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</si>
  <si>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</si>
  <si>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</si>
  <si>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</si>
  <si>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</si>
  <si>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</si>
  <si>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</si>
  <si>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</si>
  <si>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</si>
  <si>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</si>
  <si>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</si>
  <si>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</si>
  <si>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</si>
  <si>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</si>
  <si>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</si>
  <si>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</si>
  <si>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</si>
  <si>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</si>
  <si>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</si>
  <si>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</si>
  <si>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</si>
  <si>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</si>
  <si>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</si>
  <si>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</si>
  <si>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</si>
  <si>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</si>
  <si>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</si>
  <si>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</si>
  <si>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</si>
  <si>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</si>
  <si>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</si>
  <si>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</si>
  <si>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</si>
  <si>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</si>
  <si>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</si>
  <si>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</si>
  <si>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</si>
  <si>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</si>
  <si>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</si>
  <si>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</si>
  <si>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</si>
  <si>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</si>
  <si>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</si>
  <si>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</si>
  <si>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</si>
  <si>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</si>
  <si>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</si>
  <si>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</si>
  <si>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</si>
  <si>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</si>
  <si>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</si>
  <si>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</si>
  <si>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</si>
  <si>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</si>
  <si>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</si>
  <si>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</si>
  <si>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</si>
  <si>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</si>
  <si>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</si>
  <si>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</si>
  <si>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</si>
  <si>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</si>
  <si>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</si>
  <si>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</si>
  <si>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</si>
  <si>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</si>
  <si>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</si>
  <si>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</si>
  <si>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</si>
  <si>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</si>
  <si>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</si>
  <si>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</si>
  <si>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</si>
  <si>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</si>
  <si>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</si>
  <si>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</si>
  <si>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</si>
  <si>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</si>
  <si>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</si>
  <si>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</si>
  <si>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</si>
  <si>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</si>
  <si>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</si>
  <si>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</si>
  <si>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</si>
  <si>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</si>
  <si>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</si>
  <si>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</si>
  <si>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</si>
  <si>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</si>
  <si>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</si>
  <si>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</si>
  <si>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</si>
  <si>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</si>
  <si>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</si>
  <si>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</si>
  <si>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</si>
  <si>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</si>
  <si>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</si>
  <si>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</si>
  <si>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</si>
  <si>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</si>
  <si>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</si>
  <si>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</si>
  <si>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</si>
  <si>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</si>
  <si>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</si>
  <si>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</si>
  <si>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</si>
  <si>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</si>
  <si>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</si>
  <si>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</si>
  <si>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</si>
  <si>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</si>
  <si>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</si>
  <si>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</si>
  <si>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</si>
  <si>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</si>
  <si>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</si>
  <si>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</si>
  <si>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</si>
  <si>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</si>
  <si>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</si>
  <si>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</si>
  <si>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</si>
  <si>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</si>
  <si>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</si>
  <si>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</si>
  <si>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</si>
  <si>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</si>
  <si>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</si>
  <si>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</si>
  <si>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</si>
  <si>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</si>
  <si>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</si>
  <si>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</si>
  <si>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</si>
  <si>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</si>
  <si>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</si>
  <si>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</si>
  <si>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</si>
  <si>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</si>
  <si>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</si>
  <si>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</si>
  <si>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</si>
  <si>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</si>
  <si>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</si>
  <si>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</si>
  <si>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</si>
  <si>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</si>
  <si>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</si>
  <si>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</si>
  <si>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</si>
  <si>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</si>
  <si>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</si>
  <si>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</si>
  <si>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</si>
  <si>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</si>
  <si>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</si>
  <si>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</si>
  <si>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</si>
  <si>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</si>
  <si>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</si>
  <si>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</si>
  <si>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</si>
  <si>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</si>
  <si>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</si>
  <si>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</si>
  <si>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</si>
  <si>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</si>
  <si>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</si>
  <si>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</si>
  <si>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</si>
  <si>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</si>
  <si>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</si>
  <si>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</si>
  <si>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</si>
  <si>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</si>
  <si>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</si>
  <si>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</si>
  <si>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</si>
  <si>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</si>
  <si>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</si>
  <si>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</si>
  <si>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</si>
  <si>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</si>
  <si>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</si>
  <si>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</si>
  <si>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</si>
  <si>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</si>
  <si>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</si>
  <si>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</si>
  <si>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</si>
  <si>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</si>
  <si>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</si>
  <si>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</si>
  <si>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</si>
  <si>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</si>
  <si>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</si>
  <si>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</si>
  <si>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</si>
  <si>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</si>
  <si>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</si>
  <si>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</si>
  <si>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</si>
  <si>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</si>
  <si>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</si>
  <si>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</si>
  <si>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</si>
  <si>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</si>
  <si>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</si>
  <si>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</si>
  <si>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</si>
  <si>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</si>
  <si>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</si>
  <si>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</si>
  <si>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</si>
  <si>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</si>
  <si>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</si>
  <si>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</si>
  <si>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</si>
  <si>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</si>
  <si>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</si>
  <si>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</si>
  <si>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</si>
  <si>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</si>
  <si>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</si>
  <si>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</si>
  <si>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</si>
  <si>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</si>
  <si>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</si>
  <si>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</si>
  <si>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</si>
  <si>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</si>
  <si>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</si>
  <si>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</si>
  <si>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</si>
  <si>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</si>
  <si>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</si>
  <si>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</si>
  <si>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</si>
  <si>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</si>
  <si>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</si>
  <si>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</si>
  <si>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</si>
  <si>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</si>
  <si>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</si>
  <si>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</si>
  <si>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</si>
  <si>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</si>
  <si>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</si>
  <si>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</si>
  <si>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</si>
  <si>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</si>
  <si>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</si>
  <si>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</si>
  <si>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</si>
  <si>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</si>
  <si>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</si>
  <si>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</si>
  <si>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</si>
  <si>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</si>
  <si>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</si>
  <si>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</si>
  <si>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</si>
  <si>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</si>
  <si>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</si>
  <si>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</si>
  <si>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</si>
  <si>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</si>
  <si>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</si>
  <si>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</si>
  <si>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</si>
  <si>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</si>
  <si>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</si>
  <si>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</si>
  <si>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</si>
  <si>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</si>
  <si>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</si>
  <si>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</si>
  <si>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</si>
  <si>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</si>
  <si>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</si>
  <si>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</si>
  <si>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</si>
  <si>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</si>
  <si>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</si>
  <si>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</si>
  <si>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</si>
  <si>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</si>
  <si>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</si>
  <si>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</si>
  <si>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</si>
  <si>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</si>
  <si>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</si>
  <si>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</si>
  <si>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</si>
  <si>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</si>
  <si>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</si>
  <si>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</si>
  <si>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</si>
  <si>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</si>
  <si>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</si>
  <si>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</si>
  <si>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</si>
  <si>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</si>
  <si>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</si>
  <si>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</si>
  <si>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</si>
  <si>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</si>
  <si>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</si>
  <si>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</si>
  <si>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</si>
  <si>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</si>
  <si>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</si>
  <si>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</si>
  <si>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</si>
  <si>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</si>
  <si>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</si>
  <si>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</si>
  <si>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</si>
  <si>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</si>
  <si>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</si>
  <si>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</si>
  <si>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</si>
  <si>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</si>
  <si>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</si>
  <si>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</si>
  <si>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</si>
  <si>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</si>
  <si>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</si>
  <si>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</si>
  <si>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</si>
  <si>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</si>
  <si>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</si>
  <si>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</si>
  <si>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</si>
  <si>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</si>
  <si>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</si>
  <si>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</si>
  <si>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</si>
  <si>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</si>
  <si>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</si>
  <si>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</si>
  <si>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</si>
  <si>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</si>
  <si>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</si>
  <si>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</si>
  <si>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</si>
  <si>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</si>
  <si>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</si>
  <si>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</si>
  <si>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</si>
  <si>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</si>
  <si>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</si>
  <si>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</si>
  <si>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</si>
  <si>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</si>
  <si>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</si>
  <si>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</si>
  <si>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</si>
  <si>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</si>
  <si>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</si>
  <si>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</si>
  <si>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</si>
  <si>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</si>
  <si>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</si>
  <si>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</si>
  <si>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</si>
  <si>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</si>
  <si>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</si>
  <si>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</si>
  <si>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</si>
  <si>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</si>
  <si>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</si>
  <si>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</si>
  <si>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</si>
  <si>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</si>
  <si>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</si>
  <si>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</si>
  <si>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</si>
  <si>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</si>
  <si>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</si>
  <si>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</si>
  <si>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</si>
  <si>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</si>
  <si>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</si>
  <si>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</si>
  <si>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</si>
  <si>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</si>
  <si>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</si>
  <si>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</si>
  <si>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</si>
  <si>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</si>
  <si>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</si>
  <si>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</si>
  <si>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</si>
  <si>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</si>
  <si>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</si>
  <si>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</si>
  <si>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</si>
  <si>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</si>
  <si>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</si>
  <si>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</si>
  <si>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</si>
  <si>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</si>
  <si>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</si>
  <si>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</si>
  <si>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</si>
  <si>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</si>
  <si>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</si>
  <si>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</si>
  <si>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</si>
  <si>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</si>
  <si>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</si>
  <si>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</si>
  <si>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</si>
  <si>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</si>
  <si>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</si>
  <si>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</si>
  <si>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</si>
  <si>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</si>
  <si>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</si>
  <si>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</si>
  <si>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</si>
  <si>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</si>
  <si>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</si>
  <si>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</si>
  <si>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</si>
  <si>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</si>
  <si>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</si>
  <si>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</si>
  <si>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</si>
  <si>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</si>
  <si>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</si>
  <si>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</si>
  <si>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</si>
  <si>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</si>
  <si>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</si>
  <si>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</si>
  <si>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</si>
  <si>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</si>
  <si>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</si>
  <si>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</si>
  <si>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</si>
  <si>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</si>
  <si>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</si>
  <si>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</si>
  <si>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</si>
  <si>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</si>
  <si>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</si>
  <si>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</si>
  <si>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</si>
  <si>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</si>
  <si>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</si>
  <si>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</si>
  <si>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</si>
  <si>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</si>
  <si>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</si>
  <si>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</si>
  <si>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</si>
  <si>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</si>
  <si>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</si>
  <si>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</si>
  <si>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</si>
  <si>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</si>
  <si>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</si>
  <si>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</si>
  <si>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</si>
  <si>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</si>
  <si>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</si>
  <si>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</si>
  <si>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</si>
  <si>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</si>
  <si>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</si>
  <si>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</si>
  <si>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</si>
  <si>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</si>
  <si>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</si>
  <si>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</si>
  <si>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</si>
  <si>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</si>
  <si>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</si>
  <si>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</si>
  <si>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</si>
  <si>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</si>
  <si>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</si>
  <si>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</si>
  <si>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</si>
  <si>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</si>
  <si>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</si>
  <si>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</si>
  <si>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</si>
  <si>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</si>
  <si>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</si>
  <si>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</si>
  <si>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</si>
  <si>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</si>
  <si>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</si>
  <si>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</si>
  <si>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</si>
  <si>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</si>
  <si>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</si>
  <si>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</si>
  <si>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</si>
  <si>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</si>
  <si>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</si>
  <si>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</si>
  <si>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</si>
  <si>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</si>
  <si>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</si>
  <si>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</si>
  <si>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</si>
  <si>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</si>
  <si>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</si>
  <si>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</si>
  <si>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</si>
  <si>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</si>
  <si>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</si>
  <si>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</si>
  <si>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</si>
  <si>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</si>
  <si>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</si>
  <si>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</si>
  <si>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</si>
  <si>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</si>
  <si>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</si>
  <si>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</si>
  <si>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</si>
  <si>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</si>
  <si>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</si>
  <si>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</si>
  <si>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</si>
  <si>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</si>
  <si>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</si>
  <si>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</si>
  <si>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</si>
  <si>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</si>
  <si>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</si>
  <si>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</si>
  <si>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</si>
  <si>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</si>
  <si>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</si>
  <si>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</si>
  <si>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</si>
  <si>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</si>
  <si>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</si>
  <si>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</si>
  <si>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</si>
  <si>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</si>
  <si>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</si>
  <si>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</si>
  <si>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</si>
  <si>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</si>
  <si>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</si>
  <si>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</si>
  <si>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</si>
  <si>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</si>
  <si>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</si>
  <si>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</si>
  <si>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</si>
  <si>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</si>
  <si>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</si>
  <si>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</si>
  <si>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</si>
  <si>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</si>
  <si>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</si>
  <si>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</si>
  <si>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</si>
  <si>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</si>
  <si>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</si>
  <si>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</si>
  <si>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</si>
  <si>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</si>
  <si>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</si>
  <si>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</si>
  <si>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</si>
  <si>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</si>
  <si>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</si>
  <si>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</si>
  <si>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</si>
  <si>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</si>
  <si>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</si>
  <si>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</si>
  <si>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</si>
  <si>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</si>
  <si>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</si>
  <si>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</si>
  <si>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</si>
  <si>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</si>
  <si>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</si>
  <si>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</si>
  <si>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</si>
  <si>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</si>
  <si>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</si>
  <si>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</si>
  <si>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</si>
  <si>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</si>
  <si>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</si>
  <si>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</si>
  <si>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</si>
  <si>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</si>
  <si>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</si>
  <si>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</si>
  <si>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</si>
  <si>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</si>
  <si>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</si>
  <si>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</si>
  <si>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</si>
  <si>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</si>
  <si>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</si>
  <si>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</si>
  <si>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</si>
  <si>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</si>
  <si>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</si>
  <si>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</si>
  <si>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</si>
  <si>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</si>
  <si>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</si>
  <si>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</si>
  <si>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</si>
  <si>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</si>
  <si>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</si>
  <si>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</si>
  <si>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</si>
  <si>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</si>
  <si>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</si>
  <si>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</si>
  <si>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</si>
  <si>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</si>
  <si>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</si>
  <si>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</si>
  <si>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</si>
  <si>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</si>
  <si>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</si>
  <si>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</si>
  <si>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</si>
  <si>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</si>
  <si>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</si>
  <si>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</si>
  <si>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</si>
  <si>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</si>
  <si>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</si>
  <si>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</si>
  <si>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</si>
  <si>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</si>
  <si>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</si>
  <si>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</si>
  <si>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</si>
  <si>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</si>
  <si>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</si>
  <si>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</si>
  <si>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</si>
  <si>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</si>
  <si>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</si>
  <si>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</si>
  <si>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</si>
  <si>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</si>
  <si>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</si>
  <si>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</si>
  <si>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</si>
  <si>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</si>
  <si>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</si>
  <si>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</si>
  <si>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</si>
  <si>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</si>
  <si>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</si>
  <si>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</si>
  <si>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</si>
  <si>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</si>
  <si>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</si>
  <si>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</si>
  <si>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</si>
  <si>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</si>
  <si>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</si>
  <si>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</si>
  <si>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</si>
  <si>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</si>
  <si>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</si>
  <si>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</si>
  <si>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</si>
  <si>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</si>
  <si>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</si>
  <si>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</si>
  <si>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</si>
  <si>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</si>
  <si>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</si>
  <si>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</si>
  <si>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</si>
  <si>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</si>
  <si>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</si>
  <si>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</si>
  <si>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</si>
  <si>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</si>
  <si>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</si>
  <si>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</si>
  <si>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</si>
  <si>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</si>
  <si>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</si>
  <si>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</si>
  <si>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</si>
  <si>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</si>
  <si>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</si>
  <si>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</si>
  <si>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</si>
  <si>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</si>
  <si>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</si>
  <si>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</si>
  <si>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</si>
  <si>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</si>
  <si>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</si>
  <si>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</si>
  <si>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</si>
  <si>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</si>
  <si>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</si>
  <si>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</si>
  <si>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</si>
  <si>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</si>
  <si>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</si>
  <si>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</si>
  <si>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</si>
  <si>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</si>
  <si>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</si>
  <si>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</si>
  <si>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</si>
  <si>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</si>
  <si>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</si>
  <si>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</si>
  <si>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</si>
  <si>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</si>
  <si>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</si>
  <si>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</si>
  <si>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</si>
  <si>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</si>
  <si>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</si>
  <si>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</si>
  <si>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</si>
  <si>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</si>
  <si>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</si>
  <si>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</si>
  <si>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</si>
  <si>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</si>
  <si>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</si>
  <si>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</si>
  <si>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</si>
  <si>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</si>
  <si>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</si>
  <si>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</si>
  <si>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</si>
  <si>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</si>
  <si>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</si>
  <si>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</si>
  <si>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</si>
  <si>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</si>
  <si>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</si>
  <si>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</si>
  <si>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</si>
  <si>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</si>
  <si>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</si>
  <si>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</si>
  <si>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</si>
  <si>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</si>
  <si>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</si>
  <si>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</si>
  <si>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</si>
  <si>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</si>
  <si>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</si>
  <si>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</si>
  <si>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</si>
  <si>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</si>
  <si>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</si>
  <si>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</si>
  <si>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</si>
  <si>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</si>
  <si>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</si>
  <si>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</si>
  <si>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</si>
  <si>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</si>
  <si>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</si>
  <si>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</si>
  <si>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</si>
  <si>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</si>
  <si>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</si>
  <si>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</si>
  <si>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</si>
  <si>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</si>
  <si>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</si>
  <si>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</si>
  <si>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</si>
  <si>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</si>
  <si>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</si>
  <si>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</si>
  <si>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</si>
  <si>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</si>
  <si>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</si>
  <si>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</si>
  <si>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</si>
  <si>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</si>
  <si>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</si>
  <si>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</si>
  <si>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</si>
  <si>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</si>
  <si>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</si>
  <si>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</si>
  <si>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</si>
  <si>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</si>
  <si>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</si>
  <si>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</si>
  <si>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</si>
  <si>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</si>
  <si>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</si>
  <si>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</si>
  <si>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</si>
  <si>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</si>
  <si>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</si>
  <si>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</si>
  <si>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</si>
  <si>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</si>
  <si>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</si>
  <si>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</si>
  <si>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</si>
  <si>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</si>
  <si>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</si>
  <si>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</si>
  <si>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</si>
  <si>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</si>
  <si>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</si>
  <si>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</si>
  <si>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</si>
  <si>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</si>
  <si>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</si>
  <si>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</si>
  <si>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</si>
  <si>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</si>
  <si>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</si>
  <si>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</si>
  <si>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</si>
  <si>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</si>
  <si>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</si>
  <si>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</si>
  <si>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</si>
  <si>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</si>
  <si>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</si>
  <si>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</si>
  <si>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</si>
  <si>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</si>
  <si>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</si>
  <si>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</si>
  <si>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</si>
  <si>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</si>
  <si>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</si>
  <si>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</si>
  <si>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</si>
  <si>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</si>
  <si>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</si>
  <si>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</si>
  <si>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</si>
  <si>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</si>
  <si>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</si>
  <si>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</si>
  <si>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</si>
  <si>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</si>
  <si>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</si>
  <si>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</si>
  <si>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</si>
  <si>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</si>
  <si>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</si>
  <si>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</si>
  <si>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</si>
  <si>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</si>
  <si>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</si>
  <si>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</si>
  <si>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</si>
  <si>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</si>
  <si>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</si>
  <si>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</si>
  <si>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</si>
  <si>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</si>
  <si>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</si>
  <si>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</si>
  <si>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</si>
  <si>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</si>
  <si>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</si>
  <si>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</si>
  <si>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</si>
  <si>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</si>
  <si>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</si>
  <si>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</si>
  <si>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</si>
  <si>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</si>
  <si>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</si>
  <si>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</si>
  <si>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</si>
  <si>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</si>
  <si>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</si>
  <si>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</si>
  <si>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</si>
  <si>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</si>
  <si>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</si>
  <si>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</si>
  <si>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</si>
  <si>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</si>
  <si>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</si>
  <si>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</si>
  <si>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</si>
  <si>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</si>
  <si>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</si>
  <si>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</si>
  <si>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</si>
  <si>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</si>
  <si>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</si>
  <si>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</si>
  <si>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</si>
  <si>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</si>
  <si>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</si>
  <si>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</si>
  <si>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</si>
  <si>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</si>
  <si>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</si>
  <si>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</si>
  <si>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</si>
  <si>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</si>
  <si>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</si>
  <si>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</si>
  <si>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</si>
  <si>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</si>
  <si>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</si>
  <si>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</si>
  <si>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</si>
  <si>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</si>
  <si>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</si>
  <si>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</si>
  <si>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</si>
  <si>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</si>
  <si>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</si>
  <si>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</si>
  <si>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</si>
  <si>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</si>
  <si>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</si>
  <si>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</si>
  <si>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</si>
  <si>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</si>
  <si>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</si>
  <si>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</si>
  <si>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</si>
  <si>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</si>
  <si>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</si>
  <si>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</si>
  <si>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</si>
  <si>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</si>
  <si>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</si>
  <si>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</si>
  <si>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</si>
  <si>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</si>
  <si>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</si>
  <si>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</si>
  <si>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</si>
  <si>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</si>
  <si>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</si>
  <si>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</si>
  <si>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</si>
  <si>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</si>
  <si>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</si>
  <si>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</si>
  <si>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</si>
  <si>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</si>
  <si>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</si>
  <si>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</si>
  <si>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</si>
  <si>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</si>
  <si>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</si>
  <si>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</si>
  <si>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</si>
  <si>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</si>
  <si>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</si>
  <si>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</si>
  <si>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</si>
  <si>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</si>
  <si>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</si>
  <si>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</si>
  <si>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</si>
  <si>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</si>
  <si>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</si>
  <si>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</si>
  <si>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</si>
  <si>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</si>
  <si>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</si>
  <si>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</si>
  <si>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</si>
  <si>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</si>
  <si>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</si>
  <si>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</si>
  <si>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</si>
  <si>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</si>
  <si>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</si>
  <si>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</si>
  <si>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</si>
  <si>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</si>
  <si>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</si>
  <si>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</si>
  <si>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</si>
  <si>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</si>
  <si>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</si>
  <si>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</si>
  <si>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</si>
  <si>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</si>
  <si>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</si>
  <si>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</si>
  <si>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</si>
  <si>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</si>
  <si>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</si>
  <si>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</si>
  <si>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</si>
  <si>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</si>
  <si>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</si>
  <si>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</si>
  <si>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</si>
  <si>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</si>
  <si>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</si>
  <si>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</si>
  <si>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</si>
  <si>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</si>
  <si>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</si>
  <si>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</si>
  <si>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</si>
  <si>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</si>
  <si>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</si>
  <si>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</si>
  <si>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</si>
  <si>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</si>
  <si>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</si>
  <si>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</si>
  <si>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</si>
  <si>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</si>
  <si>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</si>
  <si>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</si>
  <si>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</si>
  <si>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</si>
  <si>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</si>
  <si>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</si>
  <si>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</si>
  <si>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</si>
  <si>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</si>
  <si>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</si>
  <si>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</si>
  <si>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</si>
  <si>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</si>
  <si>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</si>
  <si>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</si>
  <si>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</si>
  <si>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</si>
  <si>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</si>
  <si>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</si>
  <si>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</si>
  <si>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</si>
  <si>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</si>
  <si>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</si>
  <si>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</si>
  <si>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</si>
  <si>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</si>
  <si>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</si>
  <si>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</si>
  <si>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</si>
  <si>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</si>
  <si>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</si>
  <si>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</si>
  <si>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</si>
  <si>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</si>
  <si>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</si>
  <si>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</si>
  <si>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</si>
  <si>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</si>
  <si>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</si>
  <si>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</si>
  <si>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</si>
  <si>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</si>
  <si>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</si>
  <si>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</si>
  <si>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</si>
  <si>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</si>
  <si>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</si>
  <si>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</si>
  <si>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</si>
  <si>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</si>
  <si>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</si>
  <si>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</si>
  <si>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</si>
  <si>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</si>
  <si>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</si>
  <si>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</si>
  <si>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</si>
  <si>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</si>
  <si>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</si>
  <si>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</si>
  <si>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</si>
  <si>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</si>
  <si>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</si>
  <si>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</si>
  <si>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</si>
  <si>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</si>
  <si>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</si>
  <si>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</si>
  <si>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</si>
  <si>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</si>
  <si>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</si>
  <si>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</si>
  <si>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</si>
  <si>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</si>
  <si>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</si>
  <si>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</si>
  <si>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</si>
  <si>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</si>
  <si>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</si>
  <si>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</si>
  <si>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</si>
  <si>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</si>
  <si>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</si>
  <si>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</si>
  <si>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</si>
  <si>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</si>
  <si>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</si>
  <si>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</si>
  <si>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</si>
  <si>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</si>
  <si>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</si>
  <si>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</si>
  <si>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</si>
  <si>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</si>
  <si>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</si>
  <si>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</si>
  <si>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</si>
  <si>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</si>
  <si>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</si>
  <si>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</si>
  <si>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</si>
  <si>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</si>
  <si>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</si>
  <si>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</si>
  <si>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</si>
  <si>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</si>
  <si>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</si>
  <si>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</si>
  <si>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</si>
  <si>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</si>
  <si>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</si>
  <si>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</si>
  <si>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</si>
  <si>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</si>
  <si>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</si>
  <si>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</si>
  <si>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</si>
  <si>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</si>
  <si>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</si>
  <si>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</si>
  <si>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</si>
  <si>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</si>
  <si>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</si>
  <si>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</si>
  <si>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</si>
  <si>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</si>
  <si>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</si>
  <si>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</si>
  <si>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</si>
  <si>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</si>
  <si>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</si>
  <si>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</si>
  <si>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</si>
  <si>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</si>
  <si>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</si>
  <si>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</si>
  <si>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</si>
  <si>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</si>
  <si>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</si>
  <si>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</si>
  <si>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</si>
  <si>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</si>
  <si>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</si>
  <si>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</si>
  <si>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</si>
  <si>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</si>
  <si>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</si>
  <si>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</si>
  <si>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</si>
  <si>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</si>
  <si>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</si>
  <si>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</si>
  <si>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</si>
  <si>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</si>
  <si>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</si>
  <si>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</si>
  <si>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</si>
  <si>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</si>
  <si>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</si>
  <si>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</si>
  <si>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</si>
  <si>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</si>
  <si>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</si>
  <si>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</si>
  <si>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</si>
  <si>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</si>
  <si>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</si>
  <si>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</si>
  <si>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</si>
  <si>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</si>
  <si>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</si>
  <si>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</si>
  <si>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</si>
  <si>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</si>
  <si>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</si>
  <si>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</si>
  <si>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</si>
  <si>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</si>
  <si>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</si>
  <si>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</si>
  <si>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</si>
  <si>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</si>
  <si>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</si>
  <si>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</si>
  <si>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</si>
  <si>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</si>
  <si>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</si>
  <si>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</si>
  <si>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</si>
  <si>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</si>
  <si>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</si>
  <si>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</si>
  <si>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</si>
  <si>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</si>
  <si>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</si>
  <si>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</si>
  <si>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</si>
  <si>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</si>
  <si>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</si>
  <si>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</si>
  <si>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</si>
  <si>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</si>
  <si>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</si>
  <si>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</si>
  <si>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</si>
  <si>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</si>
  <si>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</si>
  <si>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</si>
  <si>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</si>
  <si>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</si>
  <si>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</si>
  <si>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</si>
  <si>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</si>
  <si>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</si>
  <si>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</si>
  <si>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</si>
  <si>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</si>
  <si>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</si>
  <si>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</si>
  <si>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</si>
  <si>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</si>
  <si>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</si>
  <si>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</si>
  <si>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</si>
  <si>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</si>
  <si>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</si>
  <si>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</si>
  <si>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</si>
  <si>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</si>
  <si>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</si>
  <si>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</si>
  <si>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</si>
  <si>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</si>
  <si>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</si>
  <si>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</si>
  <si>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</si>
  <si>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</si>
  <si>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</si>
  <si>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</si>
  <si>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</si>
  <si>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</si>
  <si>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</si>
  <si>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</si>
  <si>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</si>
  <si>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</si>
  <si>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</si>
  <si>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</si>
  <si>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</si>
  <si>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</si>
  <si>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</si>
  <si>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</si>
  <si>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</si>
  <si>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</si>
  <si>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</si>
  <si>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</si>
  <si>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</si>
  <si>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</si>
  <si>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</si>
  <si>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</si>
  <si>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</si>
  <si>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</si>
  <si>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</si>
  <si>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</si>
  <si>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</si>
  <si>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</si>
  <si>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</si>
  <si>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</si>
  <si>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</si>
  <si>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</si>
  <si>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</si>
  <si>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</si>
  <si>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</si>
  <si>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</si>
  <si>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</si>
  <si>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</si>
  <si>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</si>
  <si>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</si>
  <si>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</si>
  <si>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</si>
  <si>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</si>
  <si>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</si>
  <si>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</si>
  <si>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</si>
  <si>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</si>
  <si>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</si>
  <si>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</si>
  <si>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</si>
  <si>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</si>
  <si>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</si>
  <si>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</si>
  <si>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</si>
  <si>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</si>
  <si>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</si>
  <si>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</si>
  <si>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</si>
  <si>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</si>
  <si>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</si>
  <si>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</si>
  <si>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</si>
  <si>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</si>
  <si>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</si>
  <si>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</si>
  <si>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</si>
  <si>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</si>
  <si>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</si>
  <si>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</si>
  <si>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</si>
  <si>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</si>
  <si>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</si>
  <si>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</si>
  <si>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</si>
  <si>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</si>
  <si>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</si>
  <si>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</si>
  <si>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</si>
  <si>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</si>
  <si>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</si>
  <si>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</si>
  <si>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</si>
  <si>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</si>
  <si>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</si>
  <si>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</si>
  <si>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</si>
  <si>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</si>
  <si>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</si>
  <si>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</si>
  <si>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</si>
  <si>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</si>
  <si>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</si>
  <si>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</si>
  <si>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</si>
  <si>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</si>
  <si>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</si>
  <si>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</si>
  <si>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</si>
  <si>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</si>
  <si>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</si>
  <si>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</si>
  <si>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</si>
  <si>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</si>
  <si>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</si>
  <si>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</si>
  <si>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</si>
  <si>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</si>
  <si>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</si>
  <si>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</si>
  <si>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</si>
  <si>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</si>
  <si>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</si>
  <si>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</si>
  <si>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</si>
  <si>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</si>
  <si>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</si>
  <si>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</si>
  <si>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</si>
  <si>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</si>
  <si>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</si>
  <si>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</si>
  <si>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</si>
  <si>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</si>
  <si>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</si>
  <si>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</si>
  <si>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</si>
  <si>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</si>
  <si>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</si>
  <si>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</si>
  <si>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</si>
  <si>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</si>
  <si>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</si>
  <si>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</si>
  <si>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</si>
  <si>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</si>
  <si>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</si>
  <si>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</si>
  <si>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</si>
  <si>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</si>
  <si>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</si>
  <si>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</si>
  <si>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</si>
  <si>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</si>
  <si>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</si>
  <si>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</si>
  <si>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</si>
  <si>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</si>
  <si>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</si>
  <si>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</si>
  <si>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</si>
  <si>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</si>
  <si>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</si>
  <si>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</si>
  <si>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</si>
  <si>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</si>
  <si>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</si>
  <si>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</si>
  <si>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</si>
  <si>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</si>
  <si>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</si>
  <si>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</si>
  <si>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</si>
  <si>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</si>
  <si>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</si>
  <si>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</si>
  <si>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</si>
  <si>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</si>
  <si>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</si>
  <si>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</si>
  <si>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</si>
  <si>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</si>
  <si>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</si>
  <si>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</si>
  <si>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</si>
  <si>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</si>
  <si>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</si>
  <si>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</si>
  <si>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</si>
  <si>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</si>
  <si>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</si>
  <si>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</si>
  <si>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</si>
  <si>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</si>
  <si>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</si>
  <si>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</si>
  <si>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</si>
  <si>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</si>
  <si>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</si>
  <si>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</si>
  <si>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</si>
  <si>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</si>
  <si>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</si>
  <si>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</si>
  <si>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</si>
  <si>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</si>
  <si>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</si>
  <si>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</si>
  <si>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</si>
  <si>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</si>
  <si>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</si>
  <si>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</si>
  <si>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</si>
  <si>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</si>
  <si>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</si>
  <si>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</si>
  <si>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</si>
  <si>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</si>
  <si>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</si>
  <si>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</si>
  <si>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</si>
  <si>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</si>
  <si>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</si>
  <si>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</si>
  <si>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</si>
  <si>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</si>
  <si>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</si>
  <si>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</si>
  <si>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</si>
  <si>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</si>
  <si>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</si>
  <si>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</si>
  <si>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</si>
  <si>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</si>
  <si>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</si>
  <si>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</si>
  <si>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</si>
  <si>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</si>
  <si>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</si>
  <si>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</si>
  <si>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</si>
  <si>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</si>
  <si>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</si>
  <si>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</si>
  <si>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</si>
  <si>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</si>
  <si>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</si>
  <si>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</si>
  <si>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</si>
  <si>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</si>
  <si>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</si>
  <si>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</si>
  <si>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</si>
  <si>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</si>
  <si>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</si>
  <si>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</si>
  <si>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</si>
  <si>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</si>
  <si>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</si>
  <si>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</si>
  <si>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</si>
  <si>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</si>
  <si>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</si>
  <si>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</si>
  <si>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</si>
  <si>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</si>
  <si>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</si>
  <si>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</si>
  <si>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</si>
  <si>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</si>
  <si>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</si>
  <si>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</si>
  <si>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</si>
  <si>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</si>
  <si>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</si>
  <si>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</si>
  <si>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</si>
  <si>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</si>
  <si>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</si>
  <si>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</si>
  <si>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</si>
  <si>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</si>
  <si>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</si>
  <si>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</si>
  <si>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</si>
  <si>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</si>
  <si>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</si>
  <si>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</si>
  <si>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</si>
  <si>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</si>
  <si>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</si>
  <si>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</si>
  <si>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</si>
  <si>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</si>
  <si>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</si>
  <si>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</si>
  <si>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</si>
  <si>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</si>
  <si>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</si>
  <si>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</si>
  <si>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</si>
  <si>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</si>
  <si>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</si>
  <si>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</si>
  <si>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</si>
  <si>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</si>
  <si>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</si>
  <si>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</si>
  <si>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</si>
  <si>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</si>
  <si>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</si>
  <si>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</si>
  <si>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</si>
  <si>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</si>
  <si>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</si>
  <si>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</si>
  <si>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</si>
  <si>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</si>
  <si>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</si>
  <si>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</si>
  <si>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</si>
  <si>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</si>
  <si>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</si>
  <si>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</si>
  <si>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</si>
  <si>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</si>
  <si>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</si>
  <si>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</si>
  <si>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</si>
  <si>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</si>
  <si>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</si>
  <si>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</si>
  <si>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</si>
  <si>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</si>
  <si>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</si>
  <si>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</si>
  <si>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</si>
  <si>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</si>
  <si>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</si>
  <si>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</si>
  <si>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</si>
  <si>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</si>
  <si>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</si>
  <si>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</si>
  <si>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</si>
  <si>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</si>
  <si>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</si>
  <si>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</si>
  <si>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</si>
  <si>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</si>
  <si>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</si>
  <si>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</si>
  <si>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</si>
  <si>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</si>
  <si>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</si>
  <si>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</si>
  <si>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</si>
  <si>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</si>
  <si>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</si>
  <si>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</si>
  <si>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</si>
  <si>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</si>
  <si>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</si>
  <si>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</si>
  <si>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</si>
  <si>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</si>
  <si>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</si>
  <si>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</si>
  <si>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</si>
  <si>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</si>
  <si>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</si>
  <si>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</si>
  <si>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</si>
  <si>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</si>
  <si>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</si>
  <si>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</si>
  <si>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</si>
  <si>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</si>
  <si>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</si>
  <si>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</si>
  <si>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</si>
  <si>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</si>
  <si>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</si>
  <si>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</si>
  <si>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</si>
  <si>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</si>
  <si>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</si>
  <si>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</si>
  <si>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</si>
  <si>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</si>
  <si>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</si>
  <si>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</si>
  <si>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</si>
  <si>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</si>
  <si>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</si>
  <si>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</si>
  <si>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</si>
  <si>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</si>
  <si>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</si>
  <si>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</si>
  <si>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</si>
  <si>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</si>
  <si>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</si>
  <si>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</si>
  <si>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</si>
  <si>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</si>
  <si>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</si>
  <si>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</si>
  <si>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</si>
  <si>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</si>
  <si>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</si>
  <si>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</si>
  <si>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</si>
  <si>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</si>
  <si>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</si>
  <si>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</si>
  <si>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</si>
  <si>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</si>
  <si>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</si>
  <si>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</si>
  <si>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</si>
  <si>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</si>
  <si>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</si>
  <si>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</si>
  <si>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</si>
  <si>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</si>
  <si>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</si>
  <si>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</si>
  <si>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</si>
  <si>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</si>
  <si>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</si>
  <si>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</si>
  <si>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</si>
  <si>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</si>
  <si>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</si>
  <si>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</si>
  <si>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</si>
  <si>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</si>
  <si>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</si>
  <si>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</si>
  <si>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</si>
  <si>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</si>
  <si>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</si>
  <si>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</si>
  <si>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</si>
  <si>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</si>
  <si>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</si>
  <si>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</si>
  <si>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</si>
  <si>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</si>
  <si>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</si>
  <si>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</si>
  <si>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</si>
  <si>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</si>
  <si>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</si>
  <si>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</si>
  <si>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</si>
  <si>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</si>
  <si>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</si>
  <si>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</si>
  <si>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</si>
  <si>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</si>
  <si>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</si>
  <si>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</si>
  <si>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</si>
  <si>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</si>
  <si>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</si>
  <si>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</si>
  <si>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</si>
  <si>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</si>
  <si>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</si>
  <si>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</si>
  <si>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</si>
  <si>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</si>
  <si>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</si>
  <si>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</si>
  <si>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</si>
  <si>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</si>
  <si>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</si>
  <si>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</si>
  <si>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</si>
  <si>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</si>
  <si>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</si>
  <si>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</si>
  <si>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</si>
  <si>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</si>
  <si>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</si>
  <si>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</si>
  <si>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</si>
  <si>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</si>
  <si>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</si>
  <si>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</si>
  <si>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</si>
  <si>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</si>
  <si>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</si>
  <si>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</si>
  <si>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</si>
  <si>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</si>
  <si>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</si>
  <si>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</si>
  <si>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</si>
  <si>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</si>
  <si>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</si>
  <si>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</si>
  <si>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</si>
  <si>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</si>
  <si>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</si>
  <si>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</si>
  <si>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</si>
  <si>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</si>
  <si>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</si>
  <si>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</si>
  <si>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</si>
  <si>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</si>
  <si>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</si>
  <si>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</si>
  <si>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</si>
  <si>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</si>
  <si>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</si>
  <si>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</si>
  <si>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</si>
  <si>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</si>
  <si>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</si>
  <si>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</si>
  <si>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</si>
  <si>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</si>
  <si>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</si>
  <si>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</si>
  <si>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</si>
  <si>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</si>
  <si>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</si>
  <si>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</si>
  <si>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</si>
  <si>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</si>
  <si>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</si>
  <si>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</si>
  <si>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</si>
  <si>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</si>
  <si>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</si>
  <si>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</si>
  <si>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</si>
  <si>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</si>
  <si>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</si>
  <si>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</si>
  <si>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</si>
  <si>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</si>
  <si>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</si>
  <si>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</si>
  <si>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</si>
  <si>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</si>
  <si>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</si>
  <si>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</si>
  <si>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</si>
  <si>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</si>
  <si>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</si>
  <si>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</si>
  <si>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</si>
  <si>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</si>
  <si>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</si>
  <si>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</si>
  <si>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</si>
  <si>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</si>
  <si>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</si>
  <si>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</si>
  <si>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</si>
  <si>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</si>
  <si>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</si>
  <si>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</si>
  <si>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</si>
  <si>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</si>
  <si>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</si>
  <si>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</si>
  <si>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</si>
  <si>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</si>
  <si>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</si>
  <si>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</si>
  <si>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</si>
  <si>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</si>
  <si>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</si>
  <si>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</si>
  <si>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</si>
  <si>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</si>
  <si>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</si>
  <si>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</si>
  <si>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</si>
  <si>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</si>
  <si>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</si>
  <si>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</si>
  <si>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</si>
  <si>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</si>
  <si>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</si>
  <si>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</si>
  <si>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</si>
  <si>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</si>
  <si>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</si>
  <si>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</si>
  <si>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</si>
  <si>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</si>
  <si>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</si>
  <si>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</si>
  <si>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</si>
  <si>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</si>
  <si>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</si>
  <si>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</si>
  <si>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</si>
  <si>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</si>
  <si>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</si>
  <si>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</si>
  <si>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</si>
  <si>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</si>
  <si>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</si>
  <si>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</si>
  <si>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</si>
  <si>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</si>
  <si>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</si>
  <si>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</si>
  <si>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</si>
  <si>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</si>
  <si>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</si>
  <si>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</si>
  <si>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</si>
  <si>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</si>
  <si>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</si>
  <si>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</si>
  <si>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</si>
  <si>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</si>
  <si>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</si>
  <si>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</si>
  <si>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</si>
  <si>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</si>
  <si>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</si>
  <si>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</si>
  <si>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</si>
  <si>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</si>
  <si>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</si>
  <si>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</si>
  <si>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</si>
  <si>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</si>
  <si>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</si>
  <si>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</si>
  <si>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</si>
  <si>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</si>
  <si>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</si>
  <si>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</si>
  <si>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</si>
  <si>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</si>
  <si>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</si>
  <si>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</si>
  <si>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</si>
  <si>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</si>
  <si>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</si>
  <si>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</si>
  <si>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</si>
  <si>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</si>
  <si>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</si>
  <si>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</si>
  <si>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</si>
  <si>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</si>
  <si>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</si>
  <si>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</si>
  <si>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</si>
  <si>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</si>
  <si>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</si>
  <si>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</si>
  <si>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</si>
  <si>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</si>
  <si>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</si>
  <si>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</si>
  <si>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</si>
  <si>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</si>
  <si>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</si>
  <si>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</si>
  <si>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</si>
  <si>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</si>
  <si>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</si>
  <si>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</si>
  <si>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</si>
  <si>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</si>
  <si>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</si>
  <si>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</si>
  <si>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</si>
  <si>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</si>
  <si>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</si>
  <si>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</si>
  <si>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</si>
  <si>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</si>
  <si>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</si>
  <si>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</si>
  <si>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</si>
  <si>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</si>
  <si>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</si>
  <si>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</si>
  <si>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</si>
  <si>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</si>
  <si>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</si>
  <si>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</si>
  <si>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</si>
  <si>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</si>
  <si>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</si>
  <si>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</si>
  <si>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</si>
  <si>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</si>
  <si>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</si>
  <si>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</si>
  <si>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</si>
  <si>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</si>
  <si>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</si>
  <si>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</si>
  <si>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</si>
  <si>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</si>
  <si>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</si>
  <si>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</si>
  <si>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</si>
  <si>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</si>
  <si>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</si>
  <si>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</si>
  <si>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</si>
  <si>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</si>
  <si>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</si>
  <si>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</si>
  <si>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</si>
  <si>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</si>
  <si>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</si>
  <si>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</si>
  <si>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</si>
  <si>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</si>
  <si>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</si>
  <si>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</si>
  <si>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</si>
  <si>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</si>
  <si>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</si>
  <si>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</si>
  <si>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</si>
  <si>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</si>
  <si>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</si>
  <si>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</si>
  <si>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</si>
  <si>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</si>
  <si>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</si>
  <si>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</si>
  <si>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</si>
  <si>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</si>
  <si>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</si>
  <si>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</si>
  <si>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</si>
  <si>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</si>
  <si>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</si>
  <si>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</si>
  <si>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</si>
  <si>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</si>
  <si>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</si>
  <si>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</si>
  <si>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</si>
  <si>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</si>
  <si>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</si>
  <si>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</si>
  <si>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</si>
  <si>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</si>
  <si>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</si>
  <si>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</si>
  <si>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</si>
  <si>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</si>
  <si>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</si>
  <si>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</si>
  <si>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</si>
  <si>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</si>
  <si>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</si>
  <si>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</si>
  <si>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</si>
  <si>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</si>
  <si>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</si>
  <si>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</si>
  <si>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</si>
  <si>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</si>
  <si>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</si>
  <si>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</si>
  <si>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</si>
  <si>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</si>
  <si>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</si>
  <si>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</si>
  <si>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</si>
  <si>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</si>
  <si>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</si>
  <si>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</si>
  <si>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</si>
  <si>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</si>
  <si>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</si>
  <si>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</si>
  <si>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</si>
  <si>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</si>
  <si>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</si>
  <si>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</si>
  <si>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</si>
  <si>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</si>
  <si>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</si>
  <si>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</si>
  <si>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</si>
  <si>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</si>
  <si>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</si>
  <si>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</si>
  <si>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</si>
  <si>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</si>
  <si>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</si>
  <si>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</si>
  <si>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</si>
  <si>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</si>
  <si>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</si>
  <si>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</si>
  <si>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</si>
  <si>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</si>
  <si>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</si>
  <si>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</si>
  <si>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</si>
  <si>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</si>
  <si>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</si>
  <si>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</si>
  <si>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</si>
  <si>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</si>
  <si>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</si>
  <si>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</si>
  <si>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</si>
  <si>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</si>
  <si>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</si>
  <si>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</si>
  <si>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</si>
  <si>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</si>
  <si>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</si>
  <si>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</si>
  <si>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</si>
  <si>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</si>
  <si>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</si>
  <si>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</si>
  <si>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</si>
  <si>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</si>
  <si>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</si>
  <si>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</si>
  <si>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</si>
  <si>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</si>
  <si>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</si>
  <si>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</si>
  <si>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</si>
  <si>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</si>
  <si>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</si>
  <si>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</si>
  <si>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</si>
  <si>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</si>
  <si>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</si>
  <si>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</si>
  <si>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</si>
  <si>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</si>
  <si>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</si>
  <si>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</si>
  <si>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</si>
  <si>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</si>
  <si>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</si>
  <si>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</si>
  <si>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</si>
  <si>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</si>
  <si>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</si>
  <si>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</si>
  <si>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</si>
  <si>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</si>
  <si>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</si>
  <si>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</si>
  <si>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</si>
  <si>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</si>
  <si>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</si>
  <si>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</si>
  <si>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</si>
  <si>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</si>
  <si>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</si>
  <si>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</si>
  <si>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</si>
  <si>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</si>
  <si>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</si>
  <si>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</si>
  <si>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</si>
  <si>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</si>
  <si>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</si>
  <si>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</si>
  <si>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</si>
  <si>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</si>
  <si>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</si>
  <si>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</si>
  <si>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</si>
  <si>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</si>
  <si>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</si>
  <si>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</si>
  <si>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</si>
  <si>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</si>
  <si>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</si>
  <si>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</si>
  <si>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</si>
  <si>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</si>
  <si>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</si>
  <si>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</si>
  <si>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</si>
  <si>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</si>
  <si>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</si>
  <si>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</si>
  <si>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</si>
  <si>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</si>
  <si>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</si>
  <si>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</si>
  <si>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</si>
  <si>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</si>
  <si>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</si>
  <si>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</si>
  <si>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</si>
  <si>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</si>
  <si>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</si>
  <si>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</si>
  <si>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</si>
  <si>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</si>
  <si>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</si>
  <si>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</si>
  <si>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</si>
  <si>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</si>
  <si>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</si>
  <si>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</si>
  <si>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</si>
  <si>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</si>
  <si>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</si>
  <si>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</si>
  <si>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</si>
  <si>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</si>
  <si>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</si>
  <si>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</si>
  <si>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</si>
  <si>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</si>
  <si>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</si>
  <si>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</si>
  <si>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</si>
  <si>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</si>
  <si>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</si>
  <si>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</si>
  <si>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</si>
  <si>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</si>
  <si>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</si>
  <si>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</si>
  <si>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</si>
  <si>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</si>
  <si>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</si>
  <si>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</si>
  <si>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</si>
  <si>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</si>
  <si>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</si>
  <si>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</si>
  <si>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</si>
  <si>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</si>
  <si>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</si>
  <si>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</si>
  <si>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</si>
  <si>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</si>
  <si>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</si>
  <si>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</si>
  <si>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</si>
  <si>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</si>
  <si>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</si>
  <si>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</si>
  <si>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</si>
  <si>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</si>
  <si>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</si>
  <si>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</si>
  <si>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</si>
  <si>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</si>
  <si>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</si>
  <si>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</si>
  <si>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</si>
  <si>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</si>
  <si>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</si>
  <si>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</si>
  <si>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</si>
  <si>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</si>
  <si>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</si>
  <si>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</si>
  <si>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</si>
  <si>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</si>
  <si>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</si>
  <si>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</si>
  <si>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</si>
  <si>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</si>
  <si>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</si>
  <si>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</si>
  <si>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</si>
  <si>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</si>
  <si>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</si>
  <si>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</si>
  <si>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</si>
  <si>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</si>
  <si>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</si>
  <si>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</si>
  <si>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</si>
  <si>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</si>
  <si>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</si>
  <si>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</si>
  <si>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</si>
  <si>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</si>
  <si>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</si>
  <si>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</si>
  <si>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</si>
  <si>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</si>
  <si>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</si>
  <si>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</si>
  <si>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</si>
  <si>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</si>
  <si>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</si>
  <si>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</si>
  <si>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</si>
  <si>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</si>
  <si>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</si>
  <si>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</si>
  <si>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</si>
  <si>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</si>
  <si>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</si>
  <si>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</si>
  <si>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</si>
  <si>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</si>
  <si>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</si>
  <si>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</si>
  <si>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</si>
  <si>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</si>
  <si>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</si>
  <si>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</si>
  <si>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</si>
  <si>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</si>
  <si>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</si>
  <si>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</si>
  <si>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</si>
  <si>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</si>
  <si>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</si>
  <si>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</si>
  <si>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</si>
  <si>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</si>
  <si>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</si>
  <si>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</si>
  <si>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</si>
  <si>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</si>
  <si>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</si>
  <si>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</si>
  <si>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</si>
  <si>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</si>
  <si>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</si>
  <si>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</si>
  <si>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</si>
  <si>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</si>
  <si>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</si>
  <si>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</si>
  <si>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</si>
  <si>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</si>
  <si>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</si>
  <si>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</si>
  <si>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</si>
  <si>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</si>
  <si>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</si>
  <si>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</si>
  <si>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</si>
  <si>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</si>
  <si>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</si>
  <si>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</si>
  <si>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</si>
  <si>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</si>
  <si>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</si>
  <si>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</si>
  <si>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</si>
  <si>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</si>
  <si>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</si>
  <si>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</si>
  <si>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</si>
  <si>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</si>
  <si>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</si>
  <si>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</si>
  <si>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</si>
  <si>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</si>
  <si>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</si>
  <si>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</si>
  <si>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</si>
  <si>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</si>
  <si>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</si>
  <si>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</si>
  <si>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</si>
  <si>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</si>
  <si>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</si>
  <si>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</si>
  <si>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</si>
  <si>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</si>
  <si>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</si>
  <si>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</si>
  <si>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</si>
  <si>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</si>
  <si>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</si>
  <si>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</si>
  <si>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</si>
  <si>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</si>
  <si>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</si>
  <si>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</si>
  <si>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</si>
  <si>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</si>
  <si>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</si>
  <si>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</si>
  <si>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</si>
  <si>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</si>
  <si>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</si>
  <si>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</si>
  <si>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</si>
  <si>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</si>
  <si>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</si>
  <si>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</si>
  <si>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</si>
  <si>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</si>
  <si>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</si>
  <si>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</si>
  <si>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</si>
  <si>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</si>
  <si>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</si>
  <si>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</si>
  <si>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</si>
  <si>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</si>
  <si>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</si>
  <si>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</si>
  <si>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</si>
  <si>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</si>
  <si>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</si>
  <si>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</si>
  <si>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</si>
  <si>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</si>
  <si>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</si>
  <si>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</si>
  <si>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</si>
  <si>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</si>
  <si>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</si>
  <si>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</si>
  <si>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</si>
  <si>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</si>
  <si>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</si>
  <si>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</si>
  <si>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</si>
  <si>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</si>
  <si>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</si>
  <si>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</si>
  <si>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</si>
  <si>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</si>
  <si>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</si>
  <si>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</si>
  <si>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</si>
  <si>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</si>
  <si>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</si>
  <si>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</si>
  <si>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</si>
  <si>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</si>
  <si>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</si>
  <si>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</si>
  <si>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</si>
  <si>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</si>
  <si>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</si>
  <si>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</si>
  <si>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</si>
  <si>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</si>
  <si>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</si>
  <si>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</si>
  <si>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</si>
  <si>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</si>
  <si>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</si>
  <si>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</si>
  <si>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</si>
  <si>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</si>
  <si>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</si>
  <si>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</si>
  <si>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</si>
  <si>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</si>
  <si>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</si>
  <si>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</si>
  <si>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</si>
  <si>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</si>
  <si>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</si>
  <si>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</si>
  <si>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</si>
  <si>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</si>
  <si>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</si>
  <si>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</si>
  <si>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</si>
  <si>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</si>
  <si>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</si>
  <si>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</si>
  <si>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</si>
  <si>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</si>
  <si>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</si>
  <si>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</si>
  <si>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</si>
  <si>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</si>
  <si>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</si>
  <si>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</si>
  <si>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</si>
  <si>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</si>
  <si>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</si>
  <si>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</si>
  <si>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</si>
  <si>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</si>
  <si>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</si>
  <si>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</si>
  <si>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</si>
  <si>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</si>
  <si>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</si>
  <si>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</si>
  <si>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</si>
  <si>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</si>
  <si>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</si>
  <si>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</si>
  <si>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</si>
  <si>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</si>
  <si>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</si>
  <si>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</si>
  <si>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</si>
  <si>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</si>
  <si>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</si>
  <si>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</si>
  <si>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</si>
  <si>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</si>
  <si>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</si>
  <si>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</si>
  <si>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</si>
  <si>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</si>
  <si>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</si>
  <si>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</si>
  <si>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</si>
  <si>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</si>
  <si>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</si>
  <si>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</si>
  <si>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</si>
  <si>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</si>
  <si>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</si>
  <si>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</si>
  <si>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</si>
  <si>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</si>
  <si>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</si>
  <si>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</si>
  <si>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</si>
  <si>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</si>
  <si>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</si>
  <si>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</si>
  <si>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</si>
  <si>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</si>
  <si>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</si>
  <si>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</si>
  <si>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</si>
  <si>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</si>
  <si>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</si>
  <si>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</si>
  <si>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</si>
  <si>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</si>
  <si>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</si>
  <si>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</si>
  <si>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</si>
  <si>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</si>
  <si>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</si>
  <si>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</si>
  <si>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</si>
  <si>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</si>
  <si>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</si>
  <si>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</si>
  <si>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</si>
  <si>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</si>
  <si>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</si>
  <si>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</si>
  <si>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</si>
  <si>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</si>
  <si>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</si>
  <si>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</si>
  <si>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</si>
  <si>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</si>
  <si>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</si>
  <si>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</si>
  <si>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</si>
  <si>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</si>
  <si>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</si>
  <si>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</si>
  <si>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</si>
  <si>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</si>
  <si>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</si>
  <si>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</si>
  <si>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</si>
  <si>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</si>
  <si>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</si>
  <si>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</si>
  <si>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</si>
  <si>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</si>
  <si>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</si>
  <si>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</si>
  <si>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</si>
  <si>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</si>
  <si>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</si>
  <si>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</si>
  <si>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</si>
  <si>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</si>
  <si>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</si>
  <si>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</si>
  <si>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</si>
  <si>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</si>
  <si>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</si>
  <si>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</si>
  <si>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</si>
  <si>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</si>
  <si>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</si>
  <si>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</si>
  <si>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</si>
  <si>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</si>
  <si>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</si>
  <si>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</si>
  <si>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</si>
  <si>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</si>
  <si>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</si>
  <si>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</si>
  <si>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</si>
  <si>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</si>
  <si>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</si>
  <si>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</si>
  <si>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</si>
  <si>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</si>
  <si>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</si>
  <si>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</si>
  <si>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</si>
  <si>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</si>
  <si>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</si>
  <si>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</si>
  <si>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</si>
  <si>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</si>
  <si>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</si>
  <si>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</si>
  <si>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</si>
  <si>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</si>
  <si>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</si>
  <si>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</si>
  <si>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</si>
  <si>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</si>
  <si>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</si>
  <si>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</si>
  <si>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</si>
  <si>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</si>
  <si>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</si>
  <si>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</si>
  <si>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</si>
  <si>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</si>
  <si>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</si>
  <si>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</si>
  <si>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</si>
  <si>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</si>
  <si>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</si>
  <si>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</si>
  <si>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</si>
  <si>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</si>
  <si>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</si>
  <si>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</si>
  <si>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</si>
  <si>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</si>
  <si>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</si>
  <si>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</si>
  <si>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</si>
  <si>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</si>
  <si>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</si>
  <si>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</si>
  <si>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</si>
  <si>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</si>
  <si>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</si>
  <si>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</si>
  <si>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</si>
  <si>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</si>
  <si>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</si>
  <si>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</si>
  <si>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</si>
  <si>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</si>
  <si>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</si>
  <si>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</si>
  <si>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</si>
  <si>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</si>
  <si>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</si>
  <si>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</si>
  <si>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</si>
  <si>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</si>
  <si>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</si>
  <si>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</si>
  <si>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</si>
  <si>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</si>
  <si>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</si>
  <si>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</si>
  <si>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</si>
  <si>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</si>
  <si>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</si>
  <si>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</si>
  <si>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</si>
  <si>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</si>
  <si>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</si>
  <si>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</si>
  <si>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</si>
  <si>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</si>
  <si>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</si>
  <si>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</si>
  <si>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</si>
  <si>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</si>
  <si>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</si>
  <si>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</si>
  <si>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</si>
  <si>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</si>
  <si>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</si>
  <si>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</si>
  <si>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</si>
  <si>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</si>
  <si>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</si>
  <si>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</si>
  <si>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</si>
  <si>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</si>
  <si>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</si>
  <si>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</si>
  <si>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</si>
  <si>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</si>
  <si>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</si>
  <si>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</si>
  <si>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</si>
  <si>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</si>
  <si>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</si>
  <si>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</si>
  <si>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</si>
  <si>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</si>
  <si>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</si>
  <si>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</si>
  <si>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</si>
  <si>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</si>
  <si>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</si>
  <si>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</si>
  <si>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</si>
  <si>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</si>
  <si>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</si>
  <si>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</si>
  <si>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</si>
  <si>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</si>
  <si>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</si>
  <si>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</si>
  <si>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</si>
  <si>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</si>
  <si>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</si>
  <si>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</si>
  <si>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</si>
  <si>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</si>
  <si>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</si>
  <si>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</si>
  <si>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</si>
  <si>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</si>
  <si>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</si>
  <si>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</si>
  <si>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</si>
  <si>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</si>
  <si>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</si>
  <si>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</si>
  <si>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</si>
  <si>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</si>
  <si>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</si>
  <si>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</si>
  <si>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</si>
  <si>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</si>
  <si>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</si>
  <si>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</si>
  <si>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</si>
  <si>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</si>
  <si>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</si>
  <si>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</si>
  <si>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</si>
  <si>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</si>
  <si>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</si>
  <si>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</si>
  <si>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</si>
  <si>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</si>
  <si>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</si>
  <si>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</si>
  <si>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</si>
  <si>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</si>
  <si>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</si>
  <si>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</si>
  <si>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</si>
  <si>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</si>
  <si>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</si>
  <si>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</si>
  <si>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</si>
  <si>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</si>
  <si>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</si>
  <si>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</si>
  <si>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</si>
  <si>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</si>
  <si>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</si>
  <si>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</si>
  <si>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</si>
  <si>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</si>
  <si>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</si>
  <si>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</si>
  <si>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</si>
  <si>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</si>
  <si>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</si>
  <si>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</si>
  <si>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</si>
  <si>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</si>
  <si>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</si>
  <si>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</si>
  <si>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</si>
  <si>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</si>
  <si>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</si>
  <si>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</si>
  <si>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</si>
  <si>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</si>
  <si>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</si>
  <si>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</si>
  <si>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</si>
  <si>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</si>
  <si>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</si>
  <si>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</si>
  <si>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</si>
  <si>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</si>
  <si>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</si>
  <si>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</si>
  <si>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</si>
  <si>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</si>
  <si>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</si>
  <si>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</si>
  <si>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</si>
  <si>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</si>
  <si>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</si>
  <si>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</si>
  <si>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</si>
  <si>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</si>
  <si>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</si>
  <si>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</si>
  <si>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</si>
  <si>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</si>
  <si>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</si>
  <si>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</si>
  <si>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</si>
  <si>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</si>
  <si>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</si>
  <si>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</si>
  <si>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</si>
  <si>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</si>
  <si>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</si>
  <si>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</si>
  <si>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</si>
  <si>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</si>
  <si>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</si>
  <si>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</si>
  <si>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</si>
  <si>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</si>
  <si>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</si>
  <si>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</si>
  <si>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</si>
  <si>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</si>
  <si>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</si>
  <si>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</si>
  <si>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</si>
  <si>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</si>
  <si>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</si>
  <si>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</si>
  <si>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</si>
  <si>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</si>
  <si>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</si>
  <si>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</si>
  <si>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</si>
  <si>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</si>
  <si>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</si>
  <si>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</si>
  <si>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</si>
  <si>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</si>
  <si>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</si>
  <si>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</si>
  <si>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</si>
  <si>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</si>
  <si>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</si>
  <si>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</si>
  <si>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</si>
  <si>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</si>
  <si>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</si>
  <si>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</si>
  <si>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</si>
  <si>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</si>
  <si>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</si>
  <si>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</si>
  <si>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</si>
  <si>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</si>
  <si>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</si>
  <si>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</si>
  <si>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</si>
  <si>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</si>
  <si>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</si>
  <si>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</si>
  <si>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</si>
  <si>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</si>
  <si>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</si>
  <si>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</si>
  <si>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</si>
  <si>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</si>
  <si>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</si>
  <si>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</si>
  <si>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</si>
  <si>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</si>
  <si>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</si>
  <si>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</si>
  <si>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</si>
  <si>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</si>
  <si>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</si>
  <si>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</si>
  <si>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</si>
  <si>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</si>
  <si>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</si>
  <si>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</si>
  <si>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</si>
  <si>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</si>
  <si>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</si>
  <si>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</si>
  <si>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</si>
  <si>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</si>
  <si>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</si>
  <si>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</si>
  <si>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</si>
  <si>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</si>
  <si>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</si>
  <si>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</si>
  <si>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</si>
  <si>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</si>
  <si>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</si>
  <si>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</si>
  <si>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</si>
  <si>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</si>
  <si>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</si>
  <si>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</si>
  <si>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</si>
  <si>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</si>
  <si>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</si>
  <si>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</si>
  <si>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</si>
  <si>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</si>
  <si>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</si>
  <si>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</si>
  <si>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</si>
  <si>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</si>
  <si>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</si>
  <si>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</si>
  <si>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</si>
  <si>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</si>
  <si>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</si>
  <si>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</si>
  <si>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</si>
  <si>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</si>
  <si>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</si>
  <si>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</si>
  <si>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</si>
  <si>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</si>
  <si>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</si>
  <si>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</si>
  <si>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</si>
  <si>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</si>
  <si>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</si>
  <si>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</si>
  <si>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</si>
  <si>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</si>
  <si>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</si>
  <si>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</si>
  <si>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</si>
  <si>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</si>
  <si>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</si>
  <si>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</si>
  <si>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</si>
  <si>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</si>
  <si>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</si>
  <si>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</si>
  <si>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</si>
  <si>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</si>
  <si>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</si>
  <si>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</si>
  <si>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</si>
  <si>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</si>
  <si>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</si>
  <si>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</si>
  <si>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</si>
  <si>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</si>
  <si>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</si>
  <si>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</si>
  <si>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</si>
  <si>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</si>
  <si>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</si>
  <si>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</si>
  <si>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</si>
  <si>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</si>
  <si>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</si>
  <si>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</si>
  <si>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</si>
  <si>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</si>
  <si>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</si>
  <si>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</si>
  <si>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</si>
  <si>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</si>
  <si>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</si>
  <si>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</si>
  <si>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</si>
  <si>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</si>
  <si>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</si>
  <si>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</si>
  <si>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</si>
  <si>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</si>
  <si>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</si>
  <si>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</si>
  <si>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</si>
  <si>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</si>
  <si>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</si>
  <si>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</si>
  <si>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</si>
  <si>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</si>
  <si>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</si>
  <si>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</si>
  <si>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</si>
  <si>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</si>
  <si>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</si>
  <si>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</si>
  <si>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</si>
  <si>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</si>
  <si>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</si>
  <si>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</si>
  <si>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</si>
  <si>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</si>
  <si>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</si>
  <si>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</si>
  <si>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</si>
  <si>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</si>
  <si>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</si>
  <si>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</si>
  <si>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</si>
  <si>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</si>
  <si>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</si>
  <si>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</si>
  <si>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</si>
  <si>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</si>
  <si>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</si>
  <si>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</si>
  <si>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</si>
  <si>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</si>
  <si>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</si>
  <si>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</si>
  <si>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</si>
  <si>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</si>
  <si>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</si>
  <si>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</si>
  <si>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</si>
  <si>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</si>
  <si>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</si>
  <si>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</si>
  <si>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</si>
  <si>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</si>
  <si>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</si>
  <si>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</si>
  <si>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</si>
  <si>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</si>
  <si>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</si>
  <si>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</si>
  <si>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</si>
  <si>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</si>
  <si>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</si>
  <si>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</si>
  <si>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</si>
  <si>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</si>
  <si>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</si>
  <si>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</si>
  <si>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</si>
  <si>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</si>
  <si>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</si>
  <si>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</si>
  <si>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</si>
  <si>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</si>
  <si>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</si>
  <si>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</si>
  <si>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</si>
  <si>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</si>
  <si>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</si>
  <si>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</si>
  <si>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</si>
  <si>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</si>
  <si>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</si>
  <si>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</si>
  <si>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</si>
  <si>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</si>
  <si>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</si>
  <si>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</si>
  <si>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</si>
  <si>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</si>
  <si>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</si>
  <si>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</si>
  <si>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</si>
  <si>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</si>
  <si>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</si>
  <si>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</si>
  <si>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</si>
  <si>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</si>
  <si>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</si>
  <si>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</si>
  <si>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</si>
  <si>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</si>
  <si>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</si>
  <si>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</si>
  <si>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</si>
  <si>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</si>
  <si>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</si>
  <si>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</si>
  <si>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</si>
  <si>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</si>
  <si>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</si>
  <si>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</si>
  <si>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</si>
  <si>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</si>
  <si>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</si>
  <si>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</si>
  <si>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</si>
  <si>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</si>
  <si>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</si>
  <si>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</si>
  <si>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</si>
  <si>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</si>
  <si>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</si>
  <si>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</si>
  <si>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</si>
  <si>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</si>
  <si>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</si>
  <si>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</si>
  <si>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</si>
  <si>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</si>
  <si>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</si>
  <si>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</si>
  <si>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</si>
  <si>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</si>
  <si>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</si>
  <si>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</si>
  <si>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</si>
  <si>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</si>
  <si>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</si>
  <si>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</si>
  <si>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</si>
  <si>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</si>
  <si>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</si>
  <si>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</si>
  <si>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</si>
  <si>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</si>
  <si>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</si>
  <si>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</si>
  <si>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</si>
  <si>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</si>
  <si>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</si>
  <si>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</si>
  <si>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</si>
  <si>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</si>
  <si>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</si>
  <si>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</si>
  <si>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</si>
  <si>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</si>
  <si>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</si>
  <si>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</si>
  <si>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</si>
  <si>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</si>
  <si>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</si>
  <si>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</si>
  <si>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</si>
  <si>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</si>
  <si>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</si>
  <si>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</si>
  <si>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</si>
  <si>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</si>
  <si>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</si>
  <si>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</si>
  <si>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</si>
  <si>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</si>
  <si>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</si>
  <si>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</si>
  <si>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</si>
  <si>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</si>
  <si>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</si>
  <si>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</si>
  <si>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</si>
  <si>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</si>
  <si>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</si>
  <si>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</si>
  <si>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</si>
  <si>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</si>
  <si>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</si>
  <si>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</si>
  <si>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</si>
  <si>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</si>
  <si>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</si>
  <si>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</si>
  <si>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</si>
  <si>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</si>
  <si>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</si>
  <si>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</si>
  <si>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</si>
  <si>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</si>
  <si>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</si>
  <si>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</si>
  <si>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</si>
  <si>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</si>
  <si>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</si>
  <si>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</si>
  <si>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</si>
  <si>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</si>
  <si>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</si>
  <si>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</si>
  <si>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</si>
  <si>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</si>
  <si>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</si>
  <si>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</si>
  <si>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</si>
  <si>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</si>
  <si>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</si>
  <si>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</si>
  <si>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</si>
  <si>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</si>
  <si>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</si>
  <si>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</si>
  <si>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</si>
  <si>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</si>
  <si>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</si>
  <si>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</si>
  <si>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</si>
  <si>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</si>
  <si>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</si>
  <si>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</si>
  <si>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</si>
  <si>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</si>
  <si>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</si>
  <si>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</si>
  <si>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</si>
  <si>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</si>
  <si>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</si>
  <si>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</si>
  <si>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</si>
  <si>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</si>
  <si>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</si>
  <si>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</si>
  <si>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</si>
  <si>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</si>
  <si>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</si>
  <si>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</si>
  <si>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</si>
  <si>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</si>
  <si>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</si>
  <si>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</si>
  <si>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</si>
  <si>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</si>
  <si>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</si>
  <si>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</si>
  <si>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</si>
  <si>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</si>
  <si>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</si>
  <si>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</si>
  <si>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</si>
  <si>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</si>
  <si>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</si>
  <si>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</si>
  <si>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</si>
  <si>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</si>
  <si>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</si>
  <si>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</si>
  <si>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</si>
  <si>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</si>
  <si>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</si>
  <si>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</si>
  <si>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</si>
  <si>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</si>
  <si>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</si>
  <si>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</si>
  <si>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</si>
  <si>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</si>
  <si>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</si>
  <si>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</si>
  <si>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</si>
  <si>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</si>
  <si>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</si>
  <si>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</si>
  <si>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</si>
  <si>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</si>
  <si>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</si>
  <si>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</si>
  <si>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</si>
  <si>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</si>
  <si>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</si>
  <si>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</si>
  <si>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</si>
  <si>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</si>
  <si>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</si>
  <si>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</si>
  <si>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</si>
  <si>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</si>
  <si>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</si>
  <si>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</si>
  <si>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</si>
  <si>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</si>
  <si>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</si>
  <si>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</si>
  <si>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</si>
  <si>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</si>
  <si>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</si>
  <si>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</si>
  <si>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</si>
  <si>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</si>
  <si>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</si>
  <si>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</si>
  <si>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</si>
  <si>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</si>
  <si>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</si>
  <si>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</si>
  <si>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</si>
  <si>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</si>
  <si>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</si>
  <si>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</si>
  <si>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</si>
  <si>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</si>
  <si>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</si>
  <si>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</si>
  <si>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</si>
  <si>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</si>
  <si>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</si>
  <si>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</si>
  <si>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</si>
  <si>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</si>
  <si>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</si>
  <si>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</si>
  <si>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</si>
  <si>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</si>
  <si>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</si>
  <si>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</si>
  <si>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</si>
  <si>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</si>
  <si>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</si>
  <si>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</si>
  <si>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</si>
  <si>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</si>
  <si>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</si>
  <si>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</si>
  <si>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</si>
  <si>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</si>
  <si>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</si>
  <si>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</si>
  <si>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</si>
  <si>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</si>
  <si>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</si>
  <si>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</si>
  <si>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</si>
  <si>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</si>
  <si>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</si>
  <si>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</si>
  <si>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</si>
  <si>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</si>
  <si>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</si>
  <si>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</si>
  <si>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</si>
  <si>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</si>
  <si>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</si>
  <si>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</si>
  <si>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</si>
  <si>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</si>
  <si>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</si>
  <si>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</si>
  <si>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</si>
  <si>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</si>
  <si>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</si>
  <si>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</si>
  <si>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</si>
  <si>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</si>
  <si>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</si>
  <si>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</si>
  <si>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</si>
  <si>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</si>
  <si>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</si>
  <si>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</si>
  <si>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</si>
  <si>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</si>
  <si>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</si>
  <si>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</si>
  <si>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</si>
  <si>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</si>
  <si>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</si>
  <si>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</si>
  <si>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</si>
  <si>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</si>
  <si>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</si>
  <si>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</si>
  <si>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</si>
  <si>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</si>
  <si>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</si>
  <si>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</si>
  <si>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</si>
  <si>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</si>
  <si>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</si>
  <si>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</si>
  <si>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</si>
  <si>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</si>
  <si>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</si>
  <si>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</si>
  <si>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</si>
  <si>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</si>
  <si>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</si>
  <si>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</si>
  <si>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</si>
  <si>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</si>
  <si>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</si>
  <si>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</si>
  <si>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</si>
  <si>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</si>
  <si>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</si>
  <si>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</si>
  <si>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</si>
  <si>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</si>
  <si>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</si>
  <si>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</si>
  <si>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</si>
  <si>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</si>
  <si>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</si>
  <si>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</si>
  <si>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</si>
  <si>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</si>
  <si>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</si>
  <si>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</si>
  <si>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</si>
  <si>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</si>
  <si>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</si>
  <si>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</si>
  <si>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</si>
  <si>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</si>
  <si>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</si>
  <si>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</si>
  <si>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</si>
  <si>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</si>
  <si>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</si>
  <si>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</si>
  <si>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</si>
  <si>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</si>
  <si>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</si>
  <si>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</si>
  <si>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</si>
  <si>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</si>
  <si>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</si>
  <si>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</si>
  <si>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</si>
  <si>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</si>
  <si>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</si>
  <si>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</si>
  <si>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</si>
  <si>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</si>
  <si>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</si>
  <si>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</si>
  <si>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</si>
  <si>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</si>
  <si>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</si>
  <si>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</si>
  <si>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</si>
  <si>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</si>
  <si>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</si>
  <si>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</si>
  <si>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</si>
  <si>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</si>
  <si>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</si>
  <si>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</si>
  <si>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</si>
  <si>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</si>
  <si>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</si>
  <si>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</si>
  <si>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</si>
  <si>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</si>
  <si>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</si>
  <si>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</si>
  <si>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</si>
  <si>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</si>
  <si>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</si>
  <si>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</si>
  <si>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</si>
  <si>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</si>
  <si>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</si>
  <si>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</si>
  <si>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</si>
  <si>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</si>
  <si>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</si>
  <si>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</si>
  <si>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</si>
  <si>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</si>
  <si>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</si>
  <si>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</si>
  <si>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</si>
  <si>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</si>
  <si>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</si>
  <si>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</si>
  <si>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</si>
  <si>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</si>
  <si>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</si>
  <si>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</si>
  <si>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</si>
  <si>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</si>
  <si>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</si>
  <si>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</si>
  <si>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</si>
  <si>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</si>
  <si>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</si>
  <si>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</si>
  <si>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</si>
  <si>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</si>
  <si>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</si>
  <si>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</si>
  <si>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</si>
  <si>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</si>
  <si>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</si>
  <si>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</si>
  <si>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</si>
  <si>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</si>
  <si>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</si>
  <si>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</si>
  <si>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</si>
  <si>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</si>
  <si>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</si>
  <si>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</si>
  <si>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</si>
  <si>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</si>
  <si>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</si>
  <si>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</si>
  <si>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</si>
  <si>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</si>
  <si>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</si>
  <si>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</si>
  <si>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</si>
  <si>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</si>
  <si>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</si>
  <si>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</si>
  <si>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</si>
  <si>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</si>
  <si>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</si>
  <si>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</si>
  <si>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</si>
  <si>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</si>
  <si>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</si>
  <si>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</si>
  <si>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</si>
  <si>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</si>
  <si>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</si>
  <si>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</si>
  <si>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</si>
  <si>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</si>
  <si>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</si>
  <si>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</si>
  <si>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</si>
  <si>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</si>
  <si>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</si>
  <si>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</si>
  <si>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</si>
  <si>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</si>
  <si>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</si>
  <si>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</si>
  <si>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</si>
  <si>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</si>
  <si>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</si>
  <si>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</si>
  <si>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</si>
  <si>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</si>
  <si>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</si>
  <si>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</si>
  <si>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</si>
  <si>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</si>
  <si>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</si>
  <si>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</si>
  <si>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</si>
  <si>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</si>
  <si>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</si>
  <si>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</si>
  <si>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</si>
  <si>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</si>
  <si>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</si>
  <si>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</si>
  <si>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</si>
  <si>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</si>
  <si>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</si>
  <si>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</si>
  <si>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</si>
  <si>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</si>
  <si>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</si>
  <si>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</si>
  <si>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</si>
  <si>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</si>
  <si>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</si>
  <si>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</si>
  <si>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</si>
  <si>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</si>
  <si>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</si>
  <si>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</si>
  <si>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</si>
  <si>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</si>
  <si>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</si>
  <si>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</si>
  <si>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</si>
  <si>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</si>
  <si>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</si>
  <si>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</si>
  <si>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</si>
  <si>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</si>
  <si>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</si>
  <si>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</si>
  <si>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</si>
  <si>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</si>
  <si>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</si>
  <si>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</si>
  <si>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</si>
  <si>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</si>
  <si>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</si>
  <si>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</si>
  <si>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</si>
  <si>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</si>
  <si>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</si>
  <si>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</si>
  <si>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</si>
  <si>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</si>
  <si>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</si>
  <si>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</si>
  <si>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</si>
  <si>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</si>
  <si>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</si>
  <si>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</si>
  <si>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</si>
  <si>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</si>
  <si>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</si>
  <si>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</si>
  <si>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</si>
  <si>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</si>
  <si>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</si>
  <si>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</si>
  <si>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</si>
  <si>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</si>
  <si>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</si>
  <si>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</si>
  <si>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</si>
  <si>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</si>
  <si>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</si>
  <si>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</si>
  <si>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</si>
  <si>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</si>
  <si>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</si>
  <si>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</si>
  <si>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</si>
  <si>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</si>
  <si>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</si>
  <si>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</si>
  <si>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</si>
  <si>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</si>
  <si>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</si>
  <si>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</si>
  <si>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</si>
  <si>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</si>
  <si>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</si>
  <si>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</si>
  <si>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</si>
  <si>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</si>
  <si>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</si>
  <si>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</si>
  <si>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</si>
  <si>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</si>
  <si>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</si>
  <si>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</si>
  <si>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</si>
  <si>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</si>
  <si>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</si>
  <si>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</si>
  <si>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</si>
  <si>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</si>
  <si>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</si>
  <si>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</si>
  <si>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</si>
  <si>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</si>
  <si>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</si>
  <si>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</si>
  <si>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</si>
  <si>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</si>
  <si>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</si>
  <si>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</si>
  <si>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</si>
  <si>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</si>
  <si>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</si>
  <si>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</si>
  <si>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</si>
  <si>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</si>
  <si>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</si>
  <si>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</si>
  <si>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</si>
  <si>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</si>
  <si>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</si>
  <si>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</si>
  <si>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</si>
  <si>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</si>
  <si>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</si>
  <si>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</si>
  <si>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</si>
  <si>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</si>
  <si>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</si>
  <si>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</si>
  <si>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</si>
  <si>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</si>
  <si>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</si>
  <si>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</si>
  <si>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</si>
  <si>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</si>
  <si>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</si>
  <si>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</si>
  <si>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</si>
  <si>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</si>
  <si>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</si>
  <si>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</si>
  <si>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</si>
  <si>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</si>
  <si>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</si>
  <si>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</si>
  <si>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</si>
  <si>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</si>
  <si>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</si>
  <si>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</si>
  <si>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</si>
  <si>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</si>
  <si>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</si>
  <si>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</si>
  <si>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</si>
  <si>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</si>
  <si>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</si>
  <si>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</si>
  <si>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</si>
  <si>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</si>
  <si>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</si>
  <si>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</si>
  <si>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</si>
  <si>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</si>
  <si>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</si>
  <si>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</si>
  <si>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</si>
  <si>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</si>
  <si>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</si>
  <si>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</si>
  <si>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</si>
  <si>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</si>
  <si>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</si>
  <si>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</si>
  <si>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</si>
  <si>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</si>
  <si>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</si>
  <si>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</si>
  <si>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</si>
  <si>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</si>
  <si>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</si>
  <si>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</si>
  <si>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</si>
  <si>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</si>
  <si>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</si>
  <si>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</si>
  <si>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</si>
  <si>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</si>
  <si>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</si>
  <si>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</si>
  <si>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</si>
  <si>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</si>
  <si>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</si>
  <si>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</si>
  <si>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</si>
  <si>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</si>
  <si>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</si>
  <si>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</si>
  <si>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</si>
  <si>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</si>
  <si>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</si>
  <si>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</si>
  <si>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</si>
  <si>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</si>
  <si>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</si>
  <si>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</si>
  <si>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</si>
  <si>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</si>
  <si>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</si>
  <si>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</si>
  <si>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</si>
  <si>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</si>
  <si>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</si>
  <si>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</si>
  <si>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</si>
  <si>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</si>
  <si>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</si>
  <si>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</si>
  <si>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</si>
  <si>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</si>
  <si>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</si>
  <si>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</si>
  <si>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</si>
  <si>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</si>
  <si>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</si>
  <si>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</si>
  <si>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</si>
  <si>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</si>
  <si>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</si>
  <si>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</si>
  <si>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</si>
  <si>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</si>
  <si>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</si>
  <si>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</si>
  <si>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</si>
  <si>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</si>
  <si>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</si>
  <si>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</si>
  <si>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</si>
  <si>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</si>
  <si>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</si>
  <si>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</si>
  <si>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</si>
  <si>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</si>
  <si>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</si>
  <si>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</si>
  <si>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</si>
  <si>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</si>
  <si>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</si>
  <si>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</si>
  <si>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</si>
  <si>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</si>
  <si>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</si>
  <si>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</si>
  <si>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</si>
  <si>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</si>
  <si>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</si>
  <si>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</si>
  <si>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</si>
  <si>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</si>
  <si>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</si>
  <si>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</si>
  <si>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</si>
  <si>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</si>
  <si>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</si>
  <si>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</si>
  <si>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</si>
  <si>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</si>
  <si>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</si>
  <si>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</si>
  <si>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</si>
  <si>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</si>
  <si>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</si>
  <si>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</si>
  <si>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</si>
  <si>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</si>
  <si>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</si>
  <si>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</si>
  <si>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</si>
  <si>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</si>
  <si>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</si>
  <si>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</si>
  <si>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</si>
  <si>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</si>
  <si>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</si>
  <si>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</si>
  <si>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</si>
  <si>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</si>
  <si>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</si>
  <si>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</si>
  <si>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</si>
  <si>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</si>
  <si>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</si>
  <si>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</si>
  <si>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</si>
  <si>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</si>
  <si>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</si>
  <si>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</si>
  <si>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</si>
  <si>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</si>
  <si>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</si>
  <si>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</si>
  <si>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</si>
  <si>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</si>
  <si>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</si>
  <si>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</si>
  <si>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</si>
  <si>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</si>
  <si>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</si>
  <si>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</si>
  <si>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</si>
  <si>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</si>
  <si>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</si>
  <si>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</si>
  <si>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</si>
  <si>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</si>
  <si>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</si>
  <si>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</si>
  <si>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</si>
  <si>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</si>
  <si>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</si>
  <si>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</si>
  <si>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</si>
  <si>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</si>
  <si>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</si>
  <si>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</si>
  <si>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</si>
  <si>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</si>
  <si>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</si>
  <si>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</si>
  <si>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</si>
  <si>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</si>
  <si>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</si>
  <si>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</si>
  <si>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</si>
  <si>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</si>
  <si>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</si>
  <si>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</si>
  <si>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</si>
  <si>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</si>
  <si>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</si>
  <si>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</si>
  <si>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</si>
  <si>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</si>
  <si>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</si>
  <si>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</si>
  <si>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</si>
  <si>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</si>
  <si>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</si>
  <si>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</si>
  <si>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</si>
  <si>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</si>
  <si>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</si>
  <si>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</si>
  <si>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</si>
  <si>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</si>
  <si>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</si>
  <si>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</si>
  <si>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</si>
  <si>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</si>
  <si>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</si>
  <si>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</si>
  <si>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</si>
  <si>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</si>
  <si>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</si>
  <si>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</si>
  <si>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</si>
  <si>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</si>
  <si>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</si>
  <si>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</si>
  <si>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</si>
  <si>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</si>
  <si>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</si>
  <si>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</si>
  <si>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</si>
  <si>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</si>
  <si>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</si>
  <si>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</si>
  <si>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</si>
  <si>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</si>
  <si>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</si>
  <si>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</si>
  <si>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</si>
  <si>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</si>
  <si>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</si>
  <si>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</si>
  <si>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</si>
  <si>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</si>
  <si>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</si>
  <si>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</si>
  <si>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</si>
  <si>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</si>
  <si>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</si>
  <si>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</si>
  <si>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</si>
  <si>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</si>
  <si>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</si>
  <si>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</si>
  <si>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</si>
  <si>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</si>
  <si>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</si>
  <si>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</si>
  <si>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</si>
  <si>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</si>
  <si>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</si>
  <si>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</si>
  <si>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</si>
  <si>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</si>
  <si>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</si>
  <si>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</si>
  <si>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</si>
  <si>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</si>
  <si>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</si>
  <si>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</si>
  <si>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</si>
  <si>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</si>
  <si>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</si>
  <si>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</si>
  <si>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</si>
  <si>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</si>
  <si>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</si>
  <si>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</si>
  <si>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</si>
  <si>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</si>
  <si>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</si>
  <si>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</si>
  <si>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</si>
  <si>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</si>
  <si>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</si>
  <si>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</si>
  <si>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</si>
  <si>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</si>
  <si>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</si>
  <si>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</si>
  <si>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</si>
  <si>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</si>
  <si>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</si>
  <si>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</si>
  <si>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</si>
  <si>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</si>
  <si>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</si>
  <si>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</si>
  <si>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</si>
  <si>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</si>
  <si>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</si>
  <si>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</si>
  <si>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</si>
  <si>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</si>
  <si>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</si>
  <si>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</si>
  <si>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</si>
  <si>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</si>
  <si>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</si>
  <si>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</si>
  <si>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</si>
  <si>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</si>
  <si>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</si>
  <si>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</si>
  <si>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</si>
  <si>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</si>
  <si>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</si>
  <si>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</si>
  <si>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</si>
  <si>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</si>
  <si>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</si>
  <si>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</si>
  <si>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</si>
  <si>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</si>
  <si>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</si>
  <si>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</si>
  <si>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</si>
  <si>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</si>
  <si>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</si>
  <si>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</si>
  <si>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</si>
  <si>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</si>
  <si>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</si>
  <si>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</si>
  <si>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</si>
  <si>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</si>
  <si>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</si>
  <si>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</si>
  <si>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</si>
  <si>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</si>
  <si>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</si>
  <si>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</si>
  <si>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</si>
  <si>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</si>
  <si>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</si>
  <si>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</si>
  <si>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</si>
  <si>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</si>
  <si>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</si>
  <si>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</si>
  <si>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</si>
  <si>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</si>
  <si>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</si>
  <si>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</si>
  <si>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</si>
  <si>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</si>
  <si>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</si>
  <si>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</si>
  <si>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</si>
  <si>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</si>
  <si>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</si>
  <si>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</si>
  <si>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</si>
  <si>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</si>
  <si>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</si>
  <si>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</si>
  <si>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</si>
  <si>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</si>
  <si>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</si>
  <si>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</si>
  <si>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</si>
  <si>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</si>
  <si>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</si>
  <si>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</si>
  <si>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</si>
  <si>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</si>
  <si>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</si>
  <si>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</si>
  <si>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</si>
  <si>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</si>
  <si>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</si>
  <si>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</si>
  <si>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</si>
  <si>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</si>
  <si>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</si>
  <si>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</si>
  <si>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</si>
  <si>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</si>
  <si>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</si>
  <si>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</si>
  <si>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</si>
  <si>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</si>
  <si>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</si>
  <si>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</si>
  <si>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</si>
  <si>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</si>
  <si>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</si>
  <si>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</si>
  <si>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</si>
  <si>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</si>
  <si>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</si>
  <si>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</si>
  <si>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</si>
  <si>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</si>
  <si>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</si>
  <si>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</si>
  <si>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</si>
  <si>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</si>
  <si>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</si>
  <si>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</si>
  <si>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</si>
  <si>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</si>
  <si>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</si>
  <si>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</si>
  <si>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</si>
  <si>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</si>
  <si>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</si>
  <si>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</si>
  <si>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</si>
  <si>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</si>
  <si>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</si>
  <si>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</si>
  <si>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</si>
  <si>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</si>
  <si>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</si>
  <si>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</si>
  <si>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</si>
  <si>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</si>
  <si>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</si>
  <si>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</si>
  <si>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</si>
  <si>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</si>
  <si>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</si>
  <si>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</si>
  <si>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</si>
  <si>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</si>
  <si>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</si>
  <si>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</si>
  <si>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</si>
  <si>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</si>
  <si>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</si>
  <si>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</si>
  <si>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</si>
  <si>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</si>
  <si>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</si>
  <si>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</si>
  <si>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</si>
  <si>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</si>
  <si>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</si>
  <si>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</si>
  <si>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</si>
  <si>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</si>
  <si>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</si>
  <si>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</si>
  <si>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</si>
  <si>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</si>
  <si>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</si>
  <si>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</si>
  <si>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</si>
  <si>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</si>
  <si>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</si>
  <si>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</si>
  <si>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</si>
  <si>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</si>
  <si>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</si>
  <si>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</si>
  <si>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</si>
  <si>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</si>
  <si>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</si>
  <si>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</si>
  <si>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</si>
  <si>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</si>
  <si>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</si>
  <si>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</si>
  <si>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</si>
  <si>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</si>
  <si>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</si>
  <si>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</si>
  <si>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</si>
  <si>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Return On Equity</t>
  </si>
  <si>
    <t>Return On Equity(ROE)</t>
  </si>
  <si>
    <t>Average Shareholder Equity</t>
  </si>
  <si>
    <t>Net Profit Margin(A)</t>
  </si>
  <si>
    <t>Average Total Assets</t>
  </si>
  <si>
    <t>Asset Turnover Ratio(B)</t>
  </si>
  <si>
    <t>Financial Leverage(C)</t>
  </si>
  <si>
    <t>Return On Equity(A*B*C)</t>
  </si>
  <si>
    <t>Asian Paints Ltd is an Indian multinational paint company, headquartered in Mumbai.The company is engaged in the business of manufacturing, selling and distribution of paints, coatings, products related to home décor, bath fittings and providing related services. Asian Paints is India's largest paints company by market share.The company has 27 paint manufacturing facilities in 15 countries, servicing consumers in over 60 countries. Asian Paints is also present in the home improvement and décor space in India</t>
  </si>
  <si>
    <t>Return On Asset(ROA)</t>
  </si>
  <si>
    <t>Return On Asset</t>
  </si>
  <si>
    <t>Return On Asset(A*B)</t>
  </si>
  <si>
    <t>Financial Summary</t>
  </si>
  <si>
    <t>ROE - Dupont Equation</t>
  </si>
  <si>
    <t>ROA - Dupont Analysis</t>
  </si>
  <si>
    <t>Altman's Z Score Analysis</t>
  </si>
  <si>
    <t>Working Capital/Total Assets</t>
  </si>
  <si>
    <t xml:space="preserve">Working Capital </t>
  </si>
  <si>
    <t>Retained Earnings/Total Assets</t>
  </si>
  <si>
    <t>EBIT/Total Assets</t>
  </si>
  <si>
    <t>Market cap/Long Term Liabilities</t>
  </si>
  <si>
    <t xml:space="preserve">Market Cap </t>
  </si>
  <si>
    <t>Long Term Liability</t>
  </si>
  <si>
    <t>Sales/Total Assets</t>
  </si>
  <si>
    <t xml:space="preserve">Sales </t>
  </si>
  <si>
    <t>Working Capital/Total Assets(A)</t>
  </si>
  <si>
    <t>Retained Earnings/Total Assets(B)</t>
  </si>
  <si>
    <t>EBIT/Total Assets(C)</t>
  </si>
  <si>
    <t>Market cap/Long Term Liabilities(D)</t>
  </si>
  <si>
    <t>Sales/Total Assets(E)</t>
  </si>
  <si>
    <t>Altman's Z Score</t>
  </si>
  <si>
    <t>Final Score</t>
  </si>
  <si>
    <t>Financial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</si>
</sst>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_(* #,##0.00_);_(* \(#,##0.00\);_(* &quot;-&quot;??_);_(@_)"/>
    <numFmt numFmtId="165" formatCode="#,##0.0"/>
    <numFmt numFmtId="166" formatCode="&quot;₹&quot;\ #,##0.0;\(&quot;₹&quot;\ #,##0.0\);\-"/>
    <numFmt numFmtId="167" formatCode="&quot;₹&quot;\ #,##0.00"/>
    <numFmt numFmtId="168" formatCode="&quot;₹&quot;\ #,##0.00;\(&quot;₹&quot;\ #,##0.00\);\-"/>
    <numFmt numFmtId="169" formatCode="[$-409]mmm\-yy;@"/>
    <numFmt numFmtId="170" formatCode="#,##0.0;\(#,##0.0\);\-"/>
    <numFmt numFmtId="171" formatCode="0.000000000000000%"/>
    <numFmt numFmtId="172" formatCode="mmm\-yy&quot;E&quot;"/>
    <numFmt numFmtId="173" formatCode="mmm\-yy&quot;A&quot;"/>
    <numFmt numFmtId="174" formatCode="0.000"/>
    <numFmt numFmtId="175" formatCode="0.0\X"/>
    <numFmt numFmtId="176" formatCode="0.0000"/>
    <numFmt numFmtId="177" formatCode="0.0%"/>
    <numFmt numFmtId="178" formatCode="0.0"/>
    <numFmt numFmtId="179" formatCode="0.0\x"/>
  </numFmts>
  <fonts count="39">
    <font>
      <sz val="11"/>
      <color theme="1"/>
      <name val="Calibri"/>
      <family val="2"/>
    </font>
    <font>
      <b/>
      <sz val="11"/>
      <color theme="1"/>
      <name val="calibri"/>
      <family val="2"/>
    </font>
    <font>
      <vertAlign val="superscript"/>
      <sz val="11"/>
      <color theme="1"/>
      <name val="Calibri"/>
      <family val="2"/>
    </font>
    <font>
      <b/>
      <sz val="14"/>
      <color theme="1"/>
      <name val="calibri"/>
      <family val="2"/>
    </font>
    <font>
      <sz val="14"/>
      <color theme="1"/>
      <name val="calibri"/>
      <family val="2"/>
    </font>
    <font>
      <sz val="11"/>
      <color theme="1"/>
      <name val="calibri"/>
      <family val="2"/>
    </font>
    <font>
      <sz val="11"/>
      <color rgb="FF3333FF"/>
      <name val="calibri"/>
      <family val="2"/>
    </font>
    <font>
      <i/>
      <sz val="10"/>
      <color theme="1"/>
      <name val="calibri"/>
      <family val="2"/>
    </font>
    <font>
      <i/>
      <sz val="9"/>
      <color theme="1"/>
      <name val="calibri"/>
      <family val="2"/>
    </font>
    <font>
      <b/>
      <sz val="11"/>
      <color theme="0"/>
      <name val="calibri"/>
      <family val="2"/>
    </font>
    <font>
      <sz val="11"/>
      <color theme="0"/>
      <name val="calibri"/>
      <family val="2"/>
    </font>
    <font>
      <i/>
      <sz val="11"/>
      <color theme="1"/>
      <name val="calibri"/>
      <family val="2"/>
    </font>
    <font>
      <i/>
      <sz val="11"/>
      <color theme="0" tint="-0.499984740745262"/>
      <name val="calibri"/>
      <family val="2"/>
    </font>
    <font>
      <u/>
      <sz val="11"/>
      <color theme="10"/>
      <name val="calibri"/>
      <family val="2"/>
    </font>
    <font>
      <sz val="11"/>
      <color theme="1"/>
      <name val="Calibri"/>
      <family val="2"/>
      <scheme val="minor"/>
    </font>
    <font>
      <b/>
      <sz val="10"/>
      <color theme="1"/>
      <name val="Arial"/>
      <family val="2"/>
    </font>
    <font>
      <u/>
      <sz val="10"/>
      <color theme="10"/>
      <name val="Arial"/>
      <family val="2"/>
    </font>
    <font>
      <sz val="10"/>
      <color theme="1"/>
      <name val="Arial"/>
      <family val="2"/>
    </font>
    <font>
      <sz val="11"/>
      <color theme="0"/>
      <name val="Calibri"/>
      <family val="2"/>
      <scheme val="minor"/>
    </font>
    <font>
      <b/>
      <sz val="10"/>
      <color theme="0"/>
      <name val="Arial"/>
      <family val="2"/>
    </font>
    <font>
      <sz val="10"/>
      <name val="Arial"/>
      <family val="2"/>
    </font>
    <font>
      <sz val="11"/>
      <color theme="1"/>
      <name val="Arial Narrow"/>
      <family val="2"/>
    </font>
    <font>
      <sz val="11"/>
      <color rgb="FF22222F"/>
      <name val="Arial"/>
      <family val="2"/>
    </font>
    <font>
      <sz val="11"/>
      <color rgb="FF22222F"/>
      <name val="Calibri "/>
    </font>
    <font>
      <sz val="11"/>
      <color rgb="FF22222F"/>
      <name val="Calibri "/>
    </font>
    <font>
      <sz val="11"/>
      <name val="calibri"/>
      <family val="2"/>
    </font>
    <font>
      <b/>
      <sz val="13"/>
      <color theme="0"/>
      <name val="calibri"/>
      <family val="2"/>
    </font>
    <font>
      <sz val="13"/>
      <color theme="1"/>
      <name val="Calibri"/>
      <family val="2"/>
    </font>
    <font>
      <sz val="13"/>
      <color theme="0"/>
      <name val="Calibri"/>
      <family val="2"/>
    </font>
    <font>
      <i/>
      <sz val="11"/>
      <color theme="1"/>
      <name val="Calibri"/>
      <family val="2"/>
      <scheme val="minor"/>
    </font>
    <font>
      <b/>
      <sz val="11"/>
      <color rgb="FF002060"/>
      <name val="Calibri"/>
      <family val="2"/>
      <scheme val="minor"/>
    </font>
    <font>
      <b/>
      <sz val="11"/>
      <color theme="1"/>
      <name val="Calibri"/>
      <family val="2"/>
      <scheme val="minor"/>
    </font>
    <font>
      <b/>
      <sz val="11"/>
      <color theme="0"/>
      <name val="Calibri"/>
      <family val="2"/>
      <scheme val="minor"/>
    </font>
    <font>
      <b/>
      <sz val="12"/>
      <color rgb="FF202122"/>
      <name val="Arial"/>
      <family val="2"/>
    </font>
    <font>
      <sz val="12"/>
      <color theme="1"/>
      <name val="Arial"/>
      <family val="2"/>
    </font>
    <font>
      <b/>
      <sz val="14"/>
      <color rgb="FFFF0000"/>
      <name val="calibri"/>
      <family val="2"/>
    </font>
    <font>
      <b/>
      <sz val="22"/>
      <color rgb="FFFF0000"/>
      <name val="Calibri"/>
      <family val="2"/>
    </font>
    <font>
      <b/>
      <sz val="18"/>
      <color rgb="FFFF0000"/>
      <name val="calibri"/>
      <family val="2"/>
    </font>
    <font>
      <b/>
      <sz val="11"/>
      <color theme="5" tint="-0.499984740745262"/>
      <name val="Calibri"/>
      <family val="2"/>
    </font>
  </fonts>
  <fills count="13">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9"/>
      </patternFill>
    </fill>
    <fill>
      <patternFill patternType="solid">
        <fgColor rgb="FF0275D8"/>
        <bgColor indexed="64"/>
      </patternFill>
    </fill>
    <fill>
      <patternFill patternType="solid">
        <fgColor rgb="FFFFFFFF"/>
        <bgColor indexed="64"/>
      </patternFill>
    </fill>
    <fill>
      <patternFill patternType="solid">
        <fgColor theme="0"/>
        <bgColor indexed="64"/>
      </patternFill>
    </fill>
    <fill>
      <patternFill patternType="solid">
        <fgColor rgb="FFEE7525"/>
        <bgColor indexed="64"/>
      </patternFill>
    </fill>
    <fill>
      <patternFill patternType="solid">
        <fgColor rgb="FFF7BB93"/>
        <bgColor indexed="64"/>
      </patternFill>
    </fill>
  </fills>
  <borders count="25">
    <border>
      <left/>
      <right/>
      <top/>
      <bottom/>
      <diagonal/>
    </border>
    <border>
      <left/>
      <right/>
      <top style="thin">
        <color rgb="FF002060"/>
      </top>
      <bottom/>
      <diagonal/>
    </border>
    <border>
      <left/>
      <right/>
      <top/>
      <bottom style="thin">
        <color rgb="FF002060"/>
      </bottom>
      <diagonal/>
    </border>
    <border>
      <left/>
      <right/>
      <top style="thin">
        <color auto="1"/>
      </top>
      <bottom/>
      <diagonal/>
    </border>
    <border>
      <left/>
      <right/>
      <top/>
      <bottom style="thin">
        <color auto="1"/>
      </bottom>
      <diagonal/>
    </border>
    <border>
      <left/>
      <right/>
      <top style="hair">
        <color auto="1"/>
      </top>
      <bottom/>
      <diagonal/>
    </border>
    <border>
      <left/>
      <right/>
      <top/>
      <bottom style="thin">
        <color theme="8" tint="-0.499984740745262"/>
      </bottom>
      <diagonal/>
    </border>
    <border>
      <left/>
      <right/>
      <top style="hair">
        <color rgb="FF002060"/>
      </top>
      <bottom style="hair">
        <color rgb="FF002060"/>
      </bottom>
      <diagonal/>
    </border>
    <border>
      <left/>
      <right/>
      <top style="thin">
        <color rgb="FF002060"/>
      </top>
      <bottom style="thin">
        <color rgb="FF002060"/>
      </bottom>
      <diagonal/>
    </border>
    <border>
      <left/>
      <right/>
      <top style="thin">
        <color rgb="FF002060"/>
      </top>
      <bottom style="medium">
        <color rgb="FF002060"/>
      </bottom>
      <diagonal/>
    </border>
    <border>
      <left/>
      <right/>
      <top style="hair">
        <color rgb="FF002060"/>
      </top>
      <bottom style="medium">
        <color rgb="FF002060"/>
      </bottom>
      <diagonal/>
    </border>
    <border>
      <left/>
      <right/>
      <top style="hair">
        <color auto="1"/>
      </top>
      <bottom style="hair">
        <color auto="1"/>
      </bottom>
      <diagonal/>
    </border>
    <border>
      <left/>
      <right/>
      <top/>
      <bottom style="hair">
        <color rgb="FF002060"/>
      </bottom>
      <diagonal/>
    </border>
    <border>
      <left/>
      <right/>
      <top/>
      <bottom style="thin">
        <color theme="0"/>
      </bottom>
      <diagonal/>
    </border>
    <border>
      <left/>
      <right/>
      <top style="thin">
        <color auto="1"/>
      </top>
      <bottom style="thin">
        <color auto="1"/>
      </bottom>
      <diagonal/>
    </border>
    <border>
      <left/>
      <right/>
      <top style="medium">
        <color auto="1"/>
      </top>
      <bottom style="medium">
        <color auto="1"/>
      </bottom>
      <diagonal/>
    </border>
    <border>
      <left/>
      <right/>
      <top/>
      <bottom style="hair">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medium">
        <color rgb="FFEE7525"/>
      </bottom>
      <diagonal/>
    </border>
    <border>
      <left/>
      <right/>
      <top style="medium">
        <color rgb="FFEE7525"/>
      </top>
      <bottom/>
      <diagonal/>
    </border>
  </borders>
  <cellStyleXfs count="8">
    <xf numFmtId="0" fontId="0" fillId="0" borderId="0"/>
    <xf numFmtId="9" fontId="5" fillId="0" borderId="0" applyFont="0" applyFill="0" applyBorder="0" applyAlignment="0" applyProtection="0"/>
    <xf numFmtId="43" fontId="14" fillId="0" borderId="0" applyFont="0" applyFill="0" applyBorder="0" applyAlignment="0" applyProtection="0"/>
    <xf numFmtId="0" fontId="13" fillId="0" borderId="0" applyNumberFormat="0" applyFill="0" applyBorder="0" applyAlignment="0" applyProtection="0">
      <alignment vertical="top"/>
      <protection locked="0"/>
    </xf>
    <xf numFmtId="0" fontId="18" fillId="7" borderId="0" applyNumberFormat="0" applyBorder="0" applyAlignment="0" applyProtection="0"/>
    <xf numFmtId="0" fontId="14" fillId="0" borderId="0"/>
    <xf numFmtId="9" fontId="14" fillId="0" borderId="0" applyFont="0" applyFill="0" applyBorder="0" applyAlignment="0" applyProtection="0"/>
    <xf numFmtId="0" fontId="21" fillId="0" borderId="0"/>
  </cellStyleXfs>
  <cellXfs count="235">
    <xf numFmtId="0" fontId="0" fillId="0" borderId="0" xfId="0"/>
    <xf numFmtId="0" fontId="0" fillId="2" borderId="0" xfId="0" applyFill="1"/>
    <xf numFmtId="0" fontId="1" fillId="0" borderId="0" xfId="0" applyFont="1"/>
    <xf numFmtId="0" fontId="0" fillId="0" borderId="1" xfId="0" applyBorder="1"/>
    <xf numFmtId="0" fontId="0" fillId="0" borderId="2" xfId="0" applyBorder="1" applyAlignment="1">
      <alignment vertical="top"/>
    </xf>
    <xf numFmtId="0" fontId="3" fillId="3" borderId="0" xfId="0" applyFont="1" applyFill="1"/>
    <xf numFmtId="0" fontId="4" fillId="3" borderId="0" xfId="0" applyFont="1" applyFill="1"/>
    <xf numFmtId="0" fontId="0" fillId="3" borderId="0" xfId="0" applyFill="1"/>
    <xf numFmtId="0" fontId="0" fillId="0" borderId="0" xfId="0" applyAlignment="1">
      <alignment vertical="top"/>
    </xf>
    <xf numFmtId="2" fontId="0" fillId="0" borderId="0" xfId="0" applyNumberFormat="1"/>
    <xf numFmtId="0" fontId="0" fillId="0" borderId="1" xfId="0" applyBorder="1" applyAlignment="1">
      <alignment horizontal="right"/>
    </xf>
    <xf numFmtId="0" fontId="0" fillId="0" borderId="2" xfId="0" applyBorder="1" applyAlignment="1">
      <alignment horizontal="right" vertical="top"/>
    </xf>
    <xf numFmtId="2" fontId="6" fillId="0" borderId="0" xfId="0" applyNumberFormat="1" applyFont="1"/>
    <xf numFmtId="10" fontId="0" fillId="0" borderId="0" xfId="1" applyNumberFormat="1" applyFont="1"/>
    <xf numFmtId="10" fontId="6" fillId="0" borderId="0" xfId="0" applyNumberFormat="1" applyFont="1" applyAlignment="1">
      <alignment vertical="top"/>
    </xf>
    <xf numFmtId="10" fontId="0" fillId="0" borderId="0" xfId="0" applyNumberFormat="1"/>
    <xf numFmtId="0" fontId="1" fillId="0" borderId="3" xfId="0" applyFont="1" applyBorder="1"/>
    <xf numFmtId="10" fontId="0" fillId="0" borderId="3" xfId="1" applyNumberFormat="1" applyFont="1" applyBorder="1"/>
    <xf numFmtId="2" fontId="0" fillId="0" borderId="3" xfId="0" applyNumberFormat="1" applyBorder="1"/>
    <xf numFmtId="0" fontId="1" fillId="0" borderId="4" xfId="0" applyFont="1" applyBorder="1"/>
    <xf numFmtId="10" fontId="0" fillId="0" borderId="4" xfId="1" applyNumberFormat="1" applyFont="1" applyBorder="1"/>
    <xf numFmtId="2" fontId="0" fillId="0" borderId="4" xfId="0" applyNumberFormat="1" applyBorder="1"/>
    <xf numFmtId="10" fontId="0" fillId="4" borderId="0" xfId="1" applyNumberFormat="1" applyFont="1" applyFill="1" applyAlignment="1"/>
    <xf numFmtId="2" fontId="0" fillId="4" borderId="0" xfId="0" applyNumberFormat="1" applyFill="1"/>
    <xf numFmtId="0" fontId="0" fillId="0" borderId="4" xfId="0" applyBorder="1"/>
    <xf numFmtId="0" fontId="1" fillId="0" borderId="4" xfId="0" applyFont="1" applyBorder="1" applyAlignment="1">
      <alignment horizontal="right"/>
    </xf>
    <xf numFmtId="0" fontId="0" fillId="0" borderId="5" xfId="0" applyBorder="1"/>
    <xf numFmtId="10" fontId="0" fillId="0" borderId="5" xfId="1" applyNumberFormat="1" applyFont="1" applyBorder="1"/>
    <xf numFmtId="10" fontId="0" fillId="0" borderId="5" xfId="0" applyNumberFormat="1" applyBorder="1"/>
    <xf numFmtId="10" fontId="0" fillId="4" borderId="5" xfId="1" applyNumberFormat="1" applyFont="1" applyFill="1" applyBorder="1"/>
    <xf numFmtId="10" fontId="0" fillId="0" borderId="0" xfId="1" applyNumberFormat="1" applyFont="1" applyBorder="1"/>
    <xf numFmtId="2" fontId="0" fillId="0" borderId="5" xfId="0" applyNumberFormat="1" applyBorder="1"/>
    <xf numFmtId="0" fontId="7" fillId="0" borderId="0" xfId="0" applyFont="1"/>
    <xf numFmtId="0" fontId="8" fillId="0" borderId="0" xfId="0" applyFont="1"/>
    <xf numFmtId="165" fontId="6" fillId="0" borderId="0" xfId="0" applyNumberFormat="1" applyFont="1"/>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left"/>
    </xf>
    <xf numFmtId="0" fontId="1" fillId="0" borderId="0" xfId="0" applyFont="1" applyAlignment="1">
      <alignment horizontal="right"/>
    </xf>
    <xf numFmtId="0" fontId="1" fillId="0" borderId="6" xfId="0" applyFont="1" applyBorder="1" applyAlignment="1">
      <alignment horizontal="left"/>
    </xf>
    <xf numFmtId="0" fontId="1" fillId="0" borderId="6" xfId="0" applyFont="1" applyBorder="1" applyAlignment="1">
      <alignment horizontal="right"/>
    </xf>
    <xf numFmtId="0" fontId="0" fillId="6" borderId="0" xfId="0" applyFill="1"/>
    <xf numFmtId="2" fontId="0" fillId="6" borderId="0" xfId="0" applyNumberFormat="1" applyFill="1"/>
    <xf numFmtId="10" fontId="6" fillId="0" borderId="0" xfId="1" applyNumberFormat="1" applyFont="1"/>
    <xf numFmtId="0" fontId="9" fillId="2" borderId="0" xfId="0" applyFont="1" applyFill="1"/>
    <xf numFmtId="0" fontId="10" fillId="2" borderId="0" xfId="0" applyFont="1" applyFill="1"/>
    <xf numFmtId="10" fontId="0" fillId="0" borderId="0" xfId="0" applyNumberFormat="1" applyAlignment="1">
      <alignment horizontal="right"/>
    </xf>
    <xf numFmtId="0" fontId="1" fillId="4" borderId="0" xfId="0" applyFont="1" applyFill="1"/>
    <xf numFmtId="10" fontId="1" fillId="4" borderId="0" xfId="0" applyNumberFormat="1" applyFont="1" applyFill="1"/>
    <xf numFmtId="10" fontId="6" fillId="0" borderId="0" xfId="0" applyNumberFormat="1" applyFont="1" applyAlignment="1">
      <alignment horizontal="right"/>
    </xf>
    <xf numFmtId="2" fontId="0" fillId="4" borderId="0" xfId="0" applyNumberFormat="1" applyFill="1" applyAlignment="1">
      <alignment horizontal="right"/>
    </xf>
    <xf numFmtId="10" fontId="0" fillId="4" borderId="5" xfId="0" applyNumberFormat="1" applyFill="1" applyBorder="1"/>
    <xf numFmtId="10" fontId="0" fillId="0" borderId="0" xfId="1" applyNumberFormat="1" applyFont="1" applyFill="1" applyBorder="1"/>
    <xf numFmtId="0" fontId="1" fillId="6" borderId="0" xfId="0" applyFont="1" applyFill="1"/>
    <xf numFmtId="10" fontId="1" fillId="6" borderId="0" xfId="0" applyNumberFormat="1" applyFont="1" applyFill="1"/>
    <xf numFmtId="0" fontId="9" fillId="5" borderId="0" xfId="0" applyFont="1" applyFill="1"/>
    <xf numFmtId="17" fontId="9" fillId="5" borderId="0" xfId="0" applyNumberFormat="1" applyFont="1" applyFill="1"/>
    <xf numFmtId="17" fontId="9" fillId="5" borderId="0" xfId="0" applyNumberFormat="1" applyFont="1" applyFill="1" applyAlignment="1">
      <alignment horizontal="right"/>
    </xf>
    <xf numFmtId="0" fontId="9" fillId="0" borderId="0" xfId="0" applyFont="1"/>
    <xf numFmtId="17" fontId="9" fillId="0" borderId="0" xfId="0" applyNumberFormat="1" applyFont="1"/>
    <xf numFmtId="17" fontId="9" fillId="0" borderId="0" xfId="0" applyNumberFormat="1" applyFont="1" applyAlignment="1">
      <alignment horizontal="right"/>
    </xf>
    <xf numFmtId="0" fontId="1" fillId="3" borderId="0" xfId="0" applyFont="1" applyFill="1"/>
    <xf numFmtId="166" fontId="0" fillId="0" borderId="0" xfId="0" applyNumberFormat="1"/>
    <xf numFmtId="0" fontId="12" fillId="0" borderId="0" xfId="0" applyFont="1"/>
    <xf numFmtId="0" fontId="12" fillId="0" borderId="0" xfId="0" applyFont="1" applyAlignment="1">
      <alignment horizontal="right"/>
    </xf>
    <xf numFmtId="10" fontId="12" fillId="0" borderId="0" xfId="1" applyNumberFormat="1" applyFont="1"/>
    <xf numFmtId="0" fontId="1" fillId="0" borderId="7" xfId="0" applyFont="1" applyBorder="1"/>
    <xf numFmtId="167" fontId="1" fillId="0" borderId="7" xfId="0" applyNumberFormat="1" applyFont="1" applyBorder="1"/>
    <xf numFmtId="167" fontId="0" fillId="0" borderId="0" xfId="0" applyNumberFormat="1"/>
    <xf numFmtId="166" fontId="1" fillId="0" borderId="7" xfId="0" applyNumberFormat="1" applyFont="1" applyBorder="1"/>
    <xf numFmtId="168" fontId="0" fillId="0" borderId="0" xfId="0" applyNumberFormat="1"/>
    <xf numFmtId="0" fontId="11" fillId="0" borderId="0" xfId="0" applyFont="1"/>
    <xf numFmtId="166" fontId="1" fillId="0" borderId="0" xfId="0" applyNumberFormat="1" applyFont="1"/>
    <xf numFmtId="43" fontId="15" fillId="0" borderId="0" xfId="2" applyFont="1" applyBorder="1"/>
    <xf numFmtId="43" fontId="17" fillId="0" borderId="0" xfId="2" applyFont="1" applyBorder="1"/>
    <xf numFmtId="0" fontId="17" fillId="0" borderId="0" xfId="5" applyFont="1"/>
    <xf numFmtId="169" fontId="19" fillId="8" borderId="0" xfId="2" applyNumberFormat="1" applyFont="1" applyFill="1" applyBorder="1"/>
    <xf numFmtId="169" fontId="19" fillId="8" borderId="0" xfId="5" applyNumberFormat="1" applyFont="1" applyFill="1" applyAlignment="1">
      <alignment horizontal="center"/>
    </xf>
    <xf numFmtId="169" fontId="20" fillId="0" borderId="0" xfId="2" applyNumberFormat="1" applyFont="1" applyFill="1" applyBorder="1"/>
    <xf numFmtId="0" fontId="14" fillId="0" borderId="0" xfId="5"/>
    <xf numFmtId="9" fontId="17" fillId="0" borderId="0" xfId="6" applyFont="1" applyBorder="1"/>
    <xf numFmtId="0" fontId="21" fillId="0" borderId="0" xfId="7"/>
    <xf numFmtId="164" fontId="17" fillId="0" borderId="0" xfId="2" applyNumberFormat="1" applyFont="1" applyBorder="1"/>
    <xf numFmtId="3" fontId="0" fillId="0" borderId="0" xfId="0" applyNumberFormat="1"/>
    <xf numFmtId="17" fontId="9" fillId="2" borderId="0" xfId="0" applyNumberFormat="1" applyFont="1" applyFill="1"/>
    <xf numFmtId="0" fontId="1" fillId="0" borderId="8" xfId="0" applyFont="1" applyBorder="1"/>
    <xf numFmtId="0" fontId="0" fillId="0" borderId="7" xfId="0" applyBorder="1"/>
    <xf numFmtId="170" fontId="0" fillId="0" borderId="7" xfId="0" applyNumberFormat="1" applyBorder="1"/>
    <xf numFmtId="170" fontId="0" fillId="0" borderId="0" xfId="0" applyNumberFormat="1"/>
    <xf numFmtId="170" fontId="1" fillId="0" borderId="0" xfId="0" applyNumberFormat="1" applyFont="1"/>
    <xf numFmtId="0" fontId="1" fillId="0" borderId="1" xfId="0" applyFont="1" applyBorder="1"/>
    <xf numFmtId="170" fontId="0" fillId="0" borderId="1" xfId="0" applyNumberFormat="1" applyBorder="1"/>
    <xf numFmtId="170" fontId="1" fillId="0" borderId="8" xfId="0" applyNumberFormat="1" applyFont="1" applyBorder="1"/>
    <xf numFmtId="0" fontId="1" fillId="0" borderId="9" xfId="0" applyFont="1" applyBorder="1"/>
    <xf numFmtId="0" fontId="0" fillId="0" borderId="9" xfId="0" applyBorder="1"/>
    <xf numFmtId="10" fontId="1" fillId="0" borderId="9" xfId="1" applyNumberFormat="1" applyFont="1" applyBorder="1"/>
    <xf numFmtId="171" fontId="0" fillId="0" borderId="0" xfId="0" applyNumberFormat="1"/>
    <xf numFmtId="170" fontId="1" fillId="0" borderId="1" xfId="0" applyNumberFormat="1" applyFont="1" applyBorder="1"/>
    <xf numFmtId="170" fontId="1" fillId="0" borderId="9" xfId="0" applyNumberFormat="1" applyFont="1" applyBorder="1"/>
    <xf numFmtId="10" fontId="6" fillId="0" borderId="7" xfId="0" applyNumberFormat="1" applyFont="1" applyBorder="1"/>
    <xf numFmtId="170" fontId="25" fillId="0" borderId="7" xfId="0" applyNumberFormat="1" applyFont="1" applyBorder="1"/>
    <xf numFmtId="10" fontId="0" fillId="0" borderId="7" xfId="0" applyNumberFormat="1" applyBorder="1"/>
    <xf numFmtId="10" fontId="1" fillId="0" borderId="9" xfId="0" applyNumberFormat="1" applyFont="1" applyBorder="1"/>
    <xf numFmtId="0" fontId="26" fillId="2" borderId="0" xfId="0" applyFont="1" applyFill="1"/>
    <xf numFmtId="17" fontId="26" fillId="2" borderId="0" xfId="0" applyNumberFormat="1" applyFont="1" applyFill="1"/>
    <xf numFmtId="0" fontId="27" fillId="0" borderId="0" xfId="0" applyFont="1"/>
    <xf numFmtId="0" fontId="28" fillId="2" borderId="0" xfId="0" applyFont="1" applyFill="1"/>
    <xf numFmtId="17" fontId="0" fillId="0" borderId="0" xfId="0" applyNumberFormat="1"/>
    <xf numFmtId="0" fontId="1" fillId="6" borderId="5" xfId="0" applyFont="1" applyFill="1" applyBorder="1"/>
    <xf numFmtId="10" fontId="1" fillId="6" borderId="5" xfId="0" applyNumberFormat="1" applyFont="1" applyFill="1" applyBorder="1"/>
    <xf numFmtId="172" fontId="9" fillId="2" borderId="0" xfId="0" applyNumberFormat="1" applyFont="1" applyFill="1"/>
    <xf numFmtId="173" fontId="9" fillId="2" borderId="0" xfId="0" applyNumberFormat="1" applyFont="1" applyFill="1"/>
    <xf numFmtId="9" fontId="0" fillId="0" borderId="0" xfId="0" applyNumberFormat="1"/>
    <xf numFmtId="10" fontId="0" fillId="6" borderId="0" xfId="0" applyNumberFormat="1" applyFill="1"/>
    <xf numFmtId="0" fontId="0" fillId="0" borderId="11" xfId="0" applyBorder="1"/>
    <xf numFmtId="2" fontId="0" fillId="0" borderId="11" xfId="0" applyNumberFormat="1" applyBorder="1"/>
    <xf numFmtId="10" fontId="0" fillId="0" borderId="11" xfId="0" applyNumberFormat="1" applyBorder="1"/>
    <xf numFmtId="0" fontId="6" fillId="0" borderId="11" xfId="0" applyFont="1" applyBorder="1"/>
    <xf numFmtId="0" fontId="0" fillId="4" borderId="11" xfId="0" applyFill="1" applyBorder="1"/>
    <xf numFmtId="10" fontId="6" fillId="4" borderId="11" xfId="0" applyNumberFormat="1" applyFont="1" applyFill="1" applyBorder="1"/>
    <xf numFmtId="0" fontId="0" fillId="4" borderId="0" xfId="0" applyFill="1"/>
    <xf numFmtId="174" fontId="0" fillId="0" borderId="11" xfId="0" applyNumberFormat="1" applyBorder="1"/>
    <xf numFmtId="0" fontId="1" fillId="0" borderId="10" xfId="0" applyFont="1" applyBorder="1"/>
    <xf numFmtId="0" fontId="1" fillId="4" borderId="10" xfId="0" applyFont="1" applyFill="1" applyBorder="1"/>
    <xf numFmtId="2" fontId="1" fillId="0" borderId="10" xfId="0" applyNumberFormat="1" applyFont="1" applyBorder="1"/>
    <xf numFmtId="9" fontId="0" fillId="0" borderId="0" xfId="1" applyFont="1"/>
    <xf numFmtId="165" fontId="6" fillId="0" borderId="0" xfId="0" applyNumberFormat="1" applyFont="1" applyAlignment="1">
      <alignment horizontal="right"/>
    </xf>
    <xf numFmtId="10" fontId="6" fillId="0" borderId="0" xfId="1" applyNumberFormat="1" applyFont="1" applyAlignment="1">
      <alignment horizontal="right"/>
    </xf>
    <xf numFmtId="2" fontId="1" fillId="0" borderId="0" xfId="0" applyNumberFormat="1" applyFont="1"/>
    <xf numFmtId="2" fontId="10" fillId="10" borderId="0" xfId="0" applyNumberFormat="1" applyFont="1" applyFill="1"/>
    <xf numFmtId="10" fontId="1" fillId="0" borderId="0" xfId="0" applyNumberFormat="1" applyFont="1"/>
    <xf numFmtId="165" fontId="0" fillId="0" borderId="0" xfId="0" applyNumberFormat="1"/>
    <xf numFmtId="165" fontId="0" fillId="6" borderId="0" xfId="0" applyNumberFormat="1" applyFill="1"/>
    <xf numFmtId="39" fontId="0" fillId="0" borderId="0" xfId="0" applyNumberFormat="1"/>
    <xf numFmtId="0" fontId="10" fillId="2" borderId="0" xfId="0" applyFont="1" applyFill="1" applyAlignment="1">
      <alignment horizontal="left"/>
    </xf>
    <xf numFmtId="0" fontId="29" fillId="0" borderId="12" xfId="0" applyFont="1" applyBorder="1"/>
    <xf numFmtId="0" fontId="30" fillId="0" borderId="12" xfId="0" applyFont="1" applyBorder="1"/>
    <xf numFmtId="0" fontId="0" fillId="0" borderId="12" xfId="0" applyBorder="1"/>
    <xf numFmtId="0" fontId="18" fillId="2" borderId="0" xfId="0" applyFont="1" applyFill="1"/>
    <xf numFmtId="0" fontId="18" fillId="2" borderId="0" xfId="0" applyFont="1" applyFill="1" applyAlignment="1">
      <alignment wrapText="1"/>
    </xf>
    <xf numFmtId="0" fontId="18" fillId="0" borderId="0" xfId="0" applyFont="1"/>
    <xf numFmtId="0" fontId="18" fillId="0" borderId="0" xfId="0" applyFont="1" applyAlignment="1">
      <alignment wrapText="1"/>
    </xf>
    <xf numFmtId="0" fontId="0" fillId="4" borderId="7" xfId="0" applyFill="1" applyBorder="1"/>
    <xf numFmtId="165" fontId="0" fillId="4" borderId="7" xfId="0" applyNumberFormat="1" applyFill="1" applyBorder="1"/>
    <xf numFmtId="4" fontId="0" fillId="4" borderId="7" xfId="0" applyNumberFormat="1" applyFill="1" applyBorder="1"/>
    <xf numFmtId="0" fontId="18" fillId="4" borderId="7" xfId="0" applyFont="1" applyFill="1" applyBorder="1"/>
    <xf numFmtId="175" fontId="0" fillId="4" borderId="7" xfId="0" applyNumberFormat="1" applyFill="1" applyBorder="1"/>
    <xf numFmtId="165" fontId="0" fillId="0" borderId="7" xfId="0" applyNumberFormat="1" applyBorder="1"/>
    <xf numFmtId="4" fontId="0" fillId="0" borderId="7" xfId="0" applyNumberFormat="1" applyBorder="1"/>
    <xf numFmtId="0" fontId="31" fillId="4" borderId="7" xfId="0" applyFont="1" applyFill="1" applyBorder="1"/>
    <xf numFmtId="175" fontId="31" fillId="4" borderId="7" xfId="0" applyNumberFormat="1" applyFont="1" applyFill="1" applyBorder="1"/>
    <xf numFmtId="2" fontId="0" fillId="4" borderId="7" xfId="0" applyNumberFormat="1" applyFill="1" applyBorder="1"/>
    <xf numFmtId="0" fontId="32" fillId="2" borderId="12" xfId="0" applyFont="1" applyFill="1" applyBorder="1"/>
    <xf numFmtId="0" fontId="18" fillId="2" borderId="12" xfId="0" applyFont="1" applyFill="1" applyBorder="1"/>
    <xf numFmtId="3" fontId="0" fillId="0" borderId="7" xfId="0" applyNumberFormat="1" applyBorder="1"/>
    <xf numFmtId="4" fontId="0" fillId="0" borderId="0" xfId="0" applyNumberFormat="1"/>
    <xf numFmtId="0" fontId="31" fillId="4" borderId="14" xfId="0" applyFont="1" applyFill="1" applyBorder="1"/>
    <xf numFmtId="0" fontId="0" fillId="4" borderId="14" xfId="0" applyFill="1" applyBorder="1"/>
    <xf numFmtId="165" fontId="31" fillId="4" borderId="14" xfId="0" applyNumberFormat="1" applyFont="1" applyFill="1" applyBorder="1"/>
    <xf numFmtId="0" fontId="31" fillId="0" borderId="0" xfId="0" applyFont="1"/>
    <xf numFmtId="165" fontId="31" fillId="0" borderId="0" xfId="0" applyNumberFormat="1" applyFont="1"/>
    <xf numFmtId="0" fontId="29" fillId="0" borderId="0" xfId="0" applyFont="1"/>
    <xf numFmtId="10" fontId="25" fillId="0" borderId="0" xfId="0" applyNumberFormat="1" applyFont="1" applyAlignment="1">
      <alignment vertical="top"/>
    </xf>
    <xf numFmtId="165" fontId="25" fillId="0" borderId="0" xfId="0" applyNumberFormat="1" applyFont="1"/>
    <xf numFmtId="10" fontId="25" fillId="0" borderId="0" xfId="0" applyNumberFormat="1" applyFont="1"/>
    <xf numFmtId="0" fontId="11" fillId="0" borderId="0" xfId="0" applyFont="1" applyAlignment="1">
      <alignment horizontal="centerContinuous"/>
    </xf>
    <xf numFmtId="0" fontId="11" fillId="0" borderId="0" xfId="0" applyFont="1" applyAlignment="1">
      <alignment horizontal="center"/>
    </xf>
    <xf numFmtId="0" fontId="10" fillId="0" borderId="0" xfId="0" applyFont="1"/>
    <xf numFmtId="0" fontId="0" fillId="0" borderId="0" xfId="0" applyAlignment="1">
      <alignment horizontal="center"/>
    </xf>
    <xf numFmtId="2" fontId="25" fillId="0" borderId="0" xfId="0" applyNumberFormat="1" applyFont="1"/>
    <xf numFmtId="10" fontId="6" fillId="6" borderId="0" xfId="0" applyNumberFormat="1" applyFont="1" applyFill="1"/>
    <xf numFmtId="0" fontId="0" fillId="0" borderId="0" xfId="0" applyAlignment="1">
      <alignment horizontal="right"/>
    </xf>
    <xf numFmtId="176" fontId="0" fillId="0" borderId="11" xfId="0" applyNumberFormat="1" applyBorder="1"/>
    <xf numFmtId="10" fontId="0" fillId="0" borderId="11" xfId="1" applyNumberFormat="1" applyFont="1" applyBorder="1"/>
    <xf numFmtId="177" fontId="0" fillId="0" borderId="11" xfId="1" applyNumberFormat="1" applyFont="1" applyBorder="1" applyAlignment="1">
      <alignment horizontal="left"/>
    </xf>
    <xf numFmtId="178" fontId="0" fillId="0" borderId="11" xfId="0" applyNumberFormat="1" applyBorder="1"/>
    <xf numFmtId="177" fontId="0" fillId="0" borderId="16" xfId="1" applyNumberFormat="1" applyFont="1" applyBorder="1" applyAlignment="1">
      <alignment horizontal="left"/>
    </xf>
    <xf numFmtId="10" fontId="0" fillId="0" borderId="16" xfId="0" applyNumberFormat="1" applyBorder="1"/>
    <xf numFmtId="10" fontId="0" fillId="0" borderId="16" xfId="1" applyNumberFormat="1" applyFont="1" applyBorder="1"/>
    <xf numFmtId="178" fontId="0" fillId="0" borderId="16" xfId="0" applyNumberFormat="1" applyBorder="1"/>
    <xf numFmtId="0" fontId="1" fillId="0" borderId="15" xfId="0" applyFont="1" applyBorder="1" applyAlignment="1">
      <alignment horizontal="left"/>
    </xf>
    <xf numFmtId="0" fontId="0" fillId="0" borderId="15" xfId="0" applyBorder="1"/>
    <xf numFmtId="0" fontId="1" fillId="0" borderId="15" xfId="0" applyFont="1" applyBorder="1" applyAlignment="1">
      <alignment horizontal="right"/>
    </xf>
    <xf numFmtId="176" fontId="1" fillId="0" borderId="15" xfId="0" applyNumberFormat="1" applyFont="1" applyBorder="1" applyAlignment="1">
      <alignment horizontal="right"/>
    </xf>
    <xf numFmtId="0" fontId="9" fillId="2" borderId="0" xfId="0" applyFont="1" applyFill="1" applyAlignment="1">
      <alignment horizontal="right"/>
    </xf>
    <xf numFmtId="2" fontId="0" fillId="0" borderId="0" xfId="0" applyNumberFormat="1" applyAlignment="1">
      <alignment horizontal="right"/>
    </xf>
    <xf numFmtId="174" fontId="0" fillId="0" borderId="0" xfId="0" applyNumberFormat="1" applyAlignment="1">
      <alignment horizontal="right"/>
    </xf>
    <xf numFmtId="0" fontId="0" fillId="0" borderId="16" xfId="0" applyBorder="1"/>
    <xf numFmtId="176" fontId="0" fillId="0" borderId="16" xfId="0" applyNumberFormat="1" applyBorder="1"/>
    <xf numFmtId="176" fontId="0" fillId="0" borderId="0" xfId="0" applyNumberFormat="1"/>
    <xf numFmtId="0" fontId="0" fillId="0" borderId="16" xfId="0" applyBorder="1" applyAlignment="1">
      <alignment horizontal="left"/>
    </xf>
    <xf numFmtId="0" fontId="0" fillId="0" borderId="11" xfId="0" applyBorder="1" applyAlignment="1">
      <alignment horizontal="left"/>
    </xf>
    <xf numFmtId="0" fontId="1" fillId="0" borderId="15" xfId="0" applyFont="1" applyBorder="1"/>
    <xf numFmtId="17" fontId="22" fillId="9" borderId="17" xfId="0" applyNumberFormat="1" applyFont="1" applyFill="1" applyBorder="1" applyAlignment="1">
      <alignment horizontal="right" vertical="center" wrapText="1" indent="1"/>
    </xf>
    <xf numFmtId="17" fontId="22" fillId="9" borderId="3" xfId="0" applyNumberFormat="1" applyFont="1" applyFill="1" applyBorder="1" applyAlignment="1">
      <alignment horizontal="right" vertical="center" wrapText="1" indent="1"/>
    </xf>
    <xf numFmtId="17" fontId="0" fillId="9" borderId="18" xfId="0" applyNumberFormat="1" applyFill="1" applyBorder="1"/>
    <xf numFmtId="0" fontId="23" fillId="9" borderId="19" xfId="0" applyFont="1" applyFill="1" applyBorder="1" applyAlignment="1">
      <alignment vertical="center"/>
    </xf>
    <xf numFmtId="3" fontId="23" fillId="9" borderId="0" xfId="0" applyNumberFormat="1" applyFont="1" applyFill="1" applyAlignment="1">
      <alignment horizontal="right" vertical="center" wrapText="1" indent="1"/>
    </xf>
    <xf numFmtId="3" fontId="23" fillId="9" borderId="20" xfId="0" applyNumberFormat="1" applyFont="1" applyFill="1" applyBorder="1" applyAlignment="1">
      <alignment horizontal="right" vertical="center" wrapText="1" indent="1"/>
    </xf>
    <xf numFmtId="0" fontId="23" fillId="9" borderId="19" xfId="0" applyFont="1" applyFill="1" applyBorder="1" applyAlignment="1">
      <alignment horizontal="left" vertical="center"/>
    </xf>
    <xf numFmtId="0" fontId="24" fillId="9" borderId="19" xfId="0" applyFont="1" applyFill="1" applyBorder="1" applyAlignment="1">
      <alignment horizontal="left" vertical="center"/>
    </xf>
    <xf numFmtId="0" fontId="24" fillId="9" borderId="0" xfId="0" applyFont="1" applyFill="1" applyAlignment="1">
      <alignment horizontal="right" vertical="center" wrapText="1" indent="1"/>
    </xf>
    <xf numFmtId="3" fontId="24" fillId="9" borderId="0" xfId="0" applyNumberFormat="1" applyFont="1" applyFill="1" applyAlignment="1">
      <alignment horizontal="right" vertical="center" wrapText="1" indent="1"/>
    </xf>
    <xf numFmtId="3" fontId="24" fillId="9" borderId="20" xfId="0" applyNumberFormat="1" applyFont="1" applyFill="1" applyBorder="1" applyAlignment="1">
      <alignment horizontal="right" vertical="center" wrapText="1" indent="1"/>
    </xf>
    <xf numFmtId="0" fontId="24" fillId="9" borderId="20" xfId="0" applyFont="1" applyFill="1" applyBorder="1" applyAlignment="1">
      <alignment horizontal="right" vertical="center" wrapText="1" indent="1"/>
    </xf>
    <xf numFmtId="0" fontId="23" fillId="9" borderId="0" xfId="0" applyFont="1" applyFill="1" applyAlignment="1">
      <alignment horizontal="right" vertical="center" wrapText="1" indent="1"/>
    </xf>
    <xf numFmtId="0" fontId="23" fillId="9" borderId="19" xfId="0" applyFont="1" applyFill="1" applyBorder="1" applyAlignment="1">
      <alignment horizontal="left" vertical="center" indent="1"/>
    </xf>
    <xf numFmtId="0" fontId="23" fillId="9" borderId="20" xfId="0" applyFont="1" applyFill="1" applyBorder="1" applyAlignment="1">
      <alignment horizontal="right" vertical="center" wrapText="1" indent="1"/>
    </xf>
    <xf numFmtId="0" fontId="0" fillId="0" borderId="19" xfId="0" applyBorder="1"/>
    <xf numFmtId="0" fontId="0" fillId="0" borderId="20" xfId="0" applyBorder="1"/>
    <xf numFmtId="3" fontId="0" fillId="0" borderId="20" xfId="0" applyNumberFormat="1" applyBorder="1"/>
    <xf numFmtId="0" fontId="0" fillId="0" borderId="21" xfId="0" applyBorder="1"/>
    <xf numFmtId="3" fontId="0" fillId="0" borderId="4" xfId="0" applyNumberFormat="1" applyBorder="1"/>
    <xf numFmtId="0" fontId="0" fillId="0" borderId="22" xfId="0" applyBorder="1"/>
    <xf numFmtId="0" fontId="0" fillId="0" borderId="23" xfId="0" applyBorder="1"/>
    <xf numFmtId="17" fontId="1" fillId="0" borderId="0" xfId="0" applyNumberFormat="1" applyFont="1"/>
    <xf numFmtId="0" fontId="1" fillId="12" borderId="0" xfId="0" applyFont="1" applyFill="1"/>
    <xf numFmtId="10" fontId="1" fillId="12" borderId="0" xfId="1" applyNumberFormat="1" applyFont="1" applyFill="1"/>
    <xf numFmtId="179" fontId="1" fillId="12" borderId="0" xfId="1" applyNumberFormat="1" applyFont="1" applyFill="1"/>
    <xf numFmtId="0" fontId="35" fillId="0" borderId="0" xfId="0" applyFont="1"/>
    <xf numFmtId="0" fontId="0" fillId="11" borderId="0" xfId="0" applyFill="1"/>
    <xf numFmtId="0" fontId="36" fillId="9" borderId="0" xfId="0" applyFont="1" applyFill="1"/>
    <xf numFmtId="10" fontId="1" fillId="0" borderId="0" xfId="1" applyNumberFormat="1" applyFont="1" applyFill="1"/>
    <xf numFmtId="0" fontId="0" fillId="12" borderId="0" xfId="0" applyFill="1"/>
    <xf numFmtId="4" fontId="0" fillId="12" borderId="0" xfId="0" applyNumberFormat="1" applyFill="1"/>
    <xf numFmtId="4" fontId="38" fillId="0" borderId="0" xfId="0" applyNumberFormat="1" applyFont="1" applyAlignment="1">
      <alignment horizontal="right"/>
    </xf>
    <xf numFmtId="0" fontId="9" fillId="11" borderId="0" xfId="0" applyFont="1" applyFill="1" applyAlignment="1">
      <alignment horizontal="center"/>
    </xf>
    <xf numFmtId="0" fontId="37" fillId="0" borderId="24" xfId="0" applyFont="1" applyBorder="1" applyAlignment="1">
      <alignment horizontal="center"/>
    </xf>
    <xf numFmtId="0" fontId="0" fillId="0" borderId="0" xfId="0"/>
    <xf numFmtId="0" fontId="34" fillId="0" borderId="0" xfId="0" applyFont="1" applyAlignment="1">
      <alignment horizontal="left" vertical="center" wrapText="1"/>
    </xf>
    <xf numFmtId="0" fontId="33" fillId="0" borderId="0" xfId="0" applyFont="1" applyAlignment="1">
      <alignment horizontal="left" vertical="center" wrapText="1"/>
    </xf>
    <xf numFmtId="0" fontId="9" fillId="5" borderId="0" xfId="0" applyFont="1" applyFill="1" applyAlignment="1">
      <alignment horizontal="center"/>
    </xf>
    <xf numFmtId="0" fontId="18" fillId="2" borderId="13" xfId="0" applyFont="1" applyFill="1" applyBorder="1" applyAlignment="1">
      <alignment horizontal="center"/>
    </xf>
    <xf numFmtId="43" fontId="16" fillId="0" borderId="0" xfId="3" applyNumberFormat="1" applyFont="1" applyBorder="1" applyAlignment="1" applyProtection="1">
      <alignment horizontal="center"/>
    </xf>
    <xf numFmtId="43" fontId="19" fillId="7" borderId="0" xfId="4" applyNumberFormat="1" applyFont="1" applyBorder="1" applyAlignment="1">
      <alignment horizontal="center"/>
    </xf>
  </cellXfs>
  <cellStyles count="8">
    <cellStyle name="Accent6 2" xfId="4" xr:uid="{C4E8E0CB-FE77-482F-93E0-B2E0584F0368}"/>
    <cellStyle name="Comma 2" xfId="2" xr:uid="{1A7DFA1D-C51A-40CE-910E-8390CF1EC924}"/>
    <cellStyle name="Hyperlink 2" xfId="3" xr:uid="{C7BBB295-D97F-41F6-AD82-25BFD9046B13}"/>
    <cellStyle name="Normal" xfId="0" builtinId="0"/>
    <cellStyle name="Normal 2" xfId="7" xr:uid="{633D282F-8662-4C6C-BDD9-AD052BE7F2A5}"/>
    <cellStyle name="Normal 3" xfId="5" xr:uid="{EAECDA40-276A-48EF-BFC3-4D8D193BC9C6}"/>
    <cellStyle name="Percent" xfId="1" builtinId="5"/>
    <cellStyle name="Percent 3" xfId="6" xr:uid="{43F4A9DE-7E1B-4A43-8A65-13C050C61561}"/>
  </cellStyles>
  <dxfs count="1">
    <dxf>
      <font>
        <b/>
        <i val="0"/>
        <color theme="0"/>
      </font>
      <fill>
        <patternFill>
          <bgColor theme="5"/>
        </patternFill>
      </fill>
    </dxf>
  </dxfs>
  <tableStyles count="0" defaultTableStyle="TableStyleMedium2" defaultPivotStyle="PivotStyleLight16"/>
  <colors>
    <mruColors>
      <color rgb="FFEE7525"/>
      <color rgb="FFFFFFFF"/>
      <color rgb="FFF7BB93"/>
      <color rgb="FFFF0000"/>
      <color rgb="FFF3A067"/>
      <color rgb="FFFBE0CD"/>
      <color rgb="FFFFC9C9"/>
      <color rgb="FFFF6565"/>
      <color rgb="FFF0000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rgbClr val="3333FF"/>
                </a:solidFill>
              </a:rPr>
              <a:t>Football</a:t>
            </a:r>
            <a:r>
              <a:rPr lang="en-IN" sz="1200" b="1" baseline="0">
                <a:solidFill>
                  <a:srgbClr val="3333FF"/>
                </a:solidFill>
              </a:rPr>
              <a:t> Field Analysis- Valuation Summary(Rs.)</a:t>
            </a:r>
            <a:endParaRPr lang="en-IN" sz="1200" b="1">
              <a:solidFill>
                <a:srgbClr val="3333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spPr>
            <a:ln w="19050" cap="rnd">
              <a:noFill/>
              <a:round/>
            </a:ln>
            <a:effectLst/>
          </c:spPr>
          <c:marker>
            <c:symbol val="none"/>
          </c:marker>
          <c:cat>
            <c:strRef>
              <c:f>'Football Field Analysis'!$L$6:$L$10</c:f>
              <c:strCache>
                <c:ptCount val="5"/>
                <c:pt idx="0">
                  <c:v>Relative Valuation</c:v>
                </c:pt>
                <c:pt idx="1">
                  <c:v>DCF Bear</c:v>
                </c:pt>
                <c:pt idx="2">
                  <c:v>DCF Base</c:v>
                </c:pt>
                <c:pt idx="3">
                  <c:v>DCF Bull</c:v>
                </c:pt>
                <c:pt idx="4">
                  <c:v>52 Weeks Range</c:v>
                </c:pt>
              </c:strCache>
            </c:strRef>
          </c:cat>
          <c:val>
            <c:numRef>
              <c:f>'Football Field Analysis'!$N$6:$N$10</c:f>
              <c:numCache>
                <c:formatCode>0.00</c:formatCode>
                <c:ptCount val="5"/>
                <c:pt idx="0">
                  <c:v>1393.8</c:v>
                </c:pt>
                <c:pt idx="1">
                  <c:v>468.20006013707615</c:v>
                </c:pt>
                <c:pt idx="2">
                  <c:v>514.97546766813673</c:v>
                </c:pt>
                <c:pt idx="3">
                  <c:v>545.08788014996458</c:v>
                </c:pt>
                <c:pt idx="4">
                  <c:v>2115</c:v>
                </c:pt>
              </c:numCache>
            </c:numRef>
          </c:val>
          <c:smooth val="0"/>
          <c:extLst>
            <c:ext xmlns:c16="http://schemas.microsoft.com/office/drawing/2014/chart" uri="{C3380CC4-5D6E-409C-BE32-E72D297353CC}">
              <c16:uniqueId val="{00000000-A30A-42EF-A5BF-9DDDB1325635}"/>
            </c:ext>
          </c:extLst>
        </c:ser>
        <c:ser>
          <c:idx val="1"/>
          <c:order val="1"/>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Relative Valuation</c:v>
                </c:pt>
                <c:pt idx="1">
                  <c:v>DCF Bear</c:v>
                </c:pt>
                <c:pt idx="2">
                  <c:v>DCF Base</c:v>
                </c:pt>
                <c:pt idx="3">
                  <c:v>DCF Bull</c:v>
                </c:pt>
                <c:pt idx="4">
                  <c:v>52 Weeks Range</c:v>
                </c:pt>
              </c:strCache>
            </c:strRef>
          </c:cat>
          <c:val>
            <c:numRef>
              <c:f>'Football Field Analysis'!$O$6:$O$10</c:f>
              <c:numCache>
                <c:formatCode>0.00</c:formatCode>
                <c:ptCount val="5"/>
                <c:pt idx="0">
                  <c:v>1393.8</c:v>
                </c:pt>
                <c:pt idx="1">
                  <c:v>468.20006013707615</c:v>
                </c:pt>
                <c:pt idx="2">
                  <c:v>514.97546766813673</c:v>
                </c:pt>
                <c:pt idx="3">
                  <c:v>545.08788014996458</c:v>
                </c:pt>
                <c:pt idx="4">
                  <c:v>2115</c:v>
                </c:pt>
              </c:numCache>
            </c:numRef>
          </c:val>
          <c:smooth val="0"/>
          <c:extLst>
            <c:ext xmlns:c16="http://schemas.microsoft.com/office/drawing/2014/chart" uri="{C3380CC4-5D6E-409C-BE32-E72D297353CC}">
              <c16:uniqueId val="{00000001-A30A-42EF-A5BF-9DDDB1325635}"/>
            </c:ext>
          </c:extLst>
        </c:ser>
        <c:ser>
          <c:idx val="2"/>
          <c:order val="2"/>
          <c:spPr>
            <a:ln w="19050" cap="rnd">
              <a:noFill/>
              <a:round/>
            </a:ln>
            <a:effectLst/>
          </c:spPr>
          <c:marker>
            <c:symbol val="none"/>
          </c:marker>
          <c:cat>
            <c:strRef>
              <c:f>'Football Field Analysis'!$L$6:$L$10</c:f>
              <c:strCache>
                <c:ptCount val="5"/>
                <c:pt idx="0">
                  <c:v>Relative Valuation</c:v>
                </c:pt>
                <c:pt idx="1">
                  <c:v>DCF Bear</c:v>
                </c:pt>
                <c:pt idx="2">
                  <c:v>DCF Base</c:v>
                </c:pt>
                <c:pt idx="3">
                  <c:v>DCF Bull</c:v>
                </c:pt>
                <c:pt idx="4">
                  <c:v>52 Weeks Range</c:v>
                </c:pt>
              </c:strCache>
            </c:strRef>
          </c:cat>
          <c:val>
            <c:numRef>
              <c:f>'Football Field Analysis'!$P$6:$P$10</c:f>
              <c:numCache>
                <c:formatCode>0.00</c:formatCode>
                <c:ptCount val="5"/>
                <c:pt idx="0">
                  <c:v>1797.1</c:v>
                </c:pt>
                <c:pt idx="1">
                  <c:v>665.91159731307516</c:v>
                </c:pt>
                <c:pt idx="2">
                  <c:v>791.08836579752801</c:v>
                </c:pt>
                <c:pt idx="3">
                  <c:v>883.4</c:v>
                </c:pt>
                <c:pt idx="4">
                  <c:v>2985.7</c:v>
                </c:pt>
              </c:numCache>
            </c:numRef>
          </c:val>
          <c:smooth val="0"/>
          <c:extLst>
            <c:ext xmlns:c16="http://schemas.microsoft.com/office/drawing/2014/chart" uri="{C3380CC4-5D6E-409C-BE32-E72D297353CC}">
              <c16:uniqueId val="{00000002-A30A-42EF-A5BF-9DDDB1325635}"/>
            </c:ext>
          </c:extLst>
        </c:ser>
        <c:ser>
          <c:idx val="3"/>
          <c:order val="3"/>
          <c:spPr>
            <a:ln w="19050" cap="rnd">
              <a:noFill/>
              <a:round/>
            </a:ln>
            <a:effectLst/>
          </c:spPr>
          <c:marker>
            <c:symbol val="none"/>
          </c:marker>
          <c:dLbls>
            <c:numFmt formatCode="[$₹-4009]\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Analysis'!$L$6:$L$10</c:f>
              <c:strCache>
                <c:ptCount val="5"/>
                <c:pt idx="0">
                  <c:v>Relative Valuation</c:v>
                </c:pt>
                <c:pt idx="1">
                  <c:v>DCF Bear</c:v>
                </c:pt>
                <c:pt idx="2">
                  <c:v>DCF Base</c:v>
                </c:pt>
                <c:pt idx="3">
                  <c:v>DCF Bull</c:v>
                </c:pt>
                <c:pt idx="4">
                  <c:v>52 Weeks Range</c:v>
                </c:pt>
              </c:strCache>
            </c:strRef>
          </c:cat>
          <c:val>
            <c:numRef>
              <c:f>'Football Field Analysis'!$Q$6:$Q$10</c:f>
              <c:numCache>
                <c:formatCode>0.00</c:formatCode>
                <c:ptCount val="5"/>
                <c:pt idx="0">
                  <c:v>1797.1</c:v>
                </c:pt>
                <c:pt idx="1">
                  <c:v>665.91159731307516</c:v>
                </c:pt>
                <c:pt idx="2">
                  <c:v>791.08836579752801</c:v>
                </c:pt>
                <c:pt idx="3">
                  <c:v>883.4</c:v>
                </c:pt>
                <c:pt idx="4">
                  <c:v>2985.7</c:v>
                </c:pt>
              </c:numCache>
            </c:numRef>
          </c:val>
          <c:smooth val="0"/>
          <c:extLst>
            <c:ext xmlns:c16="http://schemas.microsoft.com/office/drawing/2014/chart" uri="{C3380CC4-5D6E-409C-BE32-E72D297353CC}">
              <c16:uniqueId val="{00000003-A30A-42EF-A5BF-9DDDB132563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3333FF"/>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491000495"/>
        <c:axId val="1491006255"/>
      </c:stockChart>
      <c:catAx>
        <c:axId val="14910004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6255"/>
        <c:crosses val="autoZero"/>
        <c:auto val="1"/>
        <c:lblAlgn val="ctr"/>
        <c:lblOffset val="100"/>
        <c:noMultiLvlLbl val="0"/>
      </c:catAx>
      <c:valAx>
        <c:axId val="1491006255"/>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0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EE752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Score'!$C$68:$I$68</c:f>
              <c:numCache>
                <c:formatCode>mmm\-yy</c:formatCode>
                <c:ptCount val="7"/>
                <c:pt idx="0">
                  <c:v>43555</c:v>
                </c:pt>
                <c:pt idx="1">
                  <c:v>43921</c:v>
                </c:pt>
                <c:pt idx="2">
                  <c:v>44286</c:v>
                </c:pt>
                <c:pt idx="3">
                  <c:v>44651</c:v>
                </c:pt>
                <c:pt idx="4">
                  <c:v>45016</c:v>
                </c:pt>
                <c:pt idx="5">
                  <c:v>45382</c:v>
                </c:pt>
                <c:pt idx="6">
                  <c:v>45747</c:v>
                </c:pt>
              </c:numCache>
            </c:numRef>
          </c:cat>
          <c:val>
            <c:numRef>
              <c:f>'Altman Z Score'!$C$71:$I$71</c:f>
              <c:numCache>
                <c:formatCode>0.00%</c:formatCode>
                <c:ptCount val="7"/>
                <c:pt idx="0">
                  <c:v>9.3258349519104139E-2</c:v>
                </c:pt>
                <c:pt idx="1">
                  <c:v>0.17457338190615049</c:v>
                </c:pt>
                <c:pt idx="2">
                  <c:v>0.15333126344241857</c:v>
                </c:pt>
                <c:pt idx="3">
                  <c:v>0.27028938825520732</c:v>
                </c:pt>
                <c:pt idx="4">
                  <c:v>0.26661243717350297</c:v>
                </c:pt>
                <c:pt idx="5">
                  <c:v>0.22640788180371277</c:v>
                </c:pt>
                <c:pt idx="6">
                  <c:v>0.21382660330585321</c:v>
                </c:pt>
              </c:numCache>
            </c:numRef>
          </c:val>
          <c:extLst>
            <c:ext xmlns:c16="http://schemas.microsoft.com/office/drawing/2014/chart" uri="{C3380CC4-5D6E-409C-BE32-E72D297353CC}">
              <c16:uniqueId val="{00000008-1BFF-4B43-BFF1-568F658F0096}"/>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1"/>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Score'!$C$74:$I$74</c:f>
              <c:numCache>
                <c:formatCode>mmm\-yy</c:formatCode>
                <c:ptCount val="7"/>
                <c:pt idx="0">
                  <c:v>43555</c:v>
                </c:pt>
                <c:pt idx="1">
                  <c:v>43921</c:v>
                </c:pt>
                <c:pt idx="2">
                  <c:v>44286</c:v>
                </c:pt>
                <c:pt idx="3">
                  <c:v>44651</c:v>
                </c:pt>
                <c:pt idx="4">
                  <c:v>45016</c:v>
                </c:pt>
                <c:pt idx="5">
                  <c:v>45382</c:v>
                </c:pt>
                <c:pt idx="6">
                  <c:v>45747</c:v>
                </c:pt>
              </c:numCache>
            </c:numRef>
          </c:cat>
          <c:val>
            <c:numRef>
              <c:f>'Altman Z Score'!$C$77:$I$77</c:f>
              <c:numCache>
                <c:formatCode>0.00%</c:formatCode>
                <c:ptCount val="7"/>
                <c:pt idx="0">
                  <c:v>5.7056996068642514E-2</c:v>
                </c:pt>
                <c:pt idx="1">
                  <c:v>7.8885386451951381E-2</c:v>
                </c:pt>
                <c:pt idx="2">
                  <c:v>5.7131445605919762E-2</c:v>
                </c:pt>
                <c:pt idx="3">
                  <c:v>4.1468863506781535E-2</c:v>
                </c:pt>
                <c:pt idx="4">
                  <c:v>5.0564541436879683E-2</c:v>
                </c:pt>
                <c:pt idx="5">
                  <c:v>5.1590310216091471E-2</c:v>
                </c:pt>
                <c:pt idx="6">
                  <c:v>3.230643793083577E-2</c:v>
                </c:pt>
              </c:numCache>
            </c:numRef>
          </c:val>
          <c:extLst>
            <c:ext xmlns:c16="http://schemas.microsoft.com/office/drawing/2014/chart" uri="{C3380CC4-5D6E-409C-BE32-E72D297353CC}">
              <c16:uniqueId val="{0000000A-9A21-4E4B-A005-4E0E384D942E}"/>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EE7525"/>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Score'!$C$80:$I$80</c:f>
              <c:numCache>
                <c:formatCode>mmm\-yy</c:formatCode>
                <c:ptCount val="7"/>
                <c:pt idx="0">
                  <c:v>43555</c:v>
                </c:pt>
                <c:pt idx="1">
                  <c:v>43921</c:v>
                </c:pt>
                <c:pt idx="2">
                  <c:v>44286</c:v>
                </c:pt>
                <c:pt idx="3">
                  <c:v>44651</c:v>
                </c:pt>
                <c:pt idx="4">
                  <c:v>45016</c:v>
                </c:pt>
                <c:pt idx="5">
                  <c:v>45382</c:v>
                </c:pt>
                <c:pt idx="6">
                  <c:v>45747</c:v>
                </c:pt>
              </c:numCache>
            </c:numRef>
          </c:cat>
          <c:val>
            <c:numRef>
              <c:f>'Altman Z Score'!$C$83:$I$83</c:f>
              <c:numCache>
                <c:formatCode>0.00%</c:formatCode>
                <c:ptCount val="7"/>
                <c:pt idx="0">
                  <c:v>0.19341688391294404</c:v>
                </c:pt>
                <c:pt idx="1">
                  <c:v>0.20952263512697061</c:v>
                </c:pt>
                <c:pt idx="2">
                  <c:v>0.19966898121082738</c:v>
                </c:pt>
                <c:pt idx="3">
                  <c:v>0.17367258998110927</c:v>
                </c:pt>
                <c:pt idx="4">
                  <c:v>0.20954074446465426</c:v>
                </c:pt>
                <c:pt idx="5">
                  <c:v>0.22514403475228234</c:v>
                </c:pt>
                <c:pt idx="6">
                  <c:v>0.16405300565799991</c:v>
                </c:pt>
              </c:numCache>
            </c:numRef>
          </c:val>
          <c:extLst>
            <c:ext xmlns:c16="http://schemas.microsoft.com/office/drawing/2014/chart" uri="{C3380CC4-5D6E-409C-BE32-E72D297353CC}">
              <c16:uniqueId val="{00000008-AA44-4589-9D26-7A264E59FB1E}"/>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EE752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Score'!$C$86:$I$86</c:f>
              <c:numCache>
                <c:formatCode>mmm\-yy</c:formatCode>
                <c:ptCount val="7"/>
                <c:pt idx="0">
                  <c:v>43555</c:v>
                </c:pt>
                <c:pt idx="1">
                  <c:v>43921</c:v>
                </c:pt>
                <c:pt idx="2">
                  <c:v>44286</c:v>
                </c:pt>
                <c:pt idx="3">
                  <c:v>44651</c:v>
                </c:pt>
                <c:pt idx="4">
                  <c:v>45016</c:v>
                </c:pt>
                <c:pt idx="5">
                  <c:v>45382</c:v>
                </c:pt>
                <c:pt idx="6">
                  <c:v>45747</c:v>
                </c:pt>
              </c:numCache>
            </c:numRef>
          </c:cat>
          <c:val>
            <c:numRef>
              <c:f>'Altman Z Score'!$C$89:$I$89</c:f>
              <c:numCache>
                <c:formatCode>0.00%</c:formatCode>
                <c:ptCount val="7"/>
                <c:pt idx="0">
                  <c:v>108.50216286245832</c:v>
                </c:pt>
                <c:pt idx="1">
                  <c:v>142.91489647161376</c:v>
                </c:pt>
                <c:pt idx="2">
                  <c:v>222.65336581034106</c:v>
                </c:pt>
                <c:pt idx="3">
                  <c:v>186.1691642285806</c:v>
                </c:pt>
                <c:pt idx="4">
                  <c:v>137.06618873619749</c:v>
                </c:pt>
                <c:pt idx="5">
                  <c:v>110.35476800986508</c:v>
                </c:pt>
                <c:pt idx="6">
                  <c:v>98.02890931556702</c:v>
                </c:pt>
              </c:numCache>
            </c:numRef>
          </c:val>
          <c:extLst>
            <c:ext xmlns:c16="http://schemas.microsoft.com/office/drawing/2014/chart" uri="{C3380CC4-5D6E-409C-BE32-E72D297353CC}">
              <c16:uniqueId val="{0000000F-8F8C-4AD2-9092-F6C32EDA3E54}"/>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1"/>
          <c:order val="0"/>
          <c:spPr>
            <a:solidFill>
              <a:schemeClr val="accent2"/>
            </a:solidFill>
            <a:ln>
              <a:noFill/>
            </a:ln>
            <a:effectLst/>
          </c:spPr>
          <c:invertIfNegative val="0"/>
          <c:dPt>
            <c:idx val="3"/>
            <c:invertIfNegative val="0"/>
            <c:bubble3D val="0"/>
            <c:spPr>
              <a:solidFill>
                <a:srgbClr val="F7BB93"/>
              </a:solidFill>
              <a:ln>
                <a:noFill/>
              </a:ln>
              <a:effectLst/>
            </c:spPr>
            <c:extLst>
              <c:ext xmlns:c16="http://schemas.microsoft.com/office/drawing/2014/chart" uri="{C3380CC4-5D6E-409C-BE32-E72D297353CC}">
                <c16:uniqueId val="{00000001-1C55-40CB-AE60-1E80489F02B3}"/>
              </c:ext>
            </c:extLst>
          </c:dPt>
          <c:dPt>
            <c:idx val="4"/>
            <c:invertIfNegative val="0"/>
            <c:bubble3D val="0"/>
            <c:spPr>
              <a:solidFill>
                <a:srgbClr val="F3A067"/>
              </a:solidFill>
              <a:ln>
                <a:noFill/>
              </a:ln>
              <a:effectLst/>
            </c:spPr>
            <c:extLst>
              <c:ext xmlns:c16="http://schemas.microsoft.com/office/drawing/2014/chart" uri="{C3380CC4-5D6E-409C-BE32-E72D297353CC}">
                <c16:uniqueId val="{00000003-1C55-40CB-AE60-1E80489F02B3}"/>
              </c:ext>
            </c:extLst>
          </c:dPt>
          <c:dPt>
            <c:idx val="5"/>
            <c:invertIfNegative val="0"/>
            <c:bubble3D val="0"/>
            <c:spPr>
              <a:solidFill>
                <a:srgbClr val="EE7525"/>
              </a:solidFill>
              <a:ln>
                <a:noFill/>
              </a:ln>
              <a:effectLst/>
            </c:spPr>
            <c:extLst>
              <c:ext xmlns:c16="http://schemas.microsoft.com/office/drawing/2014/chart" uri="{C3380CC4-5D6E-409C-BE32-E72D297353CC}">
                <c16:uniqueId val="{00000005-1C55-40CB-AE60-1E80489F02B3}"/>
              </c:ext>
            </c:extLst>
          </c:dPt>
          <c:dPt>
            <c:idx val="6"/>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1C55-40CB-AE60-1E80489F02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Score'!$C$94:$I$94</c:f>
              <c:numCache>
                <c:formatCode>mmm\-yy</c:formatCode>
                <c:ptCount val="7"/>
                <c:pt idx="0">
                  <c:v>43555</c:v>
                </c:pt>
                <c:pt idx="1">
                  <c:v>43921</c:v>
                </c:pt>
                <c:pt idx="2">
                  <c:v>44286</c:v>
                </c:pt>
                <c:pt idx="3">
                  <c:v>44651</c:v>
                </c:pt>
                <c:pt idx="4">
                  <c:v>45016</c:v>
                </c:pt>
                <c:pt idx="5">
                  <c:v>45382</c:v>
                </c:pt>
                <c:pt idx="6">
                  <c:v>45747</c:v>
                </c:pt>
              </c:numCache>
            </c:numRef>
          </c:cat>
          <c:val>
            <c:numRef>
              <c:f>'Altman Z Score'!$C$97:$I$97</c:f>
              <c:numCache>
                <c:formatCode>0.00%</c:formatCode>
                <c:ptCount val="7"/>
                <c:pt idx="0">
                  <c:v>1.1840925259895476</c:v>
                </c:pt>
                <c:pt idx="1">
                  <c:v>1.2524034931283179</c:v>
                </c:pt>
                <c:pt idx="2">
                  <c:v>1.0666876603387612</c:v>
                </c:pt>
                <c:pt idx="3">
                  <c:v>1.267564027679593</c:v>
                </c:pt>
                <c:pt idx="4">
                  <c:v>1.3378388809949675</c:v>
                </c:pt>
                <c:pt idx="5">
                  <c:v>1.1870841453246856</c:v>
                </c:pt>
                <c:pt idx="6">
                  <c:v>1.1169606575468825</c:v>
                </c:pt>
              </c:numCache>
            </c:numRef>
          </c:val>
          <c:extLst>
            <c:ext xmlns:c16="http://schemas.microsoft.com/office/drawing/2014/chart" uri="{C3380CC4-5D6E-409C-BE32-E72D297353CC}">
              <c16:uniqueId val="{0000000E-9845-4C5C-A01E-186A3B601E72}"/>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EE752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Score'!$C$100:$I$100</c:f>
              <c:numCache>
                <c:formatCode>mmm\-yy</c:formatCode>
                <c:ptCount val="7"/>
                <c:pt idx="0">
                  <c:v>43555</c:v>
                </c:pt>
                <c:pt idx="1">
                  <c:v>43921</c:v>
                </c:pt>
                <c:pt idx="2">
                  <c:v>44286</c:v>
                </c:pt>
                <c:pt idx="3">
                  <c:v>44651</c:v>
                </c:pt>
                <c:pt idx="4">
                  <c:v>45016</c:v>
                </c:pt>
                <c:pt idx="5">
                  <c:v>45382</c:v>
                </c:pt>
                <c:pt idx="6">
                  <c:v>45747</c:v>
                </c:pt>
              </c:numCache>
            </c:numRef>
          </c:cat>
          <c:val>
            <c:numRef>
              <c:f>'Altman Z Score'!$C$101:$I$101</c:f>
              <c:numCache>
                <c:formatCode>#,##0.00</c:formatCode>
                <c:ptCount val="7"/>
                <c:pt idx="0">
                  <c:v>67.115455774296279</c:v>
                </c:pt>
                <c:pt idx="1">
                  <c:v>88.012693671335683</c:v>
                </c:pt>
                <c:pt idx="2">
                  <c:v>135.58159632451833</c:v>
                </c:pt>
                <c:pt idx="3">
                  <c:v>113.92458578658136</c:v>
                </c:pt>
                <c:pt idx="4">
                  <c:v>84.659761862066645</c:v>
                </c:pt>
                <c:pt idx="5">
                  <c:v>68.48683615839326</c:v>
                </c:pt>
                <c:pt idx="6">
                  <c:v>60.777502102628681</c:v>
                </c:pt>
              </c:numCache>
            </c:numRef>
          </c:val>
          <c:extLst>
            <c:ext xmlns:c16="http://schemas.microsoft.com/office/drawing/2014/chart" uri="{C3380CC4-5D6E-409C-BE32-E72D297353CC}">
              <c16:uniqueId val="{0000000A-4103-4DE6-A543-5A4A471A80BA}"/>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rgbClr val="EE7525"/>
            </a:solidFill>
            <a:ln>
              <a:noFill/>
            </a:ln>
            <a:effectLst/>
          </c:spPr>
          <c:invertIfNegative val="0"/>
          <c:dPt>
            <c:idx val="0"/>
            <c:invertIfNegative val="0"/>
            <c:bubble3D val="0"/>
            <c:spPr>
              <a:solidFill>
                <a:srgbClr val="FBE0CD"/>
              </a:solidFill>
              <a:ln>
                <a:noFill/>
              </a:ln>
              <a:effectLst/>
            </c:spPr>
            <c:extLst>
              <c:ext xmlns:c16="http://schemas.microsoft.com/office/drawing/2014/chart" uri="{C3380CC4-5D6E-409C-BE32-E72D297353CC}">
                <c16:uniqueId val="{00000001-0E37-4F60-AA40-6D476EB58B22}"/>
              </c:ext>
            </c:extLst>
          </c:dPt>
          <c:dPt>
            <c:idx val="1"/>
            <c:invertIfNegative val="0"/>
            <c:bubble3D val="0"/>
            <c:spPr>
              <a:solidFill>
                <a:srgbClr val="F3A067"/>
              </a:solidFill>
              <a:ln>
                <a:noFill/>
              </a:ln>
              <a:effectLst/>
            </c:spPr>
            <c:extLst>
              <c:ext xmlns:c16="http://schemas.microsoft.com/office/drawing/2014/chart" uri="{C3380CC4-5D6E-409C-BE32-E72D297353CC}">
                <c16:uniqueId val="{00000006-AE12-442D-9491-4D98BD05FE44}"/>
              </c:ext>
            </c:extLst>
          </c:dPt>
          <c:dPt>
            <c:idx val="2"/>
            <c:invertIfNegative val="0"/>
            <c:bubble3D val="0"/>
            <c:spPr>
              <a:solidFill>
                <a:srgbClr val="EE7525"/>
              </a:solidFill>
              <a:ln>
                <a:noFill/>
              </a:ln>
              <a:effectLst/>
            </c:spPr>
            <c:extLst>
              <c:ext xmlns:c16="http://schemas.microsoft.com/office/drawing/2014/chart" uri="{C3380CC4-5D6E-409C-BE32-E72D297353CC}">
                <c16:uniqueId val="{00000004-0E37-4F60-AA40-6D476EB58B22}"/>
              </c:ext>
            </c:extLst>
          </c:dPt>
          <c:dPt>
            <c:idx val="3"/>
            <c:invertIfNegative val="0"/>
            <c:bubble3D val="0"/>
            <c:spPr>
              <a:solidFill>
                <a:srgbClr val="F7BB93"/>
              </a:solidFill>
              <a:ln>
                <a:noFill/>
              </a:ln>
              <a:effectLst/>
            </c:spPr>
            <c:extLst>
              <c:ext xmlns:c16="http://schemas.microsoft.com/office/drawing/2014/chart" uri="{C3380CC4-5D6E-409C-BE32-E72D297353CC}">
                <c16:uniqueId val="{00000002-0E37-4F60-AA40-6D476EB58B2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Analysis!$F$74:$I$74</c:f>
              <c:numCache>
                <c:formatCode>mmm\-yy</c:formatCode>
                <c:ptCount val="4"/>
                <c:pt idx="0">
                  <c:v>44651</c:v>
                </c:pt>
                <c:pt idx="1">
                  <c:v>45016</c:v>
                </c:pt>
                <c:pt idx="2">
                  <c:v>45382</c:v>
                </c:pt>
                <c:pt idx="3">
                  <c:v>45747</c:v>
                </c:pt>
              </c:numCache>
            </c:numRef>
          </c:cat>
          <c:val>
            <c:numRef>
              <c:f>Analysis!$F$76:$I$76</c:f>
              <c:numCache>
                <c:formatCode>#,##0.00</c:formatCode>
                <c:ptCount val="4"/>
                <c:pt idx="0">
                  <c:v>29101.279999999999</c:v>
                </c:pt>
                <c:pt idx="1">
                  <c:v>34488.589999999997</c:v>
                </c:pt>
                <c:pt idx="2">
                  <c:v>35494.730000000003</c:v>
                </c:pt>
                <c:pt idx="3">
                  <c:v>33905.620000000003</c:v>
                </c:pt>
              </c:numCache>
            </c:numRef>
          </c:val>
          <c:extLst>
            <c:ext xmlns:c16="http://schemas.microsoft.com/office/drawing/2014/chart" uri="{C3380CC4-5D6E-409C-BE32-E72D297353CC}">
              <c16:uniqueId val="{00000000-0E37-4F60-AA40-6D476EB58B22}"/>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chemeClr val="accent1"/>
            </a:solidFill>
            <a:ln>
              <a:solidFill>
                <a:srgbClr val="F7BB93"/>
              </a:solidFill>
            </a:ln>
            <a:effectLst/>
          </c:spPr>
          <c:invertIfNegative val="0"/>
          <c:dPt>
            <c:idx val="0"/>
            <c:invertIfNegative val="0"/>
            <c:bubble3D val="0"/>
            <c:spPr>
              <a:solidFill>
                <a:srgbClr val="FBE0CD"/>
              </a:solidFill>
              <a:ln>
                <a:solidFill>
                  <a:srgbClr val="F7BB93"/>
                </a:solidFill>
              </a:ln>
              <a:effectLst/>
            </c:spPr>
            <c:extLst>
              <c:ext xmlns:c16="http://schemas.microsoft.com/office/drawing/2014/chart" uri="{C3380CC4-5D6E-409C-BE32-E72D297353CC}">
                <c16:uniqueId val="{00000001-89F7-485C-A3F7-F182DB748CE8}"/>
              </c:ext>
            </c:extLst>
          </c:dPt>
          <c:dPt>
            <c:idx val="1"/>
            <c:invertIfNegative val="0"/>
            <c:bubble3D val="0"/>
            <c:spPr>
              <a:solidFill>
                <a:srgbClr val="F3A067"/>
              </a:solidFill>
              <a:ln>
                <a:solidFill>
                  <a:srgbClr val="F7BB93"/>
                </a:solidFill>
              </a:ln>
              <a:effectLst/>
            </c:spPr>
            <c:extLst>
              <c:ext xmlns:c16="http://schemas.microsoft.com/office/drawing/2014/chart" uri="{C3380CC4-5D6E-409C-BE32-E72D297353CC}">
                <c16:uniqueId val="{00000008-89F7-485C-A3F7-F182DB748CE8}"/>
              </c:ext>
            </c:extLst>
          </c:dPt>
          <c:dPt>
            <c:idx val="2"/>
            <c:invertIfNegative val="0"/>
            <c:bubble3D val="0"/>
            <c:spPr>
              <a:solidFill>
                <a:srgbClr val="EE7525"/>
              </a:solidFill>
              <a:ln>
                <a:solidFill>
                  <a:srgbClr val="F7BB93"/>
                </a:solidFill>
              </a:ln>
              <a:effectLst/>
            </c:spPr>
            <c:extLst>
              <c:ext xmlns:c16="http://schemas.microsoft.com/office/drawing/2014/chart" uri="{C3380CC4-5D6E-409C-BE32-E72D297353CC}">
                <c16:uniqueId val="{00000003-89F7-485C-A3F7-F182DB748CE8}"/>
              </c:ext>
            </c:extLst>
          </c:dPt>
          <c:dPt>
            <c:idx val="3"/>
            <c:invertIfNegative val="0"/>
            <c:bubble3D val="0"/>
            <c:spPr>
              <a:solidFill>
                <a:srgbClr val="F7BB93"/>
              </a:solidFill>
              <a:ln>
                <a:solidFill>
                  <a:srgbClr val="F7BB93"/>
                </a:solidFill>
              </a:ln>
              <a:effectLst/>
            </c:spPr>
            <c:extLst>
              <c:ext xmlns:c16="http://schemas.microsoft.com/office/drawing/2014/chart" uri="{C3380CC4-5D6E-409C-BE32-E72D297353CC}">
                <c16:uniqueId val="{00000005-89F7-485C-A3F7-F182DB748CE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Analysis!$F$74:$I$74</c:f>
              <c:numCache>
                <c:formatCode>mmm\-yy</c:formatCode>
                <c:ptCount val="4"/>
                <c:pt idx="0">
                  <c:v>44651</c:v>
                </c:pt>
                <c:pt idx="1">
                  <c:v>45016</c:v>
                </c:pt>
                <c:pt idx="2">
                  <c:v>45382</c:v>
                </c:pt>
                <c:pt idx="3">
                  <c:v>45747</c:v>
                </c:pt>
              </c:numCache>
            </c:numRef>
          </c:cat>
          <c:val>
            <c:numRef>
              <c:f>Analysis!$F$75:$I$75</c:f>
              <c:numCache>
                <c:formatCode>#,##0.00</c:formatCode>
                <c:ptCount val="4"/>
                <c:pt idx="0">
                  <c:v>3030.57</c:v>
                </c:pt>
                <c:pt idx="1">
                  <c:v>4106.45</c:v>
                </c:pt>
                <c:pt idx="2">
                  <c:v>5460.23</c:v>
                </c:pt>
                <c:pt idx="3">
                  <c:v>3667.23</c:v>
                </c:pt>
              </c:numCache>
            </c:numRef>
          </c:val>
          <c:extLst>
            <c:ext xmlns:c16="http://schemas.microsoft.com/office/drawing/2014/chart" uri="{C3380CC4-5D6E-409C-BE32-E72D297353CC}">
              <c16:uniqueId val="{00000006-89F7-485C-A3F7-F182DB748CE8}"/>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BE0CD"/>
              </a:solidFill>
              <a:ln>
                <a:noFill/>
              </a:ln>
              <a:effectLst/>
            </c:spPr>
            <c:extLst>
              <c:ext xmlns:c16="http://schemas.microsoft.com/office/drawing/2014/chart" uri="{C3380CC4-5D6E-409C-BE32-E72D297353CC}">
                <c16:uniqueId val="{00000001-FE86-48AE-81FD-78AF5889BB89}"/>
              </c:ext>
            </c:extLst>
          </c:dPt>
          <c:dPt>
            <c:idx val="1"/>
            <c:invertIfNegative val="0"/>
            <c:bubble3D val="0"/>
            <c:spPr>
              <a:solidFill>
                <a:srgbClr val="F7BB93"/>
              </a:solidFill>
              <a:ln>
                <a:noFill/>
              </a:ln>
              <a:effectLst/>
            </c:spPr>
            <c:extLst>
              <c:ext xmlns:c16="http://schemas.microsoft.com/office/drawing/2014/chart" uri="{C3380CC4-5D6E-409C-BE32-E72D297353CC}">
                <c16:uniqueId val="{00000007-FE86-48AE-81FD-78AF5889BB89}"/>
              </c:ext>
            </c:extLst>
          </c:dPt>
          <c:dPt>
            <c:idx val="2"/>
            <c:invertIfNegative val="0"/>
            <c:bubble3D val="0"/>
            <c:spPr>
              <a:solidFill>
                <a:srgbClr val="F3A067"/>
              </a:solidFill>
              <a:ln>
                <a:noFill/>
              </a:ln>
              <a:effectLst/>
            </c:spPr>
            <c:extLst>
              <c:ext xmlns:c16="http://schemas.microsoft.com/office/drawing/2014/chart" uri="{C3380CC4-5D6E-409C-BE32-E72D297353CC}">
                <c16:uniqueId val="{00000003-FE86-48AE-81FD-78AF5889BB89}"/>
              </c:ext>
            </c:extLst>
          </c:dPt>
          <c:dPt>
            <c:idx val="3"/>
            <c:invertIfNegative val="0"/>
            <c:bubble3D val="0"/>
            <c:spPr>
              <a:solidFill>
                <a:srgbClr val="EE7525"/>
              </a:solidFill>
              <a:ln>
                <a:noFill/>
              </a:ln>
              <a:effectLst/>
            </c:spPr>
            <c:extLst>
              <c:ext xmlns:c16="http://schemas.microsoft.com/office/drawing/2014/chart" uri="{C3380CC4-5D6E-409C-BE32-E72D297353CC}">
                <c16:uniqueId val="{00000005-FE86-48AE-81FD-78AF5889BB8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Analysis!$F$68:$I$68</c:f>
              <c:numCache>
                <c:formatCode>mmm\-yy</c:formatCode>
                <c:ptCount val="4"/>
                <c:pt idx="0">
                  <c:v>44651</c:v>
                </c:pt>
                <c:pt idx="1">
                  <c:v>45016</c:v>
                </c:pt>
                <c:pt idx="2">
                  <c:v>45382</c:v>
                </c:pt>
                <c:pt idx="3">
                  <c:v>45747</c:v>
                </c:pt>
              </c:numCache>
            </c:numRef>
          </c:cat>
          <c:val>
            <c:numRef>
              <c:f>Analysis!$F$81:$I$81</c:f>
              <c:numCache>
                <c:formatCode>#,##0.00</c:formatCode>
                <c:ptCount val="4"/>
                <c:pt idx="0">
                  <c:v>21656.885000000002</c:v>
                </c:pt>
                <c:pt idx="1">
                  <c:v>24368.880000000001</c:v>
                </c:pt>
                <c:pt idx="2">
                  <c:v>27840.050000000003</c:v>
                </c:pt>
                <c:pt idx="3">
                  <c:v>30128.010000000002</c:v>
                </c:pt>
              </c:numCache>
            </c:numRef>
          </c:val>
          <c:extLst>
            <c:ext xmlns:c16="http://schemas.microsoft.com/office/drawing/2014/chart" uri="{C3380CC4-5D6E-409C-BE32-E72D297353CC}">
              <c16:uniqueId val="{00000006-FE86-48AE-81FD-78AF5889BB89}"/>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7BB93"/>
              </a:solidFill>
              <a:ln>
                <a:noFill/>
              </a:ln>
              <a:effectLst/>
            </c:spPr>
            <c:extLst>
              <c:ext xmlns:c16="http://schemas.microsoft.com/office/drawing/2014/chart" uri="{C3380CC4-5D6E-409C-BE32-E72D297353CC}">
                <c16:uniqueId val="{00000001-0649-420F-B972-42543950B608}"/>
              </c:ext>
            </c:extLst>
          </c:dPt>
          <c:dPt>
            <c:idx val="1"/>
            <c:invertIfNegative val="0"/>
            <c:bubble3D val="0"/>
            <c:spPr>
              <a:solidFill>
                <a:srgbClr val="F3A067"/>
              </a:solidFill>
              <a:ln>
                <a:noFill/>
              </a:ln>
              <a:effectLst/>
            </c:spPr>
            <c:extLst>
              <c:ext xmlns:c16="http://schemas.microsoft.com/office/drawing/2014/chart" uri="{C3380CC4-5D6E-409C-BE32-E72D297353CC}">
                <c16:uniqueId val="{00000003-0649-420F-B972-42543950B608}"/>
              </c:ext>
            </c:extLst>
          </c:dPt>
          <c:dPt>
            <c:idx val="2"/>
            <c:invertIfNegative val="0"/>
            <c:bubble3D val="0"/>
            <c:spPr>
              <a:solidFill>
                <a:srgbClr val="EE7525"/>
              </a:solidFill>
              <a:ln>
                <a:noFill/>
              </a:ln>
              <a:effectLst/>
            </c:spPr>
            <c:extLst>
              <c:ext xmlns:c16="http://schemas.microsoft.com/office/drawing/2014/chart" uri="{C3380CC4-5D6E-409C-BE32-E72D297353CC}">
                <c16:uniqueId val="{00000005-0649-420F-B972-42543950B608}"/>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0649-420F-B972-42543950B6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Analysis!$F$68:$I$68</c:f>
              <c:numCache>
                <c:formatCode>mmm\-yy</c:formatCode>
                <c:ptCount val="4"/>
                <c:pt idx="0">
                  <c:v>44651</c:v>
                </c:pt>
                <c:pt idx="1">
                  <c:v>45016</c:v>
                </c:pt>
                <c:pt idx="2">
                  <c:v>45382</c:v>
                </c:pt>
                <c:pt idx="3">
                  <c:v>45747</c:v>
                </c:pt>
              </c:numCache>
            </c:numRef>
          </c:cat>
          <c:val>
            <c:numRef>
              <c:f>Analysis!$F$89:$I$89</c:f>
              <c:numCache>
                <c:formatCode>0.00%</c:formatCode>
                <c:ptCount val="4"/>
                <c:pt idx="0">
                  <c:v>0.22770960088812586</c:v>
                </c:pt>
                <c:pt idx="1">
                  <c:v>0.27556562437193388</c:v>
                </c:pt>
                <c:pt idx="2">
                  <c:v>0.31452457666976852</c:v>
                </c:pt>
                <c:pt idx="3">
                  <c:v>0.19236358686543864</c:v>
                </c:pt>
              </c:numCache>
            </c:numRef>
          </c:val>
          <c:extLst>
            <c:ext xmlns:c16="http://schemas.microsoft.com/office/drawing/2014/chart" uri="{C3380CC4-5D6E-409C-BE32-E72D297353CC}">
              <c16:uniqueId val="{00000008-0649-420F-B972-42543950B608}"/>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7BB93"/>
              </a:solidFill>
              <a:ln>
                <a:noFill/>
              </a:ln>
              <a:effectLst/>
            </c:spPr>
            <c:extLst>
              <c:ext xmlns:c16="http://schemas.microsoft.com/office/drawing/2014/chart" uri="{C3380CC4-5D6E-409C-BE32-E72D297353CC}">
                <c16:uniqueId val="{00000003-F0E4-4B80-83D2-4613CE4590C9}"/>
              </c:ext>
            </c:extLst>
          </c:dPt>
          <c:dPt>
            <c:idx val="1"/>
            <c:invertIfNegative val="0"/>
            <c:bubble3D val="0"/>
            <c:spPr>
              <a:solidFill>
                <a:srgbClr val="F3A067"/>
              </a:solidFill>
              <a:ln>
                <a:noFill/>
              </a:ln>
              <a:effectLst/>
            </c:spPr>
            <c:extLst>
              <c:ext xmlns:c16="http://schemas.microsoft.com/office/drawing/2014/chart" uri="{C3380CC4-5D6E-409C-BE32-E72D297353CC}">
                <c16:uniqueId val="{00000002-F0E4-4B80-83D2-4613CE4590C9}"/>
              </c:ext>
            </c:extLst>
          </c:dPt>
          <c:dPt>
            <c:idx val="2"/>
            <c:invertIfNegative val="0"/>
            <c:bubble3D val="0"/>
            <c:spPr>
              <a:solidFill>
                <a:srgbClr val="EE7525"/>
              </a:solidFill>
              <a:ln>
                <a:noFill/>
              </a:ln>
              <a:effectLst/>
            </c:spPr>
            <c:extLst>
              <c:ext xmlns:c16="http://schemas.microsoft.com/office/drawing/2014/chart" uri="{C3380CC4-5D6E-409C-BE32-E72D297353CC}">
                <c16:uniqueId val="{00000001-F0E4-4B80-83D2-4613CE4590C9}"/>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4-F0E4-4B80-83D2-4613CE4590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Analysis!$F$68:$I$68</c:f>
              <c:numCache>
                <c:formatCode>mmm\-yy</c:formatCode>
                <c:ptCount val="4"/>
                <c:pt idx="0">
                  <c:v>44651</c:v>
                </c:pt>
                <c:pt idx="1">
                  <c:v>45016</c:v>
                </c:pt>
                <c:pt idx="2">
                  <c:v>45382</c:v>
                </c:pt>
                <c:pt idx="3">
                  <c:v>45747</c:v>
                </c:pt>
              </c:numCache>
            </c:numRef>
          </c:cat>
          <c:val>
            <c:numRef>
              <c:f>Analysis!$F$95:$I$95</c:f>
              <c:numCache>
                <c:formatCode>0.00%</c:formatCode>
                <c:ptCount val="4"/>
                <c:pt idx="0">
                  <c:v>0.13993563709647069</c:v>
                </c:pt>
                <c:pt idx="1">
                  <c:v>0.16851205307753167</c:v>
                </c:pt>
                <c:pt idx="2">
                  <c:v>0.19612859890697032</c:v>
                </c:pt>
                <c:pt idx="3">
                  <c:v>0.12172161387360134</c:v>
                </c:pt>
              </c:numCache>
            </c:numRef>
          </c:val>
          <c:extLst>
            <c:ext xmlns:c16="http://schemas.microsoft.com/office/drawing/2014/chart" uri="{C3380CC4-5D6E-409C-BE32-E72D297353CC}">
              <c16:uniqueId val="{00000000-F0E4-4B80-83D2-4613CE4590C9}"/>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0%"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657926499844135E-2"/>
          <c:y val="9.9422733902369401E-2"/>
          <c:w val="0.86862713475028575"/>
          <c:h val="0.7613986869695397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3A067"/>
              </a:solidFill>
              <a:ln>
                <a:noFill/>
              </a:ln>
              <a:effectLst/>
            </c:spPr>
            <c:extLst>
              <c:ext xmlns:c16="http://schemas.microsoft.com/office/drawing/2014/chart" uri="{C3380CC4-5D6E-409C-BE32-E72D297353CC}">
                <c16:uniqueId val="{00000002-BE92-4902-8947-96D086CA57E9}"/>
              </c:ext>
            </c:extLst>
          </c:dPt>
          <c:dPt>
            <c:idx val="1"/>
            <c:invertIfNegative val="0"/>
            <c:bubble3D val="0"/>
            <c:spPr>
              <a:solidFill>
                <a:srgbClr val="EE7525"/>
              </a:solidFill>
              <a:ln>
                <a:noFill/>
              </a:ln>
              <a:effectLst/>
            </c:spPr>
            <c:extLst>
              <c:ext xmlns:c16="http://schemas.microsoft.com/office/drawing/2014/chart" uri="{C3380CC4-5D6E-409C-BE32-E72D297353CC}">
                <c16:uniqueId val="{00000001-BE92-4902-8947-96D086CA57E9}"/>
              </c:ext>
            </c:extLst>
          </c:dPt>
          <c:dPt>
            <c:idx val="2"/>
            <c:invertIfNegative val="0"/>
            <c:bubble3D val="0"/>
            <c:spPr>
              <a:solidFill>
                <a:srgbClr val="F7BB93"/>
              </a:solidFill>
              <a:ln>
                <a:noFill/>
              </a:ln>
              <a:effectLst/>
            </c:spPr>
            <c:extLst>
              <c:ext xmlns:c16="http://schemas.microsoft.com/office/drawing/2014/chart" uri="{C3380CC4-5D6E-409C-BE32-E72D297353CC}">
                <c16:uniqueId val="{00000003-BE92-4902-8947-96D086CA57E9}"/>
              </c:ext>
            </c:extLst>
          </c:dPt>
          <c:dPt>
            <c:idx val="3"/>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4-BE92-4902-8947-96D086CA57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Analysis!$F$68:$I$68</c:f>
              <c:numCache>
                <c:formatCode>mmm\-yy</c:formatCode>
                <c:ptCount val="4"/>
                <c:pt idx="0">
                  <c:v>44651</c:v>
                </c:pt>
                <c:pt idx="1">
                  <c:v>45016</c:v>
                </c:pt>
                <c:pt idx="2">
                  <c:v>45382</c:v>
                </c:pt>
                <c:pt idx="3">
                  <c:v>45747</c:v>
                </c:pt>
              </c:numCache>
            </c:numRef>
          </c:cat>
          <c:val>
            <c:numRef>
              <c:f>Analysis!$F$87:$I$87</c:f>
              <c:numCache>
                <c:formatCode>0.0\x</c:formatCode>
                <c:ptCount val="4"/>
                <c:pt idx="0">
                  <c:v>1.6272452508373143</c:v>
                </c:pt>
                <c:pt idx="1">
                  <c:v>1.6352873241960166</c:v>
                </c:pt>
                <c:pt idx="2">
                  <c:v>1.6036650362192053</c:v>
                </c:pt>
                <c:pt idx="3">
                  <c:v>1.5803568548244327</c:v>
                </c:pt>
              </c:numCache>
            </c:numRef>
          </c:val>
          <c:extLst>
            <c:ext xmlns:c16="http://schemas.microsoft.com/office/drawing/2014/chart" uri="{C3380CC4-5D6E-409C-BE32-E72D297353CC}">
              <c16:uniqueId val="{00000000-BE92-4902-8947-96D086CA57E9}"/>
            </c:ext>
          </c:extLst>
        </c:ser>
        <c:dLbls>
          <c:dLblPos val="outEnd"/>
          <c:showLegendKey val="0"/>
          <c:showVal val="1"/>
          <c:showCatName val="0"/>
          <c:showSerName val="0"/>
          <c:showPercent val="0"/>
          <c:showBubbleSize val="0"/>
        </c:dLbls>
        <c:gapWidth val="219"/>
        <c:overlap val="-27"/>
        <c:axId val="2057372656"/>
        <c:axId val="2057373616"/>
      </c:barChart>
      <c:dateAx>
        <c:axId val="205737265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7373616"/>
        <c:crosses val="autoZero"/>
        <c:auto val="1"/>
        <c:lblOffset val="100"/>
        <c:baseTimeUnit val="years"/>
      </c:dateAx>
      <c:valAx>
        <c:axId val="2057373616"/>
        <c:scaling>
          <c:orientation val="minMax"/>
        </c:scaling>
        <c:delete val="1"/>
        <c:axPos val="l"/>
        <c:numFmt formatCode="0.0\x" sourceLinked="1"/>
        <c:majorTickMark val="none"/>
        <c:minorTickMark val="none"/>
        <c:tickLblPos val="nextTo"/>
        <c:crossAx val="20573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Returns Distribution</a:t>
          </a:r>
        </a:p>
      </cx:txPr>
    </cx:title>
    <cx:plotArea>
      <cx:plotAreaRegion>
        <cx:series layoutId="clusteredColumn" uniqueId="{89D4BCB4-B25B-4A5A-8285-1F3EFD1EF3C1}">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19050</xdr:colOff>
      <xdr:row>12</xdr:row>
      <xdr:rowOff>47625</xdr:rowOff>
    </xdr:from>
    <xdr:to>
      <xdr:col>20</xdr:col>
      <xdr:colOff>361950</xdr:colOff>
      <xdr:row>23</xdr:row>
      <xdr:rowOff>66675</xdr:rowOff>
    </xdr:to>
    <xdr:sp macro="" textlink="">
      <xdr:nvSpPr>
        <xdr:cNvPr id="2" name="Rectangle 1">
          <a:extLst>
            <a:ext uri="{FF2B5EF4-FFF2-40B4-BE49-F238E27FC236}">
              <a16:creationId xmlns:a16="http://schemas.microsoft.com/office/drawing/2014/main" id="{7D24368D-C829-0C3A-2833-9F9D80D10E07}"/>
            </a:ext>
          </a:extLst>
        </xdr:cNvPr>
        <xdr:cNvSpPr/>
      </xdr:nvSpPr>
      <xdr:spPr>
        <a:xfrm>
          <a:off x="8067675" y="2333625"/>
          <a:ext cx="4000500" cy="2114550"/>
        </a:xfrm>
        <a:prstGeom prst="rect">
          <a:avLst/>
        </a:prstGeom>
      </xdr:spPr>
      <xdr:style>
        <a:lnRef idx="2">
          <a:schemeClr val="accent1">
            <a:shade val="15000"/>
          </a:schemeClr>
        </a:lnRef>
        <a:fillRef idx="1001">
          <a:schemeClr val="lt2"/>
        </a:fillRef>
        <a:effectRef idx="0">
          <a:schemeClr val="accent1"/>
        </a:effectRef>
        <a:fontRef idx="minor">
          <a:schemeClr val="lt1"/>
        </a:fontRef>
      </xdr:style>
      <xdr:txBody>
        <a:bodyPr vertOverflow="clip" horzOverflow="clip" rtlCol="0" anchor="t"/>
        <a:lstStyle/>
        <a:p>
          <a:pPr algn="l"/>
          <a:r>
            <a:rPr lang="en-IN" sz="1100">
              <a:solidFill>
                <a:srgbClr val="3333FF"/>
              </a:solidFill>
            </a:rPr>
            <a:t>Key Assumption &amp; Note :</a:t>
          </a:r>
        </a:p>
        <a:p>
          <a:pPr algn="l"/>
          <a:r>
            <a:rPr lang="en-US" sz="1100">
              <a:solidFill>
                <a:srgbClr val="3333FF"/>
              </a:solidFill>
            </a:rPr>
            <a:t>• Valuation is based on DCF methodology.</a:t>
          </a:r>
        </a:p>
        <a:p>
          <a:pPr algn="l"/>
          <a:r>
            <a:rPr lang="en-US" sz="1100">
              <a:solidFill>
                <a:srgbClr val="3333FF"/>
              </a:solidFill>
            </a:rPr>
            <a:t>•WACC is estamated using CAPM with a 5 year monthly Beta</a:t>
          </a:r>
          <a:r>
            <a:rPr lang="en-US" sz="1100" baseline="0">
              <a:solidFill>
                <a:srgbClr val="3333FF"/>
              </a:solidFill>
            </a:rPr>
            <a:t> regression.</a:t>
          </a:r>
        </a:p>
        <a:p>
          <a:pPr algn="l"/>
          <a:r>
            <a:rPr lang="en-US" sz="1100" baseline="0">
              <a:solidFill>
                <a:srgbClr val="3333FF"/>
              </a:solidFill>
            </a:rPr>
            <a:t>•Forecast Growth: 20.75%.</a:t>
          </a:r>
        </a:p>
        <a:p>
          <a:pPr algn="l"/>
          <a:r>
            <a:rPr lang="en-US" sz="1100" baseline="0">
              <a:solidFill>
                <a:srgbClr val="3333FF"/>
              </a:solidFill>
              <a:effectLst/>
              <a:latin typeface="+mn-lt"/>
              <a:ea typeface="+mn-ea"/>
              <a:cs typeface="+mn-cs"/>
            </a:rPr>
            <a:t>•</a:t>
          </a:r>
          <a:r>
            <a:rPr lang="en-US" sz="1100" baseline="0">
              <a:solidFill>
                <a:srgbClr val="3333FF"/>
              </a:solidFill>
            </a:rPr>
            <a:t>Terminal Growth: 4.50%.</a:t>
          </a:r>
        </a:p>
        <a:p>
          <a:pPr algn="l"/>
          <a:r>
            <a:rPr lang="en-US" sz="1100" baseline="0">
              <a:solidFill>
                <a:srgbClr val="3333FF"/>
              </a:solidFill>
              <a:effectLst/>
              <a:latin typeface="+mn-lt"/>
              <a:ea typeface="+mn-ea"/>
              <a:cs typeface="+mn-cs"/>
            </a:rPr>
            <a:t>•</a:t>
          </a:r>
          <a:r>
            <a:rPr lang="en-US" sz="1100" baseline="0">
              <a:solidFill>
                <a:srgbClr val="3333FF"/>
              </a:solidFill>
            </a:rPr>
            <a:t>WACC: 12.70%</a:t>
          </a:r>
        </a:p>
        <a:p>
          <a:pPr algn="l"/>
          <a:r>
            <a:rPr lang="en-US" sz="1100">
              <a:solidFill>
                <a:srgbClr val="3333FF"/>
              </a:solidFill>
            </a:rPr>
            <a:t>•The 52 week rading range represents</a:t>
          </a:r>
          <a:r>
            <a:rPr lang="en-US" sz="1100" baseline="0">
              <a:solidFill>
                <a:srgbClr val="3333FF"/>
              </a:solidFill>
            </a:rPr>
            <a:t> actual market Price.</a:t>
          </a:r>
        </a:p>
        <a:p>
          <a:pPr algn="l"/>
          <a:r>
            <a:rPr lang="en-US" sz="1100">
              <a:solidFill>
                <a:srgbClr val="3333FF"/>
              </a:solidFill>
            </a:rPr>
            <a:t>•Based</a:t>
          </a:r>
          <a:r>
            <a:rPr lang="en-US" sz="1100" baseline="0">
              <a:solidFill>
                <a:srgbClr val="3333FF"/>
              </a:solidFill>
            </a:rPr>
            <a:t> on this DCF Valuation, the current market price implies a premium of approzimately 344% to the estimated intrinsic value.</a:t>
          </a:r>
          <a:endParaRPr lang="en-IN" sz="1100">
            <a:solidFill>
              <a:srgbClr val="3333FF"/>
            </a:solidFill>
          </a:endParaRPr>
        </a:p>
      </xdr:txBody>
    </xdr:sp>
    <xdr:clientData/>
  </xdr:twoCellAnchor>
  <xdr:twoCellAnchor>
    <xdr:from>
      <xdr:col>2</xdr:col>
      <xdr:colOff>228600</xdr:colOff>
      <xdr:row>4</xdr:row>
      <xdr:rowOff>90487</xdr:rowOff>
    </xdr:from>
    <xdr:to>
      <xdr:col>10</xdr:col>
      <xdr:colOff>381000</xdr:colOff>
      <xdr:row>20</xdr:row>
      <xdr:rowOff>9525</xdr:rowOff>
    </xdr:to>
    <xdr:graphicFrame macro="">
      <xdr:nvGraphicFramePr>
        <xdr:cNvPr id="3" name="Chart 2">
          <a:extLst>
            <a:ext uri="{FF2B5EF4-FFF2-40B4-BE49-F238E27FC236}">
              <a16:creationId xmlns:a16="http://schemas.microsoft.com/office/drawing/2014/main" id="{CAF15354-0A03-7532-D719-F0F465562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9</xdr:row>
      <xdr:rowOff>95250</xdr:rowOff>
    </xdr:from>
    <xdr:to>
      <xdr:col>10</xdr:col>
      <xdr:colOff>142875</xdr:colOff>
      <xdr:row>9</xdr:row>
      <xdr:rowOff>109537</xdr:rowOff>
    </xdr:to>
    <xdr:cxnSp macro="">
      <xdr:nvCxnSpPr>
        <xdr:cNvPr id="8" name="Straight Arrow Connector 7">
          <a:extLst>
            <a:ext uri="{FF2B5EF4-FFF2-40B4-BE49-F238E27FC236}">
              <a16:creationId xmlns:a16="http://schemas.microsoft.com/office/drawing/2014/main" id="{0A425A4D-EC18-0600-9D02-2FFA6BFEB5F5}"/>
            </a:ext>
          </a:extLst>
        </xdr:cNvPr>
        <xdr:cNvCxnSpPr/>
      </xdr:nvCxnSpPr>
      <xdr:spPr>
        <a:xfrm flipV="1">
          <a:off x="1362075" y="1809750"/>
          <a:ext cx="4391025" cy="14287"/>
        </a:xfrm>
        <a:prstGeom prst="straightConnector1">
          <a:avLst/>
        </a:prstGeom>
        <a:ln w="12700">
          <a:solidFill>
            <a:schemeClr val="accent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8659</xdr:colOff>
      <xdr:row>27</xdr:row>
      <xdr:rowOff>163224</xdr:rowOff>
    </xdr:from>
    <xdr:to>
      <xdr:col>15</xdr:col>
      <xdr:colOff>205652</xdr:colOff>
      <xdr:row>40</xdr:row>
      <xdr:rowOff>64943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D2C04B5-934A-52E9-4C3A-FD45BFD6F5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57009" y="5382924"/>
              <a:ext cx="4702318" cy="23782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28899</xdr:colOff>
      <xdr:row>2</xdr:row>
      <xdr:rowOff>6377</xdr:rowOff>
    </xdr:from>
    <xdr:to>
      <xdr:col>9</xdr:col>
      <xdr:colOff>224117</xdr:colOff>
      <xdr:row>6</xdr:row>
      <xdr:rowOff>122456</xdr:rowOff>
    </xdr:to>
    <xdr:pic>
      <xdr:nvPicPr>
        <xdr:cNvPr id="2" name="Picture 1">
          <a:extLst>
            <a:ext uri="{FF2B5EF4-FFF2-40B4-BE49-F238E27FC236}">
              <a16:creationId xmlns:a16="http://schemas.microsoft.com/office/drawing/2014/main" id="{32AAA3D5-6060-4066-A944-73BA88C53D01}"/>
            </a:ext>
          </a:extLst>
        </xdr:cNvPr>
        <xdr:cNvPicPr>
          <a:picLocks noChangeAspect="1"/>
        </xdr:cNvPicPr>
      </xdr:nvPicPr>
      <xdr:blipFill rotWithShape="1">
        <a:blip xmlns:r="http://schemas.openxmlformats.org/officeDocument/2006/relationships" r:embed="rId1"/>
        <a:srcRect l="1516" t="11636" r="-16265" b="21717"/>
        <a:stretch/>
      </xdr:blipFill>
      <xdr:spPr>
        <a:xfrm>
          <a:off x="5924874" y="292127"/>
          <a:ext cx="2738393" cy="1192404"/>
        </a:xfrm>
        <a:prstGeom prst="rect">
          <a:avLst/>
        </a:prstGeom>
      </xdr:spPr>
    </xdr:pic>
    <xdr:clientData/>
  </xdr:twoCellAnchor>
  <xdr:twoCellAnchor>
    <xdr:from>
      <xdr:col>1</xdr:col>
      <xdr:colOff>36991</xdr:colOff>
      <xdr:row>17</xdr:row>
      <xdr:rowOff>225591</xdr:rowOff>
    </xdr:from>
    <xdr:to>
      <xdr:col>2</xdr:col>
      <xdr:colOff>290152</xdr:colOff>
      <xdr:row>29</xdr:row>
      <xdr:rowOff>80286</xdr:rowOff>
    </xdr:to>
    <xdr:grpSp>
      <xdr:nvGrpSpPr>
        <xdr:cNvPr id="3" name="Group 2">
          <a:extLst>
            <a:ext uri="{FF2B5EF4-FFF2-40B4-BE49-F238E27FC236}">
              <a16:creationId xmlns:a16="http://schemas.microsoft.com/office/drawing/2014/main" id="{8F4D39AC-7CDB-418C-983C-24022B295743}"/>
            </a:ext>
          </a:extLst>
        </xdr:cNvPr>
        <xdr:cNvGrpSpPr/>
      </xdr:nvGrpSpPr>
      <xdr:grpSpPr>
        <a:xfrm>
          <a:off x="157561" y="4156161"/>
          <a:ext cx="2640439" cy="2217859"/>
          <a:chOff x="238753" y="3253432"/>
          <a:chExt cx="2401260" cy="2188175"/>
        </a:xfrm>
        <a:noFill/>
      </xdr:grpSpPr>
      <xdr:graphicFrame macro="">
        <xdr:nvGraphicFramePr>
          <xdr:cNvPr id="4" name="Chart 3">
            <a:extLst>
              <a:ext uri="{FF2B5EF4-FFF2-40B4-BE49-F238E27FC236}">
                <a16:creationId xmlns:a16="http://schemas.microsoft.com/office/drawing/2014/main" id="{36B9FD79-88BF-1828-2AEB-96DB0DAEA2F2}"/>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EF7B4F15-E633-5A65-94CC-DF30C09C0336}"/>
              </a:ext>
            </a:extLst>
          </xdr:cNvPr>
          <xdr:cNvSpPr txBox="1"/>
        </xdr:nvSpPr>
        <xdr:spPr>
          <a:xfrm>
            <a:off x="478708" y="3253432"/>
            <a:ext cx="1972327"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EE7525"/>
                </a:solidFill>
                <a:effectLst/>
                <a:latin typeface="+mn-lt"/>
                <a:ea typeface="+mn-ea"/>
                <a:cs typeface="+mn-cs"/>
              </a:rPr>
              <a:t>Working Capital/Total Assets(A)</a:t>
            </a:r>
            <a:r>
              <a:rPr lang="en-IN">
                <a:solidFill>
                  <a:srgbClr val="EE7525"/>
                </a:solidFill>
              </a:rPr>
              <a:t> </a:t>
            </a:r>
            <a:endParaRPr lang="en-IN" sz="1100" b="1">
              <a:solidFill>
                <a:srgbClr val="EE7525"/>
              </a:solidFill>
              <a:latin typeface="+mn-lt"/>
            </a:endParaRPr>
          </a:p>
        </xdr:txBody>
      </xdr:sp>
    </xdr:grpSp>
    <xdr:clientData/>
  </xdr:twoCellAnchor>
  <xdr:twoCellAnchor>
    <xdr:from>
      <xdr:col>2</xdr:col>
      <xdr:colOff>419033</xdr:colOff>
      <xdr:row>17</xdr:row>
      <xdr:rowOff>234174</xdr:rowOff>
    </xdr:from>
    <xdr:to>
      <xdr:col>5</xdr:col>
      <xdr:colOff>496038</xdr:colOff>
      <xdr:row>29</xdr:row>
      <xdr:rowOff>88966</xdr:rowOff>
    </xdr:to>
    <xdr:grpSp>
      <xdr:nvGrpSpPr>
        <xdr:cNvPr id="6" name="Group 5">
          <a:extLst>
            <a:ext uri="{FF2B5EF4-FFF2-40B4-BE49-F238E27FC236}">
              <a16:creationId xmlns:a16="http://schemas.microsoft.com/office/drawing/2014/main" id="{F3E37A21-3804-4A63-86D0-139ACE7589E8}"/>
            </a:ext>
          </a:extLst>
        </xdr:cNvPr>
        <xdr:cNvGrpSpPr/>
      </xdr:nvGrpSpPr>
      <xdr:grpSpPr>
        <a:xfrm>
          <a:off x="2926881" y="4164744"/>
          <a:ext cx="2608967" cy="2217956"/>
          <a:chOff x="238753" y="3253432"/>
          <a:chExt cx="2401260" cy="2188175"/>
        </a:xfrm>
      </xdr:grpSpPr>
      <xdr:graphicFrame macro="">
        <xdr:nvGraphicFramePr>
          <xdr:cNvPr id="7" name="Chart 6">
            <a:extLst>
              <a:ext uri="{FF2B5EF4-FFF2-40B4-BE49-F238E27FC236}">
                <a16:creationId xmlns:a16="http://schemas.microsoft.com/office/drawing/2014/main" id="{0FFE856F-A235-7E48-8D76-59E16DA463A3}"/>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 name="TextBox 7">
            <a:extLst>
              <a:ext uri="{FF2B5EF4-FFF2-40B4-BE49-F238E27FC236}">
                <a16:creationId xmlns:a16="http://schemas.microsoft.com/office/drawing/2014/main" id="{A7CBE8ED-A1F7-BEF1-9D52-BB5BD7550A58}"/>
              </a:ext>
            </a:extLst>
          </xdr:cNvPr>
          <xdr:cNvSpPr txBox="1"/>
        </xdr:nvSpPr>
        <xdr:spPr>
          <a:xfrm>
            <a:off x="366913" y="3253432"/>
            <a:ext cx="2217092"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EE7525"/>
                </a:solidFill>
                <a:effectLst/>
                <a:latin typeface="+mn-lt"/>
                <a:ea typeface="+mn-ea"/>
                <a:cs typeface="+mn-cs"/>
              </a:rPr>
              <a:t>Retained Earnings/Total Assets(B)</a:t>
            </a:r>
            <a:r>
              <a:rPr lang="en-IN">
                <a:solidFill>
                  <a:srgbClr val="EE7525"/>
                </a:solidFill>
              </a:rPr>
              <a:t> </a:t>
            </a:r>
            <a:endParaRPr lang="en-IN" sz="1100" b="1">
              <a:solidFill>
                <a:srgbClr val="EE7525"/>
              </a:solidFill>
              <a:latin typeface="+mn-lt"/>
            </a:endParaRPr>
          </a:p>
        </xdr:txBody>
      </xdr:sp>
    </xdr:grpSp>
    <xdr:clientData/>
  </xdr:twoCellAnchor>
  <xdr:twoCellAnchor>
    <xdr:from>
      <xdr:col>5</xdr:col>
      <xdr:colOff>518271</xdr:colOff>
      <xdr:row>18</xdr:row>
      <xdr:rowOff>8975</xdr:rowOff>
    </xdr:from>
    <xdr:to>
      <xdr:col>8</xdr:col>
      <xdr:colOff>649241</xdr:colOff>
      <xdr:row>29</xdr:row>
      <xdr:rowOff>102562</xdr:rowOff>
    </xdr:to>
    <xdr:grpSp>
      <xdr:nvGrpSpPr>
        <xdr:cNvPr id="9" name="Group 8">
          <a:extLst>
            <a:ext uri="{FF2B5EF4-FFF2-40B4-BE49-F238E27FC236}">
              <a16:creationId xmlns:a16="http://schemas.microsoft.com/office/drawing/2014/main" id="{9AC2C471-B7E0-4BCB-B3F8-B15345694DB9}"/>
            </a:ext>
          </a:extLst>
        </xdr:cNvPr>
        <xdr:cNvGrpSpPr/>
      </xdr:nvGrpSpPr>
      <xdr:grpSpPr>
        <a:xfrm>
          <a:off x="5558081" y="4180684"/>
          <a:ext cx="2662932" cy="2215612"/>
          <a:chOff x="238753" y="3253432"/>
          <a:chExt cx="2401260" cy="2188175"/>
        </a:xfrm>
      </xdr:grpSpPr>
      <xdr:graphicFrame macro="">
        <xdr:nvGraphicFramePr>
          <xdr:cNvPr id="10" name="Chart 9">
            <a:extLst>
              <a:ext uri="{FF2B5EF4-FFF2-40B4-BE49-F238E27FC236}">
                <a16:creationId xmlns:a16="http://schemas.microsoft.com/office/drawing/2014/main" id="{B90D461F-44D7-4C52-344F-9747CBD1CD7D}"/>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1" name="TextBox 10">
            <a:extLst>
              <a:ext uri="{FF2B5EF4-FFF2-40B4-BE49-F238E27FC236}">
                <a16:creationId xmlns:a16="http://schemas.microsoft.com/office/drawing/2014/main" id="{EFF0558D-6442-59C8-18F3-D535F6F773AA}"/>
              </a:ext>
            </a:extLst>
          </xdr:cNvPr>
          <xdr:cNvSpPr txBox="1"/>
        </xdr:nvSpPr>
        <xdr:spPr>
          <a:xfrm>
            <a:off x="794448" y="3253432"/>
            <a:ext cx="1293963"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EE7525"/>
                </a:solidFill>
                <a:effectLst/>
                <a:latin typeface="+mn-lt"/>
                <a:ea typeface="+mn-ea"/>
                <a:cs typeface="+mn-cs"/>
              </a:rPr>
              <a:t>EBIT/Total Assets(C)</a:t>
            </a:r>
            <a:r>
              <a:rPr lang="en-IN">
                <a:solidFill>
                  <a:srgbClr val="EE7525"/>
                </a:solidFill>
              </a:rPr>
              <a:t> </a:t>
            </a:r>
            <a:endParaRPr lang="en-IN" sz="1100" b="1">
              <a:solidFill>
                <a:srgbClr val="EE7525"/>
              </a:solidFill>
              <a:latin typeface="+mn-lt"/>
            </a:endParaRPr>
          </a:p>
        </xdr:txBody>
      </xdr:sp>
    </xdr:grpSp>
    <xdr:clientData/>
  </xdr:twoCellAnchor>
  <xdr:twoCellAnchor>
    <xdr:from>
      <xdr:col>0</xdr:col>
      <xdr:colOff>115394</xdr:colOff>
      <xdr:row>31</xdr:row>
      <xdr:rowOff>94801</xdr:rowOff>
    </xdr:from>
    <xdr:to>
      <xdr:col>2</xdr:col>
      <xdr:colOff>243823</xdr:colOff>
      <xdr:row>43</xdr:row>
      <xdr:rowOff>1351</xdr:rowOff>
    </xdr:to>
    <xdr:grpSp>
      <xdr:nvGrpSpPr>
        <xdr:cNvPr id="12" name="Group 11">
          <a:extLst>
            <a:ext uri="{FF2B5EF4-FFF2-40B4-BE49-F238E27FC236}">
              <a16:creationId xmlns:a16="http://schemas.microsoft.com/office/drawing/2014/main" id="{7DC5505B-0887-4915-9610-A784817B98AB}"/>
            </a:ext>
          </a:extLst>
        </xdr:cNvPr>
        <xdr:cNvGrpSpPr/>
      </xdr:nvGrpSpPr>
      <xdr:grpSpPr>
        <a:xfrm>
          <a:off x="115394" y="6774358"/>
          <a:ext cx="2636277" cy="2221487"/>
          <a:chOff x="238753" y="3253432"/>
          <a:chExt cx="2401260" cy="2188175"/>
        </a:xfrm>
        <a:noFill/>
      </xdr:grpSpPr>
      <xdr:graphicFrame macro="">
        <xdr:nvGraphicFramePr>
          <xdr:cNvPr id="13" name="Chart 12">
            <a:extLst>
              <a:ext uri="{FF2B5EF4-FFF2-40B4-BE49-F238E27FC236}">
                <a16:creationId xmlns:a16="http://schemas.microsoft.com/office/drawing/2014/main" id="{45268DBD-4A65-B662-709A-08F6A11F066C}"/>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4" name="TextBox 13">
            <a:extLst>
              <a:ext uri="{FF2B5EF4-FFF2-40B4-BE49-F238E27FC236}">
                <a16:creationId xmlns:a16="http://schemas.microsoft.com/office/drawing/2014/main" id="{D5A18A58-A489-BB36-C5E5-BAE15DA1C6B6}"/>
              </a:ext>
            </a:extLst>
          </xdr:cNvPr>
          <xdr:cNvSpPr txBox="1"/>
        </xdr:nvSpPr>
        <xdr:spPr>
          <a:xfrm>
            <a:off x="407277" y="3253432"/>
            <a:ext cx="211427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EE7525"/>
                </a:solidFill>
                <a:effectLst/>
                <a:latin typeface="+mn-lt"/>
                <a:ea typeface="+mn-ea"/>
                <a:cs typeface="+mn-cs"/>
              </a:rPr>
              <a:t>Market cap/Long Term Liabilities(D)</a:t>
            </a:r>
            <a:r>
              <a:rPr lang="en-IN">
                <a:solidFill>
                  <a:srgbClr val="EE7525"/>
                </a:solidFill>
              </a:rPr>
              <a:t> </a:t>
            </a:r>
            <a:endParaRPr lang="en-IN" sz="1100" b="1">
              <a:solidFill>
                <a:srgbClr val="EE7525"/>
              </a:solidFill>
              <a:latin typeface="+mn-lt"/>
            </a:endParaRPr>
          </a:p>
        </xdr:txBody>
      </xdr:sp>
    </xdr:grpSp>
    <xdr:clientData/>
  </xdr:twoCellAnchor>
  <xdr:twoCellAnchor>
    <xdr:from>
      <xdr:col>2</xdr:col>
      <xdr:colOff>427291</xdr:colOff>
      <xdr:row>31</xdr:row>
      <xdr:rowOff>92132</xdr:rowOff>
    </xdr:from>
    <xdr:to>
      <xdr:col>5</xdr:col>
      <xdr:colOff>535310</xdr:colOff>
      <xdr:row>42</xdr:row>
      <xdr:rowOff>185040</xdr:rowOff>
    </xdr:to>
    <xdr:grpSp>
      <xdr:nvGrpSpPr>
        <xdr:cNvPr id="15" name="Group 14">
          <a:extLst>
            <a:ext uri="{FF2B5EF4-FFF2-40B4-BE49-F238E27FC236}">
              <a16:creationId xmlns:a16="http://schemas.microsoft.com/office/drawing/2014/main" id="{86597861-85AC-4527-B781-D284B61BF0C7}"/>
            </a:ext>
          </a:extLst>
        </xdr:cNvPr>
        <xdr:cNvGrpSpPr/>
      </xdr:nvGrpSpPr>
      <xdr:grpSpPr>
        <a:xfrm>
          <a:off x="2935139" y="6771689"/>
          <a:ext cx="2639981" cy="2214933"/>
          <a:chOff x="238753" y="3253432"/>
          <a:chExt cx="2401260" cy="2188175"/>
        </a:xfrm>
        <a:noFill/>
      </xdr:grpSpPr>
      <xdr:graphicFrame macro="">
        <xdr:nvGraphicFramePr>
          <xdr:cNvPr id="16" name="Chart 15">
            <a:extLst>
              <a:ext uri="{FF2B5EF4-FFF2-40B4-BE49-F238E27FC236}">
                <a16:creationId xmlns:a16="http://schemas.microsoft.com/office/drawing/2014/main" id="{E13D083A-7BE0-7388-CA47-893D08E12309}"/>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7" name="TextBox 16">
            <a:extLst>
              <a:ext uri="{FF2B5EF4-FFF2-40B4-BE49-F238E27FC236}">
                <a16:creationId xmlns:a16="http://schemas.microsoft.com/office/drawing/2014/main" id="{1532B9B4-E4D1-9CC9-EACD-2EC292BA3C80}"/>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rgbClr val="EE7525"/>
                </a:solidFill>
                <a:effectLst/>
                <a:latin typeface="+mn-lt"/>
                <a:ea typeface="+mn-ea"/>
                <a:cs typeface="+mn-cs"/>
              </a:rPr>
              <a:t>Sales/Total Assets(E)</a:t>
            </a:r>
            <a:r>
              <a:rPr lang="en-IN" sz="1050">
                <a:solidFill>
                  <a:srgbClr val="EE7525"/>
                </a:solidFill>
              </a:rPr>
              <a:t> </a:t>
            </a:r>
            <a:endParaRPr lang="en-IN" sz="1100" b="1">
              <a:solidFill>
                <a:srgbClr val="EE7525"/>
              </a:solidFill>
              <a:latin typeface="+mn-lt"/>
            </a:endParaRPr>
          </a:p>
        </xdr:txBody>
      </xdr:sp>
    </xdr:grpSp>
    <xdr:clientData/>
  </xdr:twoCellAnchor>
  <xdr:twoCellAnchor>
    <xdr:from>
      <xdr:col>1</xdr:col>
      <xdr:colOff>152081</xdr:colOff>
      <xdr:row>44</xdr:row>
      <xdr:rowOff>165495</xdr:rowOff>
    </xdr:from>
    <xdr:to>
      <xdr:col>8</xdr:col>
      <xdr:colOff>550843</xdr:colOff>
      <xdr:row>60</xdr:row>
      <xdr:rowOff>126234</xdr:rowOff>
    </xdr:to>
    <xdr:sp macro="" textlink="">
      <xdr:nvSpPr>
        <xdr:cNvPr id="21" name="TextBox 20">
          <a:extLst>
            <a:ext uri="{FF2B5EF4-FFF2-40B4-BE49-F238E27FC236}">
              <a16:creationId xmlns:a16="http://schemas.microsoft.com/office/drawing/2014/main" id="{6C945838-091A-4A52-86A2-31B39F437008}"/>
            </a:ext>
          </a:extLst>
        </xdr:cNvPr>
        <xdr:cNvSpPr txBox="1"/>
      </xdr:nvSpPr>
      <xdr:spPr>
        <a:xfrm>
          <a:off x="275906" y="9271395"/>
          <a:ext cx="7866362" cy="3008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Wingdings" panose="05000000000000000000" pitchFamily="2" charset="2"/>
            <a:buNone/>
          </a:pPr>
          <a:r>
            <a:rPr lang="en-IN" sz="1400" b="1">
              <a:solidFill>
                <a:srgbClr val="EE7525"/>
              </a:solidFill>
            </a:rPr>
            <a:t>Recent Updates:</a:t>
          </a:r>
        </a:p>
        <a:p>
          <a:pPr marL="171450" indent="-171450">
            <a:buFont typeface="Wingdings" panose="05000000000000000000" pitchFamily="2" charset="2"/>
            <a:buChar char="§"/>
          </a:pPr>
          <a:r>
            <a:rPr lang="en-IN" sz="1200"/>
            <a:t> </a:t>
          </a:r>
          <a:r>
            <a:rPr lang="en-IN" sz="1200" b="1"/>
            <a:t>Q4 FY26 rebound:</a:t>
          </a:r>
          <a:r>
            <a:rPr lang="en-IN" sz="1200"/>
            <a:t> Revenue rose 11% YoY to ₹9,228 crore, net profit surged 69% YoY to ₹1,172 crore, with EBITDA margin expanding to 19.3%.</a:t>
          </a:r>
        </a:p>
        <a:p>
          <a:pPr marL="171450" indent="-171450">
            <a:buFont typeface="Wingdings" panose="05000000000000000000" pitchFamily="2" charset="2"/>
            <a:buChar char="§"/>
          </a:pPr>
          <a:r>
            <a:rPr lang="en-IN" sz="1200"/>
            <a:t> </a:t>
          </a:r>
          <a:r>
            <a:rPr lang="en-IN" sz="1200" b="1"/>
            <a:t>Dividend strength:</a:t>
          </a:r>
          <a:r>
            <a:rPr lang="en-IN" sz="1200"/>
            <a:t> Declared a final dividend of ₹23/share, taking FY26 payout to ₹27.50/share, signaling strong cash flows.</a:t>
          </a:r>
        </a:p>
        <a:p>
          <a:pPr marL="171450" indent="-171450">
            <a:buFont typeface="Wingdings" panose="05000000000000000000" pitchFamily="2" charset="2"/>
            <a:buChar char="§"/>
          </a:pPr>
          <a:r>
            <a:rPr lang="en-IN" sz="1200"/>
            <a:t> </a:t>
          </a:r>
          <a:r>
            <a:rPr lang="en-IN" sz="1200" b="1"/>
            <a:t>Business drivers Q4:</a:t>
          </a:r>
          <a:r>
            <a:rPr lang="en-IN" sz="1200"/>
            <a:t> Domestic decorative paints volume growth hit 12.4% (best in 7 quarters), industrial coatings grew double digits, and international business rose 11% YoY.</a:t>
          </a:r>
        </a:p>
        <a:p>
          <a:pPr marL="171450" indent="-171450">
            <a:buFont typeface="Wingdings" panose="05000000000000000000" pitchFamily="2" charset="2"/>
            <a:buChar char="§"/>
          </a:pPr>
          <a:r>
            <a:rPr lang="en-IN" sz="1200"/>
            <a:t> </a:t>
          </a:r>
          <a:r>
            <a:rPr lang="en-IN" sz="1200" b="1"/>
            <a:t>Q2 FY26 steady but softer:</a:t>
          </a:r>
          <a:r>
            <a:rPr lang="en-IN" sz="1200"/>
            <a:t> Revenue up 6% YoY to ₹8,514 crore, PAT up 47% YoY to ₹1,018 crore, but sequential margins fell to 17.7% amid higher costs.</a:t>
          </a:r>
        </a:p>
        <a:p>
          <a:pPr marL="171450" indent="-171450">
            <a:buFont typeface="Wingdings" panose="05000000000000000000" pitchFamily="2" charset="2"/>
            <a:buChar char="§"/>
          </a:pPr>
          <a:r>
            <a:rPr lang="en-IN" sz="1200"/>
            <a:t> </a:t>
          </a:r>
          <a:r>
            <a:rPr lang="en-IN" sz="1200" b="1"/>
            <a:t>Segmental trends Q2:</a:t>
          </a:r>
          <a:r>
            <a:rPr lang="en-IN" sz="1200"/>
            <a:t> Decorative paints grew 10.9% volumes, industrial coatings remained strong, but home décor (kitchen &amp; bath) declined 5–7% YoY.</a:t>
          </a:r>
        </a:p>
        <a:p>
          <a:pPr marL="171450" indent="-171450">
            <a:buFont typeface="Wingdings" panose="05000000000000000000" pitchFamily="2" charset="2"/>
            <a:buChar char="§"/>
          </a:pPr>
          <a:r>
            <a:rPr lang="en-IN" sz="1200" b="1"/>
            <a:t>Risks:</a:t>
          </a:r>
          <a:r>
            <a:rPr lang="en-IN" sz="1200"/>
            <a:t> Competitive pressure from Birla Opus (Asian Paints’ market share fell from 59% to 52%), raw material cost volatility, and currency risks in overseas markets.</a:t>
          </a:r>
        </a:p>
        <a:p>
          <a:pPr marL="171450" indent="-171450">
            <a:buFont typeface="Wingdings" panose="05000000000000000000" pitchFamily="2" charset="2"/>
            <a:buChar char="§"/>
          </a:pPr>
          <a:r>
            <a:rPr lang="en-IN" sz="1200" b="1"/>
            <a:t>Outlook:</a:t>
          </a:r>
          <a:r>
            <a:rPr lang="en-IN" sz="1200"/>
            <a:t> Q4 shows resilience and margin recovery, while Q2 highlights challenges. UBS upgrade to ₹3,200–₹4,000 reflects optimism, but competition and costs remain key watchpoints.</a:t>
          </a:r>
        </a:p>
        <a:p>
          <a:pPr marL="171450" indent="-171450">
            <a:buFont typeface="Wingdings" panose="05000000000000000000" pitchFamily="2" charset="2"/>
            <a:buChar char="§"/>
          </a:pPr>
          <a:endParaRPr lang="en-IN" sz="1100"/>
        </a:p>
      </xdr:txBody>
    </xdr:sp>
    <xdr:clientData/>
  </xdr:twoCellAnchor>
  <xdr:twoCellAnchor>
    <xdr:from>
      <xdr:col>1</xdr:col>
      <xdr:colOff>246241</xdr:colOff>
      <xdr:row>18</xdr:row>
      <xdr:rowOff>0</xdr:rowOff>
    </xdr:from>
    <xdr:to>
      <xdr:col>2</xdr:col>
      <xdr:colOff>15636</xdr:colOff>
      <xdr:row>18</xdr:row>
      <xdr:rowOff>0</xdr:rowOff>
    </xdr:to>
    <xdr:cxnSp macro="">
      <xdr:nvCxnSpPr>
        <xdr:cNvPr id="22" name="Straight Connector 21">
          <a:extLst>
            <a:ext uri="{FF2B5EF4-FFF2-40B4-BE49-F238E27FC236}">
              <a16:creationId xmlns:a16="http://schemas.microsoft.com/office/drawing/2014/main" id="{57FDAB56-26CD-42E8-AA48-5CE32DB4429E}"/>
            </a:ext>
          </a:extLst>
        </xdr:cNvPr>
        <xdr:cNvCxnSpPr/>
      </xdr:nvCxnSpPr>
      <xdr:spPr>
        <a:xfrm>
          <a:off x="370066" y="4152900"/>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651711</xdr:colOff>
      <xdr:row>18</xdr:row>
      <xdr:rowOff>7088</xdr:rowOff>
    </xdr:from>
    <xdr:to>
      <xdr:col>5</xdr:col>
      <xdr:colOff>250659</xdr:colOff>
      <xdr:row>18</xdr:row>
      <xdr:rowOff>7088</xdr:rowOff>
    </xdr:to>
    <xdr:cxnSp macro="">
      <xdr:nvCxnSpPr>
        <xdr:cNvPr id="23" name="Straight Connector 22">
          <a:extLst>
            <a:ext uri="{FF2B5EF4-FFF2-40B4-BE49-F238E27FC236}">
              <a16:creationId xmlns:a16="http://schemas.microsoft.com/office/drawing/2014/main" id="{35A573C3-24FB-4991-BD8F-7559A844ED2B}"/>
            </a:ext>
          </a:extLst>
        </xdr:cNvPr>
        <xdr:cNvCxnSpPr/>
      </xdr:nvCxnSpPr>
      <xdr:spPr>
        <a:xfrm>
          <a:off x="3156786" y="4159988"/>
          <a:ext cx="2142123"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792079</xdr:colOff>
      <xdr:row>18</xdr:row>
      <xdr:rowOff>691</xdr:rowOff>
    </xdr:from>
    <xdr:to>
      <xdr:col>8</xdr:col>
      <xdr:colOff>391026</xdr:colOff>
      <xdr:row>18</xdr:row>
      <xdr:rowOff>691</xdr:rowOff>
    </xdr:to>
    <xdr:cxnSp macro="">
      <xdr:nvCxnSpPr>
        <xdr:cNvPr id="24" name="Straight Connector 23">
          <a:extLst>
            <a:ext uri="{FF2B5EF4-FFF2-40B4-BE49-F238E27FC236}">
              <a16:creationId xmlns:a16="http://schemas.microsoft.com/office/drawing/2014/main" id="{83E63E2C-6C49-4F97-BC73-9B167105A9D2}"/>
            </a:ext>
          </a:extLst>
        </xdr:cNvPr>
        <xdr:cNvCxnSpPr/>
      </xdr:nvCxnSpPr>
      <xdr:spPr>
        <a:xfrm>
          <a:off x="5840329" y="4153591"/>
          <a:ext cx="2142122"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226189</xdr:colOff>
      <xdr:row>31</xdr:row>
      <xdr:rowOff>98949</xdr:rowOff>
    </xdr:from>
    <xdr:to>
      <xdr:col>1</xdr:col>
      <xdr:colOff>2376834</xdr:colOff>
      <xdr:row>31</xdr:row>
      <xdr:rowOff>98949</xdr:rowOff>
    </xdr:to>
    <xdr:cxnSp macro="">
      <xdr:nvCxnSpPr>
        <xdr:cNvPr id="25" name="Straight Connector 24">
          <a:extLst>
            <a:ext uri="{FF2B5EF4-FFF2-40B4-BE49-F238E27FC236}">
              <a16:creationId xmlns:a16="http://schemas.microsoft.com/office/drawing/2014/main" id="{0B5C50BF-AC7E-4318-842E-79E333B92988}"/>
            </a:ext>
          </a:extLst>
        </xdr:cNvPr>
        <xdr:cNvCxnSpPr/>
      </xdr:nvCxnSpPr>
      <xdr:spPr>
        <a:xfrm>
          <a:off x="350014" y="6728349"/>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741947</xdr:colOff>
      <xdr:row>31</xdr:row>
      <xdr:rowOff>90237</xdr:rowOff>
    </xdr:from>
    <xdr:to>
      <xdr:col>5</xdr:col>
      <xdr:colOff>340895</xdr:colOff>
      <xdr:row>31</xdr:row>
      <xdr:rowOff>90237</xdr:rowOff>
    </xdr:to>
    <xdr:cxnSp macro="">
      <xdr:nvCxnSpPr>
        <xdr:cNvPr id="26" name="Straight Connector 25">
          <a:extLst>
            <a:ext uri="{FF2B5EF4-FFF2-40B4-BE49-F238E27FC236}">
              <a16:creationId xmlns:a16="http://schemas.microsoft.com/office/drawing/2014/main" id="{8E85F4F3-9426-4C1D-B1F9-05014898EB7A}"/>
            </a:ext>
          </a:extLst>
        </xdr:cNvPr>
        <xdr:cNvCxnSpPr/>
      </xdr:nvCxnSpPr>
      <xdr:spPr>
        <a:xfrm>
          <a:off x="3247022" y="6719637"/>
          <a:ext cx="2142123"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7844</xdr:colOff>
      <xdr:row>64</xdr:row>
      <xdr:rowOff>0</xdr:rowOff>
    </xdr:from>
    <xdr:to>
      <xdr:col>8</xdr:col>
      <xdr:colOff>179295</xdr:colOff>
      <xdr:row>66</xdr:row>
      <xdr:rowOff>0</xdr:rowOff>
    </xdr:to>
    <xdr:sp macro="" textlink="">
      <xdr:nvSpPr>
        <xdr:cNvPr id="28" name="TextBox 27">
          <a:extLst>
            <a:ext uri="{FF2B5EF4-FFF2-40B4-BE49-F238E27FC236}">
              <a16:creationId xmlns:a16="http://schemas.microsoft.com/office/drawing/2014/main" id="{A5C5B2EA-BC87-4324-806F-2345F9A41041}"/>
            </a:ext>
          </a:extLst>
        </xdr:cNvPr>
        <xdr:cNvSpPr txBox="1"/>
      </xdr:nvSpPr>
      <xdr:spPr>
        <a:xfrm>
          <a:off x="131669" y="12792075"/>
          <a:ext cx="7639051"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E7525"/>
              </a:solidFill>
            </a:rPr>
            <a:t>Altman's Z Score Analysis Calculation</a:t>
          </a:r>
        </a:p>
        <a:p>
          <a:endParaRPr lang="en-IN" sz="1800" b="1">
            <a:solidFill>
              <a:srgbClr val="EE7525"/>
            </a:solidFill>
          </a:endParaRPr>
        </a:p>
      </xdr:txBody>
    </xdr:sp>
    <xdr:clientData/>
  </xdr:twoCellAnchor>
  <xdr:twoCellAnchor>
    <xdr:from>
      <xdr:col>0</xdr:col>
      <xdr:colOff>100013</xdr:colOff>
      <xdr:row>103</xdr:row>
      <xdr:rowOff>0</xdr:rowOff>
    </xdr:from>
    <xdr:to>
      <xdr:col>8</xdr:col>
      <xdr:colOff>295964</xdr:colOff>
      <xdr:row>105</xdr:row>
      <xdr:rowOff>35719</xdr:rowOff>
    </xdr:to>
    <xdr:sp macro="" textlink="">
      <xdr:nvSpPr>
        <xdr:cNvPr id="30" name="TextBox 29">
          <a:extLst>
            <a:ext uri="{FF2B5EF4-FFF2-40B4-BE49-F238E27FC236}">
              <a16:creationId xmlns:a16="http://schemas.microsoft.com/office/drawing/2014/main" id="{9A04DF97-3E97-42DA-BB3E-05724F6A95BD}"/>
            </a:ext>
          </a:extLst>
        </xdr:cNvPr>
        <xdr:cNvSpPr txBox="1"/>
      </xdr:nvSpPr>
      <xdr:spPr>
        <a:xfrm>
          <a:off x="100013" y="24603075"/>
          <a:ext cx="7787376" cy="41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900" b="1">
              <a:solidFill>
                <a:srgbClr val="EE7525"/>
              </a:solidFill>
            </a:rPr>
            <a:t>Disclaimer: </a:t>
          </a:r>
          <a:r>
            <a:rPr lang="en-IN" sz="900"/>
            <a:t>This report is made as part of educational assignment and is meant for educational purpose only.The author of the report is not liable</a:t>
          </a:r>
          <a:r>
            <a:rPr lang="en-IN" sz="900" baseline="0"/>
            <a:t> for any losses due to actions taken basis this report. It is advisiable to consult SEBI registered researh analyst before making any investments.</a:t>
          </a:r>
          <a:endParaRPr lang="en-IN" sz="900"/>
        </a:p>
      </xdr:txBody>
    </xdr:sp>
    <xdr:clientData/>
  </xdr:twoCellAnchor>
  <xdr:twoCellAnchor>
    <xdr:from>
      <xdr:col>6</xdr:col>
      <xdr:colOff>0</xdr:colOff>
      <xdr:row>31</xdr:row>
      <xdr:rowOff>74309</xdr:rowOff>
    </xdr:from>
    <xdr:to>
      <xdr:col>9</xdr:col>
      <xdr:colOff>108019</xdr:colOff>
      <xdr:row>42</xdr:row>
      <xdr:rowOff>92909</xdr:rowOff>
    </xdr:to>
    <xdr:grpSp>
      <xdr:nvGrpSpPr>
        <xdr:cNvPr id="29" name="Group 28">
          <a:extLst>
            <a:ext uri="{FF2B5EF4-FFF2-40B4-BE49-F238E27FC236}">
              <a16:creationId xmlns:a16="http://schemas.microsoft.com/office/drawing/2014/main" id="{D660B293-A7C2-483C-A4D1-348902427DD9}"/>
            </a:ext>
          </a:extLst>
        </xdr:cNvPr>
        <xdr:cNvGrpSpPr/>
      </xdr:nvGrpSpPr>
      <xdr:grpSpPr>
        <a:xfrm>
          <a:off x="5883797" y="6753866"/>
          <a:ext cx="2639981" cy="2140625"/>
          <a:chOff x="238753" y="3331445"/>
          <a:chExt cx="2401260" cy="2110162"/>
        </a:xfrm>
        <a:noFill/>
      </xdr:grpSpPr>
      <xdr:graphicFrame macro="">
        <xdr:nvGraphicFramePr>
          <xdr:cNvPr id="31" name="Chart 30">
            <a:extLst>
              <a:ext uri="{FF2B5EF4-FFF2-40B4-BE49-F238E27FC236}">
                <a16:creationId xmlns:a16="http://schemas.microsoft.com/office/drawing/2014/main" id="{358ECDFE-7F08-1965-D442-D4837A43ED59}"/>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2" name="TextBox 31">
            <a:extLst>
              <a:ext uri="{FF2B5EF4-FFF2-40B4-BE49-F238E27FC236}">
                <a16:creationId xmlns:a16="http://schemas.microsoft.com/office/drawing/2014/main" id="{9973548C-C245-C80E-08FE-7F7FEF64A496}"/>
              </a:ext>
            </a:extLst>
          </xdr:cNvPr>
          <xdr:cNvSpPr txBox="1"/>
        </xdr:nvSpPr>
        <xdr:spPr>
          <a:xfrm>
            <a:off x="751921" y="3331445"/>
            <a:ext cx="1618247"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EE7525"/>
                </a:solidFill>
                <a:latin typeface="+mn-lt"/>
              </a:rPr>
              <a:t>Altman's Z Score</a:t>
            </a:r>
            <a:endParaRPr lang="en-IN" sz="1100" b="1">
              <a:solidFill>
                <a:srgbClr val="EE7525"/>
              </a:solidFill>
              <a:latin typeface="+mn-lt"/>
            </a:endParaRPr>
          </a:p>
        </xdr:txBody>
      </xdr:sp>
    </xdr:grpSp>
    <xdr:clientData/>
  </xdr:twoCellAnchor>
  <xdr:twoCellAnchor>
    <xdr:from>
      <xdr:col>6</xdr:col>
      <xdr:colOff>0</xdr:colOff>
      <xdr:row>31</xdr:row>
      <xdr:rowOff>60285</xdr:rowOff>
    </xdr:from>
    <xdr:to>
      <xdr:col>8</xdr:col>
      <xdr:colOff>747532</xdr:colOff>
      <xdr:row>31</xdr:row>
      <xdr:rowOff>72342</xdr:rowOff>
    </xdr:to>
    <xdr:cxnSp macro="">
      <xdr:nvCxnSpPr>
        <xdr:cNvPr id="33" name="Straight Connector 32">
          <a:extLst>
            <a:ext uri="{FF2B5EF4-FFF2-40B4-BE49-F238E27FC236}">
              <a16:creationId xmlns:a16="http://schemas.microsoft.com/office/drawing/2014/main" id="{C8F743CD-87CD-4D73-9FF4-D532E9E95545}"/>
            </a:ext>
          </a:extLst>
        </xdr:cNvPr>
        <xdr:cNvCxnSpPr/>
      </xdr:nvCxnSpPr>
      <xdr:spPr>
        <a:xfrm flipV="1">
          <a:off x="5883797" y="6739842"/>
          <a:ext cx="2435507" cy="12057"/>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28899</xdr:colOff>
      <xdr:row>2</xdr:row>
      <xdr:rowOff>6377</xdr:rowOff>
    </xdr:from>
    <xdr:to>
      <xdr:col>9</xdr:col>
      <xdr:colOff>224117</xdr:colOff>
      <xdr:row>6</xdr:row>
      <xdr:rowOff>122456</xdr:rowOff>
    </xdr:to>
    <xdr:pic>
      <xdr:nvPicPr>
        <xdr:cNvPr id="4" name="Picture 3">
          <a:extLst>
            <a:ext uri="{FF2B5EF4-FFF2-40B4-BE49-F238E27FC236}">
              <a16:creationId xmlns:a16="http://schemas.microsoft.com/office/drawing/2014/main" id="{0BF97F7E-A811-1058-D7C6-9D010C0F250D}"/>
            </a:ext>
          </a:extLst>
        </xdr:cNvPr>
        <xdr:cNvPicPr>
          <a:picLocks noChangeAspect="1"/>
        </xdr:cNvPicPr>
      </xdr:nvPicPr>
      <xdr:blipFill rotWithShape="1">
        <a:blip xmlns:r="http://schemas.openxmlformats.org/officeDocument/2006/relationships" r:embed="rId1"/>
        <a:srcRect l="1516" t="11636" r="-16265" b="21717"/>
        <a:stretch/>
      </xdr:blipFill>
      <xdr:spPr>
        <a:xfrm>
          <a:off x="5954009" y="104428"/>
          <a:ext cx="2758564" cy="1208652"/>
        </a:xfrm>
        <a:prstGeom prst="rect">
          <a:avLst/>
        </a:prstGeom>
      </xdr:spPr>
    </xdr:pic>
    <xdr:clientData/>
  </xdr:twoCellAnchor>
  <xdr:twoCellAnchor>
    <xdr:from>
      <xdr:col>1</xdr:col>
      <xdr:colOff>36991</xdr:colOff>
      <xdr:row>17</xdr:row>
      <xdr:rowOff>225591</xdr:rowOff>
    </xdr:from>
    <xdr:to>
      <xdr:col>2</xdr:col>
      <xdr:colOff>290152</xdr:colOff>
      <xdr:row>29</xdr:row>
      <xdr:rowOff>80286</xdr:rowOff>
    </xdr:to>
    <xdr:grpSp>
      <xdr:nvGrpSpPr>
        <xdr:cNvPr id="9" name="Group 8">
          <a:extLst>
            <a:ext uri="{FF2B5EF4-FFF2-40B4-BE49-F238E27FC236}">
              <a16:creationId xmlns:a16="http://schemas.microsoft.com/office/drawing/2014/main" id="{AAFA778A-1ACB-C64F-6BB5-68E29D29425E}"/>
            </a:ext>
          </a:extLst>
        </xdr:cNvPr>
        <xdr:cNvGrpSpPr/>
      </xdr:nvGrpSpPr>
      <xdr:grpSpPr>
        <a:xfrm>
          <a:off x="156054" y="4130841"/>
          <a:ext cx="2634411" cy="2188320"/>
          <a:chOff x="238753" y="3253432"/>
          <a:chExt cx="2401260" cy="2188175"/>
        </a:xfrm>
        <a:noFill/>
      </xdr:grpSpPr>
      <xdr:graphicFrame macro="">
        <xdr:nvGraphicFramePr>
          <xdr:cNvPr id="2" name="Chart 1">
            <a:extLst>
              <a:ext uri="{FF2B5EF4-FFF2-40B4-BE49-F238E27FC236}">
                <a16:creationId xmlns:a16="http://schemas.microsoft.com/office/drawing/2014/main" id="{AA1A3EDC-50BD-7C01-D250-4298C4C1BC20}"/>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 name="TextBox 2">
            <a:extLst>
              <a:ext uri="{FF2B5EF4-FFF2-40B4-BE49-F238E27FC236}">
                <a16:creationId xmlns:a16="http://schemas.microsoft.com/office/drawing/2014/main" id="{E7F34921-9B45-D7E5-BCD0-19DE59D6711C}"/>
              </a:ext>
            </a:extLst>
          </xdr:cNvPr>
          <xdr:cNvSpPr txBox="1"/>
        </xdr:nvSpPr>
        <xdr:spPr>
          <a:xfrm>
            <a:off x="826105" y="3253432"/>
            <a:ext cx="1267461"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E7525"/>
                </a:solidFill>
                <a:latin typeface="+mn-lt"/>
              </a:rPr>
              <a:t>Revenues (INR  Cr.)</a:t>
            </a:r>
          </a:p>
        </xdr:txBody>
      </xdr:sp>
    </xdr:grpSp>
    <xdr:clientData/>
  </xdr:twoCellAnchor>
  <xdr:twoCellAnchor>
    <xdr:from>
      <xdr:col>2</xdr:col>
      <xdr:colOff>419033</xdr:colOff>
      <xdr:row>17</xdr:row>
      <xdr:rowOff>234174</xdr:rowOff>
    </xdr:from>
    <xdr:to>
      <xdr:col>5</xdr:col>
      <xdr:colOff>496038</xdr:colOff>
      <xdr:row>29</xdr:row>
      <xdr:rowOff>88966</xdr:rowOff>
    </xdr:to>
    <xdr:grpSp>
      <xdr:nvGrpSpPr>
        <xdr:cNvPr id="12" name="Group 11">
          <a:extLst>
            <a:ext uri="{FF2B5EF4-FFF2-40B4-BE49-F238E27FC236}">
              <a16:creationId xmlns:a16="http://schemas.microsoft.com/office/drawing/2014/main" id="{49190CE1-69DA-439E-B2A5-656AA8481D6F}"/>
            </a:ext>
          </a:extLst>
        </xdr:cNvPr>
        <xdr:cNvGrpSpPr/>
      </xdr:nvGrpSpPr>
      <xdr:grpSpPr>
        <a:xfrm>
          <a:off x="2919346" y="4139424"/>
          <a:ext cx="2613036" cy="2188417"/>
          <a:chOff x="238753" y="3253432"/>
          <a:chExt cx="2401260" cy="2188175"/>
        </a:xfrm>
      </xdr:grpSpPr>
      <xdr:graphicFrame macro="">
        <xdr:nvGraphicFramePr>
          <xdr:cNvPr id="13" name="Chart 12">
            <a:extLst>
              <a:ext uri="{FF2B5EF4-FFF2-40B4-BE49-F238E27FC236}">
                <a16:creationId xmlns:a16="http://schemas.microsoft.com/office/drawing/2014/main" id="{B386DA64-FF05-AF40-A093-7DBF154E9A34}"/>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4" name="TextBox 13">
            <a:extLst>
              <a:ext uri="{FF2B5EF4-FFF2-40B4-BE49-F238E27FC236}">
                <a16:creationId xmlns:a16="http://schemas.microsoft.com/office/drawing/2014/main" id="{AEC0372D-F90A-328C-1B42-07C3E500B5CD}"/>
              </a:ext>
            </a:extLst>
          </xdr:cNvPr>
          <xdr:cNvSpPr txBox="1"/>
        </xdr:nvSpPr>
        <xdr:spPr>
          <a:xfrm>
            <a:off x="784816" y="3253432"/>
            <a:ext cx="1293963"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E7525"/>
                </a:solidFill>
                <a:latin typeface="+mn-lt"/>
              </a:rPr>
              <a:t>Net</a:t>
            </a:r>
            <a:r>
              <a:rPr lang="en-IN" sz="1100" b="1" baseline="0">
                <a:solidFill>
                  <a:srgbClr val="EE7525"/>
                </a:solidFill>
                <a:latin typeface="+mn-lt"/>
              </a:rPr>
              <a:t> Profit</a:t>
            </a:r>
            <a:r>
              <a:rPr lang="en-IN" sz="1100" b="1">
                <a:solidFill>
                  <a:srgbClr val="EE7525"/>
                </a:solidFill>
                <a:latin typeface="+mn-lt"/>
              </a:rPr>
              <a:t> (INR  Cr.)</a:t>
            </a:r>
          </a:p>
        </xdr:txBody>
      </xdr:sp>
    </xdr:grpSp>
    <xdr:clientData/>
  </xdr:twoCellAnchor>
  <xdr:twoCellAnchor>
    <xdr:from>
      <xdr:col>5</xdr:col>
      <xdr:colOff>518271</xdr:colOff>
      <xdr:row>18</xdr:row>
      <xdr:rowOff>8975</xdr:rowOff>
    </xdr:from>
    <xdr:to>
      <xdr:col>8</xdr:col>
      <xdr:colOff>649241</xdr:colOff>
      <xdr:row>29</xdr:row>
      <xdr:rowOff>102562</xdr:rowOff>
    </xdr:to>
    <xdr:grpSp>
      <xdr:nvGrpSpPr>
        <xdr:cNvPr id="16" name="Group 15">
          <a:extLst>
            <a:ext uri="{FF2B5EF4-FFF2-40B4-BE49-F238E27FC236}">
              <a16:creationId xmlns:a16="http://schemas.microsoft.com/office/drawing/2014/main" id="{7A25AD24-EE18-426C-BB66-67D54BE98EBD}"/>
            </a:ext>
          </a:extLst>
        </xdr:cNvPr>
        <xdr:cNvGrpSpPr/>
      </xdr:nvGrpSpPr>
      <xdr:grpSpPr>
        <a:xfrm>
          <a:off x="5554615" y="4152350"/>
          <a:ext cx="2667001" cy="2189087"/>
          <a:chOff x="238753" y="3253432"/>
          <a:chExt cx="2401260" cy="2188175"/>
        </a:xfrm>
      </xdr:grpSpPr>
      <xdr:graphicFrame macro="">
        <xdr:nvGraphicFramePr>
          <xdr:cNvPr id="17" name="Chart 16">
            <a:extLst>
              <a:ext uri="{FF2B5EF4-FFF2-40B4-BE49-F238E27FC236}">
                <a16:creationId xmlns:a16="http://schemas.microsoft.com/office/drawing/2014/main" id="{F5382312-2608-72DF-AA73-BE2D92BBBA1D}"/>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8" name="TextBox 17">
            <a:extLst>
              <a:ext uri="{FF2B5EF4-FFF2-40B4-BE49-F238E27FC236}">
                <a16:creationId xmlns:a16="http://schemas.microsoft.com/office/drawing/2014/main" id="{B0DB49F1-21D1-2511-AE3A-34DD9D88D252}"/>
              </a:ext>
            </a:extLst>
          </xdr:cNvPr>
          <xdr:cNvSpPr txBox="1"/>
        </xdr:nvSpPr>
        <xdr:spPr>
          <a:xfrm>
            <a:off x="794448" y="3253432"/>
            <a:ext cx="1293963" cy="277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E7525"/>
                </a:solidFill>
                <a:latin typeface="+mn-lt"/>
              </a:rPr>
              <a:t>Total</a:t>
            </a:r>
            <a:r>
              <a:rPr lang="en-IN" sz="1100" b="1" baseline="0">
                <a:solidFill>
                  <a:srgbClr val="EE7525"/>
                </a:solidFill>
                <a:latin typeface="+mn-lt"/>
              </a:rPr>
              <a:t> Asset</a:t>
            </a:r>
            <a:r>
              <a:rPr lang="en-IN" sz="1100" b="1">
                <a:solidFill>
                  <a:srgbClr val="EE7525"/>
                </a:solidFill>
                <a:latin typeface="+mn-lt"/>
              </a:rPr>
              <a:t> (INR  Cr.)</a:t>
            </a:r>
          </a:p>
        </xdr:txBody>
      </xdr:sp>
    </xdr:grpSp>
    <xdr:clientData/>
  </xdr:twoCellAnchor>
  <xdr:twoCellAnchor>
    <xdr:from>
      <xdr:col>0</xdr:col>
      <xdr:colOff>115394</xdr:colOff>
      <xdr:row>31</xdr:row>
      <xdr:rowOff>94801</xdr:rowOff>
    </xdr:from>
    <xdr:to>
      <xdr:col>2</xdr:col>
      <xdr:colOff>243823</xdr:colOff>
      <xdr:row>42</xdr:row>
      <xdr:rowOff>187709</xdr:rowOff>
    </xdr:to>
    <xdr:grpSp>
      <xdr:nvGrpSpPr>
        <xdr:cNvPr id="33" name="Group 32">
          <a:extLst>
            <a:ext uri="{FF2B5EF4-FFF2-40B4-BE49-F238E27FC236}">
              <a16:creationId xmlns:a16="http://schemas.microsoft.com/office/drawing/2014/main" id="{27A1E189-D466-47DD-9A73-AD32F002C322}"/>
            </a:ext>
          </a:extLst>
        </xdr:cNvPr>
        <xdr:cNvGrpSpPr/>
      </xdr:nvGrpSpPr>
      <xdr:grpSpPr>
        <a:xfrm>
          <a:off x="115394" y="6714676"/>
          <a:ext cx="2628742" cy="2188408"/>
          <a:chOff x="238753" y="3253432"/>
          <a:chExt cx="2401260" cy="2188175"/>
        </a:xfrm>
        <a:noFill/>
      </xdr:grpSpPr>
      <xdr:graphicFrame macro="">
        <xdr:nvGraphicFramePr>
          <xdr:cNvPr id="34" name="Chart 33">
            <a:extLst>
              <a:ext uri="{FF2B5EF4-FFF2-40B4-BE49-F238E27FC236}">
                <a16:creationId xmlns:a16="http://schemas.microsoft.com/office/drawing/2014/main" id="{EA9024E3-8742-B90F-A142-D017538A13DC}"/>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5" name="TextBox 34">
            <a:extLst>
              <a:ext uri="{FF2B5EF4-FFF2-40B4-BE49-F238E27FC236}">
                <a16:creationId xmlns:a16="http://schemas.microsoft.com/office/drawing/2014/main" id="{F572A54C-982D-DE2A-7F56-CA1CA385F4C4}"/>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EE7525"/>
                </a:solidFill>
                <a:latin typeface="+mn-lt"/>
              </a:rPr>
              <a:t>Return</a:t>
            </a:r>
            <a:r>
              <a:rPr lang="en-IN" sz="1100" b="1" baseline="0">
                <a:solidFill>
                  <a:srgbClr val="EE7525"/>
                </a:solidFill>
                <a:latin typeface="+mn-lt"/>
              </a:rPr>
              <a:t> on Equity</a:t>
            </a:r>
            <a:r>
              <a:rPr lang="en-IN" sz="1100" b="1">
                <a:solidFill>
                  <a:srgbClr val="EE7525"/>
                </a:solidFill>
                <a:latin typeface="+mn-lt"/>
              </a:rPr>
              <a:t> (%)</a:t>
            </a:r>
          </a:p>
        </xdr:txBody>
      </xdr:sp>
    </xdr:grpSp>
    <xdr:clientData/>
  </xdr:twoCellAnchor>
  <xdr:twoCellAnchor>
    <xdr:from>
      <xdr:col>2</xdr:col>
      <xdr:colOff>427291</xdr:colOff>
      <xdr:row>31</xdr:row>
      <xdr:rowOff>92132</xdr:rowOff>
    </xdr:from>
    <xdr:to>
      <xdr:col>5</xdr:col>
      <xdr:colOff>535310</xdr:colOff>
      <xdr:row>42</xdr:row>
      <xdr:rowOff>185040</xdr:rowOff>
    </xdr:to>
    <xdr:grpSp>
      <xdr:nvGrpSpPr>
        <xdr:cNvPr id="37" name="Group 36">
          <a:extLst>
            <a:ext uri="{FF2B5EF4-FFF2-40B4-BE49-F238E27FC236}">
              <a16:creationId xmlns:a16="http://schemas.microsoft.com/office/drawing/2014/main" id="{1AC6F423-4D04-429B-B7D1-6CD384400D87}"/>
            </a:ext>
          </a:extLst>
        </xdr:cNvPr>
        <xdr:cNvGrpSpPr/>
      </xdr:nvGrpSpPr>
      <xdr:grpSpPr>
        <a:xfrm>
          <a:off x="2927604" y="6712007"/>
          <a:ext cx="2644050" cy="2188408"/>
          <a:chOff x="238753" y="3253432"/>
          <a:chExt cx="2401260" cy="2188175"/>
        </a:xfrm>
        <a:noFill/>
      </xdr:grpSpPr>
      <xdr:graphicFrame macro="">
        <xdr:nvGraphicFramePr>
          <xdr:cNvPr id="38" name="Chart 37">
            <a:extLst>
              <a:ext uri="{FF2B5EF4-FFF2-40B4-BE49-F238E27FC236}">
                <a16:creationId xmlns:a16="http://schemas.microsoft.com/office/drawing/2014/main" id="{6111005C-7A82-F2EE-D222-8A5545FEA08E}"/>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9" name="TextBox 38">
            <a:extLst>
              <a:ext uri="{FF2B5EF4-FFF2-40B4-BE49-F238E27FC236}">
                <a16:creationId xmlns:a16="http://schemas.microsoft.com/office/drawing/2014/main" id="{434064CF-37FC-355E-A398-7E65F24C718B}"/>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EE7525"/>
                </a:solidFill>
                <a:latin typeface="+mn-lt"/>
              </a:rPr>
              <a:t> </a:t>
            </a:r>
            <a:r>
              <a:rPr lang="en-IN" sz="1100" b="1">
                <a:solidFill>
                  <a:srgbClr val="EE7525"/>
                </a:solidFill>
                <a:latin typeface="+mn-lt"/>
              </a:rPr>
              <a:t>Return On Assets(%)</a:t>
            </a:r>
          </a:p>
        </xdr:txBody>
      </xdr:sp>
    </xdr:grpSp>
    <xdr:clientData/>
  </xdr:twoCellAnchor>
  <xdr:twoCellAnchor>
    <xdr:from>
      <xdr:col>5</xdr:col>
      <xdr:colOff>559493</xdr:colOff>
      <xdr:row>31</xdr:row>
      <xdr:rowOff>80793</xdr:rowOff>
    </xdr:from>
    <xdr:to>
      <xdr:col>8</xdr:col>
      <xdr:colOff>667512</xdr:colOff>
      <xdr:row>42</xdr:row>
      <xdr:rowOff>173701</xdr:rowOff>
    </xdr:to>
    <xdr:grpSp>
      <xdr:nvGrpSpPr>
        <xdr:cNvPr id="41" name="Group 40">
          <a:extLst>
            <a:ext uri="{FF2B5EF4-FFF2-40B4-BE49-F238E27FC236}">
              <a16:creationId xmlns:a16="http://schemas.microsoft.com/office/drawing/2014/main" id="{4D50C313-4A6C-4F6D-8A9F-0A64536BF77C}"/>
            </a:ext>
          </a:extLst>
        </xdr:cNvPr>
        <xdr:cNvGrpSpPr/>
      </xdr:nvGrpSpPr>
      <xdr:grpSpPr>
        <a:xfrm>
          <a:off x="5595837" y="6700668"/>
          <a:ext cx="2644050" cy="2188408"/>
          <a:chOff x="238753" y="3253432"/>
          <a:chExt cx="2401260" cy="2188175"/>
        </a:xfrm>
        <a:noFill/>
      </xdr:grpSpPr>
      <xdr:graphicFrame macro="">
        <xdr:nvGraphicFramePr>
          <xdr:cNvPr id="42" name="Chart 41">
            <a:extLst>
              <a:ext uri="{FF2B5EF4-FFF2-40B4-BE49-F238E27FC236}">
                <a16:creationId xmlns:a16="http://schemas.microsoft.com/office/drawing/2014/main" id="{ED091DDF-549E-AB69-B66A-257DE6E2E65C}"/>
              </a:ext>
            </a:extLst>
          </xdr:cNvPr>
          <xdr:cNvGraphicFramePr/>
        </xdr:nvGraphicFramePr>
        <xdr:xfrm>
          <a:off x="238753" y="3566319"/>
          <a:ext cx="2401260" cy="18752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3" name="TextBox 42">
            <a:extLst>
              <a:ext uri="{FF2B5EF4-FFF2-40B4-BE49-F238E27FC236}">
                <a16:creationId xmlns:a16="http://schemas.microsoft.com/office/drawing/2014/main" id="{DA8A9517-511B-2AF4-8EE8-6DB5723C8E26}"/>
              </a:ext>
            </a:extLst>
          </xdr:cNvPr>
          <xdr:cNvSpPr txBox="1"/>
        </xdr:nvSpPr>
        <xdr:spPr>
          <a:xfrm>
            <a:off x="826104" y="3253432"/>
            <a:ext cx="1611468" cy="27790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EE7525"/>
                </a:solidFill>
                <a:latin typeface="+mn-lt"/>
              </a:rPr>
              <a:t>Financial</a:t>
            </a:r>
            <a:r>
              <a:rPr lang="en-IN" sz="1100" b="1" baseline="0">
                <a:solidFill>
                  <a:srgbClr val="EE7525"/>
                </a:solidFill>
                <a:latin typeface="+mn-lt"/>
              </a:rPr>
              <a:t> everage</a:t>
            </a:r>
            <a:r>
              <a:rPr lang="en-IN" sz="1100" b="1">
                <a:solidFill>
                  <a:srgbClr val="EE7525"/>
                </a:solidFill>
                <a:latin typeface="+mn-lt"/>
              </a:rPr>
              <a:t> (INR  Cr.)</a:t>
            </a:r>
          </a:p>
        </xdr:txBody>
      </xdr:sp>
    </xdr:grpSp>
    <xdr:clientData/>
  </xdr:twoCellAnchor>
  <xdr:twoCellAnchor>
    <xdr:from>
      <xdr:col>1</xdr:col>
      <xdr:colOff>152081</xdr:colOff>
      <xdr:row>44</xdr:row>
      <xdr:rowOff>165495</xdr:rowOff>
    </xdr:from>
    <xdr:to>
      <xdr:col>8</xdr:col>
      <xdr:colOff>550843</xdr:colOff>
      <xdr:row>60</xdr:row>
      <xdr:rowOff>126234</xdr:rowOff>
    </xdr:to>
    <xdr:sp macro="" textlink="">
      <xdr:nvSpPr>
        <xdr:cNvPr id="45" name="TextBox 44">
          <a:extLst>
            <a:ext uri="{FF2B5EF4-FFF2-40B4-BE49-F238E27FC236}">
              <a16:creationId xmlns:a16="http://schemas.microsoft.com/office/drawing/2014/main" id="{7415F542-DA36-EBBC-6112-39117CED5BCE}"/>
            </a:ext>
          </a:extLst>
        </xdr:cNvPr>
        <xdr:cNvSpPr txBox="1"/>
      </xdr:nvSpPr>
      <xdr:spPr>
        <a:xfrm>
          <a:off x="278316" y="9426549"/>
          <a:ext cx="7881051" cy="2887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Wingdings" panose="05000000000000000000" pitchFamily="2" charset="2"/>
            <a:buNone/>
          </a:pPr>
          <a:r>
            <a:rPr lang="en-IN" sz="1400" b="1">
              <a:solidFill>
                <a:srgbClr val="EE7525"/>
              </a:solidFill>
            </a:rPr>
            <a:t>Recent Updates:</a:t>
          </a:r>
        </a:p>
        <a:p>
          <a:pPr marL="171450" indent="-171450">
            <a:buFont typeface="Wingdings" panose="05000000000000000000" pitchFamily="2" charset="2"/>
            <a:buChar char="§"/>
          </a:pPr>
          <a:r>
            <a:rPr lang="en-IN" sz="1200"/>
            <a:t> </a:t>
          </a:r>
          <a:r>
            <a:rPr lang="en-IN" sz="1200" b="1"/>
            <a:t>Q4 FY26 rebound:</a:t>
          </a:r>
          <a:r>
            <a:rPr lang="en-IN" sz="1200"/>
            <a:t> Revenue rose 11% YoY to ₹9,228 crore, net profit surged 69% YoY to ₹1,172 crore, with EBITDA margin expanding to 19.3%.</a:t>
          </a:r>
        </a:p>
        <a:p>
          <a:pPr marL="171450" indent="-171450">
            <a:buFont typeface="Wingdings" panose="05000000000000000000" pitchFamily="2" charset="2"/>
            <a:buChar char="§"/>
          </a:pPr>
          <a:r>
            <a:rPr lang="en-IN" sz="1200"/>
            <a:t> </a:t>
          </a:r>
          <a:r>
            <a:rPr lang="en-IN" sz="1200" b="1"/>
            <a:t>Dividend strength:</a:t>
          </a:r>
          <a:r>
            <a:rPr lang="en-IN" sz="1200"/>
            <a:t> Declared a final dividend of ₹23/share, taking FY26 payout to ₹27.50/share, signaling strong cash flows.</a:t>
          </a:r>
        </a:p>
        <a:p>
          <a:pPr marL="171450" indent="-171450">
            <a:buFont typeface="Wingdings" panose="05000000000000000000" pitchFamily="2" charset="2"/>
            <a:buChar char="§"/>
          </a:pPr>
          <a:r>
            <a:rPr lang="en-IN" sz="1200"/>
            <a:t> </a:t>
          </a:r>
          <a:r>
            <a:rPr lang="en-IN" sz="1200" b="1"/>
            <a:t>Business drivers Q4:</a:t>
          </a:r>
          <a:r>
            <a:rPr lang="en-IN" sz="1200"/>
            <a:t> Domestic decorative paints volume growth hit 12.4% (best in 7 quarters), industrial coatings grew double digits, and international business rose 11% YoY.</a:t>
          </a:r>
        </a:p>
        <a:p>
          <a:pPr marL="171450" indent="-171450">
            <a:buFont typeface="Wingdings" panose="05000000000000000000" pitchFamily="2" charset="2"/>
            <a:buChar char="§"/>
          </a:pPr>
          <a:r>
            <a:rPr lang="en-IN" sz="1200"/>
            <a:t> </a:t>
          </a:r>
          <a:r>
            <a:rPr lang="en-IN" sz="1200" b="1"/>
            <a:t>Q2 FY26 steady but softer:</a:t>
          </a:r>
          <a:r>
            <a:rPr lang="en-IN" sz="1200"/>
            <a:t> Revenue up 6% YoY to ₹8,514 crore, PAT up 47% YoY to ₹1,018 crore, but sequential margins fell to 17.7% amid higher costs.</a:t>
          </a:r>
        </a:p>
        <a:p>
          <a:pPr marL="171450" indent="-171450">
            <a:buFont typeface="Wingdings" panose="05000000000000000000" pitchFamily="2" charset="2"/>
            <a:buChar char="§"/>
          </a:pPr>
          <a:r>
            <a:rPr lang="en-IN" sz="1200"/>
            <a:t> </a:t>
          </a:r>
          <a:r>
            <a:rPr lang="en-IN" sz="1200" b="1"/>
            <a:t>Segmental trends Q2:</a:t>
          </a:r>
          <a:r>
            <a:rPr lang="en-IN" sz="1200"/>
            <a:t> Decorative paints grew 10.9% volumes, industrial coatings remained strong, but home décor (kitchen &amp; bath) declined 5–7% YoY.</a:t>
          </a:r>
        </a:p>
        <a:p>
          <a:pPr marL="171450" indent="-171450">
            <a:buFont typeface="Wingdings" panose="05000000000000000000" pitchFamily="2" charset="2"/>
            <a:buChar char="§"/>
          </a:pPr>
          <a:r>
            <a:rPr lang="en-IN" sz="1200" b="1"/>
            <a:t>Risks:</a:t>
          </a:r>
          <a:r>
            <a:rPr lang="en-IN" sz="1200"/>
            <a:t> Competitive pressure from Birla Opus (Asian Paints’ market share fell from 59% to 52%), raw material cost volatility, and currency risks in overseas markets.</a:t>
          </a:r>
        </a:p>
        <a:p>
          <a:pPr marL="171450" indent="-171450">
            <a:buFont typeface="Wingdings" panose="05000000000000000000" pitchFamily="2" charset="2"/>
            <a:buChar char="§"/>
          </a:pPr>
          <a:r>
            <a:rPr lang="en-IN" sz="1200" b="1"/>
            <a:t>Outlook:</a:t>
          </a:r>
          <a:r>
            <a:rPr lang="en-IN" sz="1200"/>
            <a:t> Q4 shows resilience and margin recovery, while Q2 highlights challenges. UBS upgrade to ₹3,200–₹4,000 reflects optimism, but competition and costs remain key watchpoints.</a:t>
          </a:r>
        </a:p>
        <a:p>
          <a:pPr marL="171450" indent="-171450">
            <a:buFont typeface="Wingdings" panose="05000000000000000000" pitchFamily="2" charset="2"/>
            <a:buChar char="§"/>
          </a:pPr>
          <a:endParaRPr lang="en-IN" sz="1100"/>
        </a:p>
      </xdr:txBody>
    </xdr:sp>
    <xdr:clientData/>
  </xdr:twoCellAnchor>
  <xdr:twoCellAnchor>
    <xdr:from>
      <xdr:col>1</xdr:col>
      <xdr:colOff>246241</xdr:colOff>
      <xdr:row>18</xdr:row>
      <xdr:rowOff>0</xdr:rowOff>
    </xdr:from>
    <xdr:to>
      <xdr:col>2</xdr:col>
      <xdr:colOff>15636</xdr:colOff>
      <xdr:row>18</xdr:row>
      <xdr:rowOff>0</xdr:rowOff>
    </xdr:to>
    <xdr:cxnSp macro="">
      <xdr:nvCxnSpPr>
        <xdr:cNvPr id="7" name="Straight Connector 6">
          <a:extLst>
            <a:ext uri="{FF2B5EF4-FFF2-40B4-BE49-F238E27FC236}">
              <a16:creationId xmlns:a16="http://schemas.microsoft.com/office/drawing/2014/main" id="{0FCACB64-F9EE-1A79-E1AF-A4D1D67DC422}"/>
            </a:ext>
          </a:extLst>
        </xdr:cNvPr>
        <xdr:cNvCxnSpPr/>
      </xdr:nvCxnSpPr>
      <xdr:spPr>
        <a:xfrm>
          <a:off x="370973" y="4161518"/>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651711</xdr:colOff>
      <xdr:row>18</xdr:row>
      <xdr:rowOff>7088</xdr:rowOff>
    </xdr:from>
    <xdr:to>
      <xdr:col>5</xdr:col>
      <xdr:colOff>250659</xdr:colOff>
      <xdr:row>18</xdr:row>
      <xdr:rowOff>7088</xdr:rowOff>
    </xdr:to>
    <xdr:cxnSp macro="">
      <xdr:nvCxnSpPr>
        <xdr:cNvPr id="8" name="Straight Connector 7">
          <a:extLst>
            <a:ext uri="{FF2B5EF4-FFF2-40B4-BE49-F238E27FC236}">
              <a16:creationId xmlns:a16="http://schemas.microsoft.com/office/drawing/2014/main" id="{53BB0F8A-4665-4F3E-8087-10F8337DE279}"/>
            </a:ext>
          </a:extLst>
        </xdr:cNvPr>
        <xdr:cNvCxnSpPr/>
      </xdr:nvCxnSpPr>
      <xdr:spPr>
        <a:xfrm>
          <a:off x="3164340" y="4227648"/>
          <a:ext cx="21608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792079</xdr:colOff>
      <xdr:row>18</xdr:row>
      <xdr:rowOff>691</xdr:rowOff>
    </xdr:from>
    <xdr:to>
      <xdr:col>8</xdr:col>
      <xdr:colOff>391026</xdr:colOff>
      <xdr:row>18</xdr:row>
      <xdr:rowOff>691</xdr:rowOff>
    </xdr:to>
    <xdr:cxnSp macro="">
      <xdr:nvCxnSpPr>
        <xdr:cNvPr id="10" name="Straight Connector 9">
          <a:extLst>
            <a:ext uri="{FF2B5EF4-FFF2-40B4-BE49-F238E27FC236}">
              <a16:creationId xmlns:a16="http://schemas.microsoft.com/office/drawing/2014/main" id="{D59B95B8-F6AD-4B37-9F10-517D4A12DFFB}"/>
            </a:ext>
          </a:extLst>
        </xdr:cNvPr>
        <xdr:cNvCxnSpPr/>
      </xdr:nvCxnSpPr>
      <xdr:spPr>
        <a:xfrm>
          <a:off x="5866605" y="4221251"/>
          <a:ext cx="2160843"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226189</xdr:colOff>
      <xdr:row>31</xdr:row>
      <xdr:rowOff>98949</xdr:rowOff>
    </xdr:from>
    <xdr:to>
      <xdr:col>1</xdr:col>
      <xdr:colOff>2376834</xdr:colOff>
      <xdr:row>31</xdr:row>
      <xdr:rowOff>98949</xdr:rowOff>
    </xdr:to>
    <xdr:cxnSp macro="">
      <xdr:nvCxnSpPr>
        <xdr:cNvPr id="11" name="Straight Connector 10">
          <a:extLst>
            <a:ext uri="{FF2B5EF4-FFF2-40B4-BE49-F238E27FC236}">
              <a16:creationId xmlns:a16="http://schemas.microsoft.com/office/drawing/2014/main" id="{A9F18260-3F00-4C05-9B8D-8C842380A773}"/>
            </a:ext>
          </a:extLst>
        </xdr:cNvPr>
        <xdr:cNvCxnSpPr/>
      </xdr:nvCxnSpPr>
      <xdr:spPr>
        <a:xfrm>
          <a:off x="350921" y="6766449"/>
          <a:ext cx="215064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741947</xdr:colOff>
      <xdr:row>31</xdr:row>
      <xdr:rowOff>90237</xdr:rowOff>
    </xdr:from>
    <xdr:to>
      <xdr:col>5</xdr:col>
      <xdr:colOff>340895</xdr:colOff>
      <xdr:row>31</xdr:row>
      <xdr:rowOff>90237</xdr:rowOff>
    </xdr:to>
    <xdr:cxnSp macro="">
      <xdr:nvCxnSpPr>
        <xdr:cNvPr id="20" name="Straight Connector 19">
          <a:extLst>
            <a:ext uri="{FF2B5EF4-FFF2-40B4-BE49-F238E27FC236}">
              <a16:creationId xmlns:a16="http://schemas.microsoft.com/office/drawing/2014/main" id="{AE979B83-80D3-4BBB-93DB-8CE69A4DDDD8}"/>
            </a:ext>
          </a:extLst>
        </xdr:cNvPr>
        <xdr:cNvCxnSpPr/>
      </xdr:nvCxnSpPr>
      <xdr:spPr>
        <a:xfrm>
          <a:off x="3248526" y="6737684"/>
          <a:ext cx="2155658"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842210</xdr:colOff>
      <xdr:row>31</xdr:row>
      <xdr:rowOff>80211</xdr:rowOff>
    </xdr:from>
    <xdr:to>
      <xdr:col>8</xdr:col>
      <xdr:colOff>441157</xdr:colOff>
      <xdr:row>31</xdr:row>
      <xdr:rowOff>80211</xdr:rowOff>
    </xdr:to>
    <xdr:cxnSp macro="">
      <xdr:nvCxnSpPr>
        <xdr:cNvPr id="21" name="Straight Connector 20">
          <a:extLst>
            <a:ext uri="{FF2B5EF4-FFF2-40B4-BE49-F238E27FC236}">
              <a16:creationId xmlns:a16="http://schemas.microsoft.com/office/drawing/2014/main" id="{A932F033-EB13-48BA-9EE9-1FC9FA88CF6B}"/>
            </a:ext>
          </a:extLst>
        </xdr:cNvPr>
        <xdr:cNvCxnSpPr/>
      </xdr:nvCxnSpPr>
      <xdr:spPr>
        <a:xfrm>
          <a:off x="5905499" y="6727658"/>
          <a:ext cx="2155658"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7844</xdr:colOff>
      <xdr:row>64</xdr:row>
      <xdr:rowOff>0</xdr:rowOff>
    </xdr:from>
    <xdr:to>
      <xdr:col>8</xdr:col>
      <xdr:colOff>179295</xdr:colOff>
      <xdr:row>66</xdr:row>
      <xdr:rowOff>0</xdr:rowOff>
    </xdr:to>
    <xdr:sp macro="" textlink="">
      <xdr:nvSpPr>
        <xdr:cNvPr id="22" name="TextBox 21">
          <a:extLst>
            <a:ext uri="{FF2B5EF4-FFF2-40B4-BE49-F238E27FC236}">
              <a16:creationId xmlns:a16="http://schemas.microsoft.com/office/drawing/2014/main" id="{5FF67A3F-7710-0C08-809F-555B91F093F4}"/>
            </a:ext>
          </a:extLst>
        </xdr:cNvPr>
        <xdr:cNvSpPr txBox="1"/>
      </xdr:nvSpPr>
      <xdr:spPr>
        <a:xfrm>
          <a:off x="131109" y="12961843"/>
          <a:ext cx="7668186" cy="417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EE7525"/>
              </a:solidFill>
            </a:rPr>
            <a:t>DuPont</a:t>
          </a:r>
          <a:r>
            <a:rPr lang="en-IN" sz="1800" b="1" baseline="0">
              <a:solidFill>
                <a:srgbClr val="EE7525"/>
              </a:solidFill>
            </a:rPr>
            <a:t> Analysis - Return on Equity &amp; Return on Asset</a:t>
          </a:r>
          <a:endParaRPr lang="en-IN" sz="1800" b="1">
            <a:solidFill>
              <a:srgbClr val="EE7525"/>
            </a:solidFill>
          </a:endParaRPr>
        </a:p>
      </xdr:txBody>
    </xdr:sp>
    <xdr:clientData/>
  </xdr:twoCellAnchor>
  <xdr:twoCellAnchor>
    <xdr:from>
      <xdr:col>0</xdr:col>
      <xdr:colOff>21647</xdr:colOff>
      <xdr:row>109</xdr:row>
      <xdr:rowOff>14449</xdr:rowOff>
    </xdr:from>
    <xdr:to>
      <xdr:col>9</xdr:col>
      <xdr:colOff>86590</xdr:colOff>
      <xdr:row>125</xdr:row>
      <xdr:rowOff>95251</xdr:rowOff>
    </xdr:to>
    <xdr:sp macro="" textlink="">
      <xdr:nvSpPr>
        <xdr:cNvPr id="23" name="TextBox 22">
          <a:extLst>
            <a:ext uri="{FF2B5EF4-FFF2-40B4-BE49-F238E27FC236}">
              <a16:creationId xmlns:a16="http://schemas.microsoft.com/office/drawing/2014/main" id="{BE75592C-8070-4AD8-BA00-A6D3793E1F4B}"/>
            </a:ext>
          </a:extLst>
        </xdr:cNvPr>
        <xdr:cNvSpPr txBox="1"/>
      </xdr:nvSpPr>
      <xdr:spPr>
        <a:xfrm>
          <a:off x="21647" y="21617149"/>
          <a:ext cx="8580293" cy="3128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Wingdings" panose="05000000000000000000" pitchFamily="2" charset="2"/>
            <a:buNone/>
          </a:pPr>
          <a:r>
            <a:rPr lang="en-IN" sz="1600" b="1">
              <a:solidFill>
                <a:srgbClr val="EE7525"/>
              </a:solidFill>
              <a:latin typeface="+mn-lt"/>
            </a:rPr>
            <a:t>Dupont</a:t>
          </a:r>
          <a:r>
            <a:rPr lang="en-IN" sz="1600" b="1" baseline="0">
              <a:solidFill>
                <a:srgbClr val="EE7525"/>
              </a:solidFill>
              <a:latin typeface="+mn-lt"/>
            </a:rPr>
            <a:t> Summary</a:t>
          </a:r>
          <a:r>
            <a:rPr lang="en-IN" sz="1600" b="1">
              <a:solidFill>
                <a:srgbClr val="EE7525"/>
              </a:solidFill>
              <a:latin typeface="+mn-lt"/>
            </a:rPr>
            <a:t>:</a:t>
          </a:r>
          <a:endParaRPr lang="en-IN" sz="1200" baseline="0">
            <a:latin typeface="+mn-lt"/>
          </a:endParaRPr>
        </a:p>
        <a:p>
          <a:pPr marL="171450" indent="-171450">
            <a:buFont typeface="Wingdings" panose="05000000000000000000" pitchFamily="2" charset="2"/>
            <a:buChar char="§"/>
          </a:pPr>
          <a:r>
            <a:rPr lang="en-IN" sz="1200" baseline="0">
              <a:latin typeface="+mn-lt"/>
            </a:rPr>
            <a:t>Net Profit Margin Remained Healthy throughtout the period, ranging from 10.41% to 15.38%. FY24 recorded the highest of 15.38%, reflecting strong pricing power and efficiency. In FY25, margin declined to 10.82%, indicating pressure from weaker demand, pricing normilization, or higher input cost.</a:t>
          </a:r>
        </a:p>
        <a:p>
          <a:pPr marL="171450" indent="-171450">
            <a:buFont typeface="Wingdings" panose="05000000000000000000" pitchFamily="2" charset="2"/>
            <a:buChar char="§"/>
          </a:pPr>
          <a:r>
            <a:rPr lang="en-IN" sz="1200" baseline="0">
              <a:latin typeface="+mn-lt"/>
            </a:rPr>
            <a:t>Asset Turnover remained stable Between 1.2x and 1.4x suggesting that company consistently utilized its asset base efficiently to generate Revenue while FY25 saw a slight decline to 1.1x, indicationg lower efficiency in asset utilization.</a:t>
          </a:r>
        </a:p>
        <a:p>
          <a:pPr marL="171450" indent="-171450">
            <a:buFont typeface="Wingdings" panose="05000000000000000000" pitchFamily="2" charset="2"/>
            <a:buChar char="§"/>
          </a:pPr>
          <a:r>
            <a:rPr lang="en-IN" sz="1200" baseline="0">
              <a:latin typeface="+mn-lt"/>
            </a:rPr>
            <a:t>Financial Leverage remained stable at approximately 1.6x - 1.7x across the period indicationg that company has not relied heavily on debt to enhance Shareholder returns.</a:t>
          </a:r>
        </a:p>
        <a:p>
          <a:pPr marL="171450" indent="-171450">
            <a:buFont typeface="Wingdings" panose="05000000000000000000" pitchFamily="2" charset="2"/>
            <a:buChar char="§"/>
          </a:pPr>
          <a:r>
            <a:rPr lang="en-IN" sz="1200" baseline="0">
              <a:latin typeface="+mn-lt"/>
            </a:rPr>
            <a:t> ROA remained strong between 13.99% and 19.61%, peaking in FY24 before declining to 12.17% in FY25.This indicates that the company's operational efficiency remained robust for most of the period but weakened in FY25 due to lower profitability generated from its asset base.</a:t>
          </a:r>
        </a:p>
        <a:p>
          <a:pPr marL="0" indent="0">
            <a:buFontTx/>
            <a:buNone/>
          </a:pPr>
          <a:endParaRPr lang="en-IN" sz="1200" baseline="0">
            <a:latin typeface="+mn-lt"/>
          </a:endParaRPr>
        </a:p>
        <a:p>
          <a:pPr marL="0" indent="0">
            <a:buFontTx/>
            <a:buNone/>
          </a:pPr>
          <a:r>
            <a:rPr lang="en-IN" sz="1200" baseline="0">
              <a:latin typeface="+mn-lt"/>
            </a:rPr>
            <a:t>Overall, the Dpont analysis indicates that Asian Paints' shareholder returns are primarily driven by strong operating performance rather than financial leverage.The company maintains healthy profitability, efficient asser utilization , and a onservative capital structure, reflecting a high-quality business with disciplined financial management.</a:t>
          </a:r>
          <a:endParaRPr lang="en-IN" sz="1200">
            <a:latin typeface="+mn-lt"/>
          </a:endParaRPr>
        </a:p>
      </xdr:txBody>
    </xdr:sp>
    <xdr:clientData/>
  </xdr:twoCellAnchor>
  <xdr:twoCellAnchor>
    <xdr:from>
      <xdr:col>0</xdr:col>
      <xdr:colOff>100013</xdr:colOff>
      <xdr:row>126</xdr:row>
      <xdr:rowOff>0</xdr:rowOff>
    </xdr:from>
    <xdr:to>
      <xdr:col>8</xdr:col>
      <xdr:colOff>295964</xdr:colOff>
      <xdr:row>128</xdr:row>
      <xdr:rowOff>35719</xdr:rowOff>
    </xdr:to>
    <xdr:sp macro="" textlink="">
      <xdr:nvSpPr>
        <xdr:cNvPr id="24" name="TextBox 23">
          <a:extLst>
            <a:ext uri="{FF2B5EF4-FFF2-40B4-BE49-F238E27FC236}">
              <a16:creationId xmlns:a16="http://schemas.microsoft.com/office/drawing/2014/main" id="{55AC4EC7-617F-46A9-8F8D-7198F785683E}"/>
            </a:ext>
          </a:extLst>
        </xdr:cNvPr>
        <xdr:cNvSpPr txBox="1"/>
      </xdr:nvSpPr>
      <xdr:spPr>
        <a:xfrm>
          <a:off x="100013" y="25103137"/>
          <a:ext cx="7768326" cy="471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900" b="1">
              <a:solidFill>
                <a:srgbClr val="EE7525"/>
              </a:solidFill>
            </a:rPr>
            <a:t>Disclaimer: </a:t>
          </a:r>
          <a:r>
            <a:rPr lang="en-IN" sz="900"/>
            <a:t>This report is made as part of educational assignment and is meant for educational purpose only.The author of the report is not liable</a:t>
          </a:r>
          <a:r>
            <a:rPr lang="en-IN" sz="900" baseline="0"/>
            <a:t> for any losses due to actions taken basis this report. It is advisiable to consult SEBI registered researh analyst before making any investments.</a:t>
          </a:r>
          <a:endParaRPr lang="en-IN" sz="9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005F2-0584-4EEC-B339-A8CF1A4E7470}">
  <sheetPr>
    <tabColor rgb="FF002060"/>
  </sheetPr>
  <dimension ref="A1"/>
  <sheetViews>
    <sheetView topLeftCell="J1" workbookViewId="0">
      <selection activeCell="E13" sqref="E13"/>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6E45-0ED7-46FC-B495-FA76E0E81502}">
  <sheetPr>
    <tabColor rgb="FF002060"/>
  </sheetPr>
  <dimension ref="A1"/>
  <sheetViews>
    <sheetView workbookViewId="0">
      <selection activeCell="K19" sqref="K19"/>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082A-4857-4A9A-8A1F-8E02CB538C0F}">
  <dimension ref="L4:R10"/>
  <sheetViews>
    <sheetView showGridLines="0" topLeftCell="F1" workbookViewId="0">
      <selection activeCell="P9" sqref="P9"/>
    </sheetView>
  </sheetViews>
  <sheetFormatPr defaultRowHeight="15"/>
  <cols>
    <col min="1" max="1" width="1.85546875" customWidth="1"/>
    <col min="12" max="12" width="12.7109375" customWidth="1"/>
    <col min="13" max="13" width="12.5703125" customWidth="1"/>
    <col min="14" max="17" width="10.7109375" customWidth="1"/>
  </cols>
  <sheetData>
    <row r="4" spans="12:18">
      <c r="L4" s="44" t="s">
        <v>308</v>
      </c>
      <c r="M4" s="44"/>
      <c r="N4" s="1"/>
      <c r="O4" s="1"/>
      <c r="P4" s="1"/>
      <c r="Q4" s="1"/>
      <c r="R4" s="1"/>
    </row>
    <row r="5" spans="12:18">
      <c r="N5" s="168" t="s">
        <v>266</v>
      </c>
      <c r="O5" s="168" t="s">
        <v>268</v>
      </c>
      <c r="P5" s="168" t="s">
        <v>267</v>
      </c>
      <c r="Q5" s="168" t="s">
        <v>269</v>
      </c>
    </row>
    <row r="6" spans="12:18">
      <c r="L6" t="s">
        <v>314</v>
      </c>
      <c r="N6" s="9">
        <v>1393.8</v>
      </c>
      <c r="O6" s="9">
        <f>N6</f>
        <v>1393.8</v>
      </c>
      <c r="P6" s="9">
        <v>1797.1</v>
      </c>
      <c r="Q6" s="9">
        <f>P6</f>
        <v>1797.1</v>
      </c>
    </row>
    <row r="7" spans="12:18">
      <c r="L7" t="s">
        <v>263</v>
      </c>
      <c r="N7" s="9">
        <f>'DCF&gt;'!J17</f>
        <v>468.20006013707615</v>
      </c>
      <c r="O7" s="9">
        <f>N7</f>
        <v>468.20006013707615</v>
      </c>
      <c r="P7" s="9">
        <f>'DCF&gt;'!J22</f>
        <v>665.91159731307516</v>
      </c>
      <c r="Q7" s="9">
        <f>P7</f>
        <v>665.91159731307516</v>
      </c>
    </row>
    <row r="8" spans="12:18">
      <c r="L8" t="s">
        <v>265</v>
      </c>
      <c r="N8" s="9">
        <f>'DCF&gt;'!H17</f>
        <v>514.97546766813673</v>
      </c>
      <c r="O8" s="9">
        <f>N8</f>
        <v>514.97546766813673</v>
      </c>
      <c r="P8" s="9">
        <f>'DCF&gt;'!H22</f>
        <v>791.08836579752801</v>
      </c>
      <c r="Q8" s="9">
        <f>P8</f>
        <v>791.08836579752801</v>
      </c>
    </row>
    <row r="9" spans="12:18">
      <c r="L9" t="s">
        <v>264</v>
      </c>
      <c r="N9" s="9">
        <f>'DCF&gt;'!G17</f>
        <v>545.08788014996458</v>
      </c>
      <c r="O9" s="9">
        <f>N9</f>
        <v>545.08788014996458</v>
      </c>
      <c r="P9" s="9">
        <v>883.4</v>
      </c>
      <c r="Q9" s="9">
        <f>P9</f>
        <v>883.4</v>
      </c>
    </row>
    <row r="10" spans="12:18">
      <c r="L10" t="s">
        <v>312</v>
      </c>
      <c r="N10" s="9">
        <v>2115</v>
      </c>
      <c r="O10" s="9">
        <f>N10</f>
        <v>2115</v>
      </c>
      <c r="P10" s="9">
        <v>2985.7</v>
      </c>
      <c r="Q10" s="9">
        <f>P10</f>
        <v>2985.7</v>
      </c>
    </row>
  </sheetData>
  <pageMargins left="0.7" right="0.7" top="0.75" bottom="0.75" header="0.3" footer="0.3"/>
  <ignoredErrors>
    <ignoredError sqref="P7:P8"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64157-E039-4800-A69F-5507B7EA57BC}">
  <dimension ref="B1:N5003"/>
  <sheetViews>
    <sheetView showGridLines="0" zoomScale="88" zoomScaleNormal="88" workbookViewId="0">
      <selection activeCell="M13" sqref="M13"/>
    </sheetView>
  </sheetViews>
  <sheetFormatPr defaultRowHeight="15"/>
  <cols>
    <col min="1" max="1" width="1.85546875" customWidth="1"/>
    <col min="2" max="2" width="12.7109375" customWidth="1"/>
    <col min="3" max="3" width="12.42578125" customWidth="1"/>
    <col min="4" max="4" width="12.7109375" customWidth="1"/>
    <col min="5" max="5" width="17.7109375" bestFit="1" customWidth="1"/>
    <col min="6" max="6" width="0.85546875" customWidth="1"/>
    <col min="7" max="7" width="11" bestFit="1" customWidth="1"/>
    <col min="8" max="8" width="17.5703125" bestFit="1" customWidth="1"/>
    <col min="9" max="9" width="0.85546875" customWidth="1"/>
    <col min="10" max="10" width="12.28515625" customWidth="1"/>
    <col min="11" max="11" width="11.140625" bestFit="1" customWidth="1"/>
    <col min="12" max="12" width="10.42578125" customWidth="1"/>
    <col min="13" max="13" width="13.28515625" customWidth="1"/>
    <col min="14" max="14" width="11.28515625" customWidth="1"/>
  </cols>
  <sheetData>
    <row r="1" spans="2:14">
      <c r="B1" s="44" t="s">
        <v>333</v>
      </c>
    </row>
    <row r="3" spans="2:14">
      <c r="B3" s="44" t="s">
        <v>40</v>
      </c>
      <c r="C3" s="184" t="s">
        <v>315</v>
      </c>
      <c r="D3" s="184" t="s">
        <v>316</v>
      </c>
      <c r="E3" s="184" t="s">
        <v>317</v>
      </c>
      <c r="F3" s="184"/>
      <c r="G3" s="184" t="s">
        <v>329</v>
      </c>
      <c r="H3" s="184" t="s">
        <v>330</v>
      </c>
      <c r="I3" s="44"/>
      <c r="J3" s="44" t="s">
        <v>318</v>
      </c>
      <c r="K3" s="44"/>
      <c r="L3" s="44"/>
      <c r="M3" s="44"/>
      <c r="N3" s="44"/>
    </row>
    <row r="4" spans="2:14" ht="15.75" thickBot="1">
      <c r="B4" s="36">
        <v>43910</v>
      </c>
      <c r="C4" s="185">
        <v>1741.2</v>
      </c>
      <c r="D4" s="185">
        <f t="shared" ref="D4:D67" si="0">(C4-C5)/C5</f>
        <v>-0.37399557784608739</v>
      </c>
      <c r="E4" s="185">
        <v>9.4096578591850194E-2</v>
      </c>
      <c r="F4" s="171"/>
      <c r="G4" s="171">
        <v>1</v>
      </c>
      <c r="H4" s="186">
        <f ca="1">_xlfn.NORM.INV(RAND(),N$6,N$7)</f>
        <v>-1.5343303077448911E-2</v>
      </c>
      <c r="J4" s="58"/>
      <c r="K4" s="58"/>
      <c r="L4" s="58"/>
      <c r="M4" s="58"/>
      <c r="N4" s="58"/>
    </row>
    <row r="5" spans="2:14" ht="15.75" thickBot="1">
      <c r="B5" s="36">
        <v>44330</v>
      </c>
      <c r="C5" s="185">
        <v>2781.45</v>
      </c>
      <c r="D5" s="185">
        <f t="shared" si="0"/>
        <v>0.65779592323280478</v>
      </c>
      <c r="E5" s="185">
        <v>8.6503906249999929E-2</v>
      </c>
      <c r="F5" s="171"/>
      <c r="G5" s="171">
        <v>2</v>
      </c>
      <c r="H5" s="186">
        <f t="shared" ref="H5:H68" ca="1" si="1">_xlfn.NORM.INV(RAND(),N$6,N$7)</f>
        <v>7.5337319224707345E-3</v>
      </c>
      <c r="J5" s="180" t="s">
        <v>331</v>
      </c>
      <c r="K5" s="181"/>
      <c r="L5" s="181"/>
      <c r="M5" s="181"/>
      <c r="N5" s="181"/>
    </row>
    <row r="6" spans="2:14">
      <c r="B6" s="36">
        <v>43728</v>
      </c>
      <c r="C6" s="185">
        <v>1677.8</v>
      </c>
      <c r="D6" s="185">
        <f t="shared" si="0"/>
        <v>2.4204132710679647E-2</v>
      </c>
      <c r="E6" s="185">
        <v>8.0221478238475349E-2</v>
      </c>
      <c r="F6" s="171"/>
      <c r="G6" s="171">
        <v>3</v>
      </c>
      <c r="H6" s="186">
        <f t="shared" ca="1" si="1"/>
        <v>-6.4417568356713835E-3</v>
      </c>
      <c r="J6" s="190" t="s">
        <v>319</v>
      </c>
      <c r="K6" s="187"/>
      <c r="L6" s="188"/>
      <c r="M6" s="187"/>
      <c r="N6" s="178">
        <f>AVERAGE(E4:E2746)</f>
        <v>5.845840429739075E-4</v>
      </c>
    </row>
    <row r="7" spans="2:14">
      <c r="B7" s="36">
        <v>43928</v>
      </c>
      <c r="C7" s="185">
        <v>1638.15</v>
      </c>
      <c r="D7" s="185">
        <f t="shared" si="0"/>
        <v>-8.9208273101300917E-2</v>
      </c>
      <c r="E7" s="185">
        <v>7.5501427961789713E-2</v>
      </c>
      <c r="F7" s="171"/>
      <c r="G7" s="171">
        <v>4</v>
      </c>
      <c r="H7" s="186">
        <f t="shared" ca="1" si="1"/>
        <v>-2.0652812858988905E-4</v>
      </c>
      <c r="J7" s="191" t="s">
        <v>320</v>
      </c>
      <c r="K7" s="114"/>
      <c r="L7" s="172"/>
      <c r="M7" s="114"/>
      <c r="N7" s="173">
        <f>_xlfn.STDEV.S(E4:E2746)</f>
        <v>1.5235185547766013E-2</v>
      </c>
    </row>
    <row r="8" spans="2:14">
      <c r="B8" s="36">
        <v>43731</v>
      </c>
      <c r="C8" s="185">
        <v>1798.6</v>
      </c>
      <c r="D8" s="185">
        <f t="shared" si="0"/>
        <v>0.39534522885958101</v>
      </c>
      <c r="E8" s="185">
        <v>7.1999046370246733E-2</v>
      </c>
      <c r="F8" s="171"/>
      <c r="G8" s="171">
        <v>5</v>
      </c>
      <c r="H8" s="186">
        <f t="shared" ca="1" si="1"/>
        <v>4.143604211924984E-3</v>
      </c>
      <c r="J8" s="191" t="s">
        <v>321</v>
      </c>
      <c r="K8" s="114"/>
      <c r="L8" s="172"/>
      <c r="M8" s="114"/>
      <c r="N8" s="173">
        <f>MIN(E4:E2746)</f>
        <v>-0.14323455088444756</v>
      </c>
    </row>
    <row r="9" spans="2:14">
      <c r="B9" s="36">
        <v>43231</v>
      </c>
      <c r="C9" s="185">
        <v>1289</v>
      </c>
      <c r="D9" s="185">
        <f t="shared" si="0"/>
        <v>-0.31010490259045176</v>
      </c>
      <c r="E9" s="185">
        <v>6.2391823951207494E-2</v>
      </c>
      <c r="F9" s="171"/>
      <c r="G9" s="171">
        <v>6</v>
      </c>
      <c r="H9" s="186">
        <f t="shared" ca="1" si="1"/>
        <v>1.4883259414913396E-2</v>
      </c>
      <c r="J9" s="191" t="s">
        <v>322</v>
      </c>
      <c r="K9" s="114"/>
      <c r="L9" s="172"/>
      <c r="M9" s="114"/>
      <c r="N9" s="173">
        <f>MAX(E4:E2746)</f>
        <v>9.4096578591850194E-2</v>
      </c>
    </row>
    <row r="10" spans="2:14">
      <c r="B10" s="36">
        <v>43864</v>
      </c>
      <c r="C10" s="185">
        <v>1868.4</v>
      </c>
      <c r="D10" s="185">
        <f t="shared" si="0"/>
        <v>-0.41030172957959854</v>
      </c>
      <c r="E10" s="185">
        <v>6.0686914561453358E-2</v>
      </c>
      <c r="F10" s="171"/>
      <c r="G10" s="171">
        <v>7</v>
      </c>
      <c r="H10" s="186">
        <f t="shared" ca="1" si="1"/>
        <v>-9.892114415313822E-3</v>
      </c>
      <c r="J10" s="191" t="s">
        <v>325</v>
      </c>
      <c r="K10" s="114"/>
      <c r="L10" s="172"/>
      <c r="M10" s="114"/>
      <c r="N10" s="114">
        <f>'Data Sheet'!B8</f>
        <v>2605.6</v>
      </c>
    </row>
    <row r="11" spans="2:14" ht="15.75" thickBot="1">
      <c r="B11" s="36">
        <v>44397</v>
      </c>
      <c r="C11" s="185">
        <v>3168.4</v>
      </c>
      <c r="D11" s="185">
        <f t="shared" si="0"/>
        <v>1.8116070636258761</v>
      </c>
      <c r="E11" s="185">
        <v>6.0481306690765568E-2</v>
      </c>
      <c r="F11" s="171"/>
      <c r="G11" s="171">
        <v>8</v>
      </c>
      <c r="H11" s="186">
        <f t="shared" ca="1" si="1"/>
        <v>-2.1209391454823399E-2</v>
      </c>
      <c r="J11" s="37"/>
      <c r="L11" s="189"/>
    </row>
    <row r="12" spans="2:14" ht="15.75" thickBot="1">
      <c r="B12" s="36">
        <v>42579</v>
      </c>
      <c r="C12" s="185">
        <v>1126.9000000000001</v>
      </c>
      <c r="D12" s="185">
        <f t="shared" si="0"/>
        <v>-0.60840934758057508</v>
      </c>
      <c r="E12" s="185">
        <v>5.9315660838503606E-2</v>
      </c>
      <c r="F12" s="171"/>
      <c r="G12" s="171">
        <v>9</v>
      </c>
      <c r="H12" s="186">
        <f t="shared" ca="1" si="1"/>
        <v>-5.1644970448658243E-3</v>
      </c>
      <c r="J12" s="180" t="s">
        <v>323</v>
      </c>
      <c r="K12" s="192" t="s">
        <v>328</v>
      </c>
      <c r="L12" s="182" t="s">
        <v>324</v>
      </c>
      <c r="M12" s="183" t="s">
        <v>326</v>
      </c>
      <c r="N12" s="182" t="s">
        <v>327</v>
      </c>
    </row>
    <row r="13" spans="2:14">
      <c r="B13" s="36">
        <v>44629</v>
      </c>
      <c r="C13" s="185">
        <v>2877.75</v>
      </c>
      <c r="D13" s="185">
        <f t="shared" si="0"/>
        <v>0.31320160627909094</v>
      </c>
      <c r="E13" s="185">
        <v>5.3850661002673376E-2</v>
      </c>
      <c r="F13" s="171"/>
      <c r="G13" s="171">
        <v>10</v>
      </c>
      <c r="H13" s="186">
        <f t="shared" ca="1" si="1"/>
        <v>-3.7913591789881344E-3</v>
      </c>
      <c r="J13" s="176">
        <v>0.05</v>
      </c>
      <c r="K13" s="177">
        <f>100%-J13</f>
        <v>0.95</v>
      </c>
      <c r="L13" s="178">
        <f>_xlfn.PERCENTILE.INC($E$4:$E$2746,J13)</f>
        <v>-2.2436072699230571E-2</v>
      </c>
      <c r="M13" s="179">
        <f>$N$10*(1-L13)</f>
        <v>2664.0594310251149</v>
      </c>
      <c r="N13" s="179">
        <f>$N$10-M13</f>
        <v>-58.459431025115009</v>
      </c>
    </row>
    <row r="14" spans="2:14">
      <c r="B14" s="36">
        <v>44131</v>
      </c>
      <c r="C14" s="185">
        <v>2191.4</v>
      </c>
      <c r="D14" s="185">
        <f t="shared" si="0"/>
        <v>1.6554377461375342</v>
      </c>
      <c r="E14" s="185">
        <v>5.3000816875690832E-2</v>
      </c>
      <c r="F14" s="171"/>
      <c r="G14" s="171">
        <v>11</v>
      </c>
      <c r="H14" s="186">
        <f t="shared" ca="1" si="1"/>
        <v>2.7877019453058762E-3</v>
      </c>
      <c r="J14" s="174">
        <v>0.01</v>
      </c>
      <c r="K14" s="116">
        <f t="shared" ref="K14:K15" si="2">100%-J14</f>
        <v>0.99</v>
      </c>
      <c r="L14" s="173">
        <f>_xlfn.PERCENTILE.INC($E$4:$E$2746,J14)</f>
        <v>-4.0442255031478642E-2</v>
      </c>
      <c r="M14" s="175">
        <f>$N$10*(1-L14)</f>
        <v>2710.976339710021</v>
      </c>
      <c r="N14" s="175">
        <f>$N$10-M14</f>
        <v>-105.37633971002106</v>
      </c>
    </row>
    <row r="15" spans="2:14">
      <c r="B15" s="36">
        <v>42192</v>
      </c>
      <c r="C15" s="185">
        <v>825.25</v>
      </c>
      <c r="D15" s="185">
        <f t="shared" si="0"/>
        <v>-0.67248734993550952</v>
      </c>
      <c r="E15" s="185">
        <v>5.0872278110276385E-2</v>
      </c>
      <c r="F15" s="171"/>
      <c r="G15" s="171">
        <v>12</v>
      </c>
      <c r="H15" s="186">
        <f t="shared" ca="1" si="1"/>
        <v>-9.7790102227030464E-3</v>
      </c>
      <c r="J15" s="174">
        <v>5.0000000000000001E-3</v>
      </c>
      <c r="K15" s="116">
        <f t="shared" si="2"/>
        <v>0.995</v>
      </c>
      <c r="L15" s="173">
        <f>_xlfn.PERCENTILE.INC($E$4:$E$2746,J15)</f>
        <v>-4.7449988733935314E-2</v>
      </c>
      <c r="M15" s="175">
        <f>$N$10*(1-L15)</f>
        <v>2729.2356906451414</v>
      </c>
      <c r="N15" s="175">
        <f>$N$10-M15</f>
        <v>-123.63569064514149</v>
      </c>
    </row>
    <row r="16" spans="2:14" ht="15.75" thickBot="1">
      <c r="B16" s="36">
        <v>44281</v>
      </c>
      <c r="C16" s="185">
        <v>2519.75</v>
      </c>
      <c r="D16" s="185">
        <f t="shared" si="0"/>
        <v>0.60708591109126853</v>
      </c>
      <c r="E16" s="185">
        <v>4.8934310215635747E-2</v>
      </c>
      <c r="F16" s="171"/>
      <c r="G16" s="171">
        <v>13</v>
      </c>
      <c r="H16" s="186">
        <f t="shared" ca="1" si="1"/>
        <v>-3.7883056517022283E-4</v>
      </c>
    </row>
    <row r="17" spans="2:14" ht="15.75" thickBot="1">
      <c r="B17" s="36">
        <v>43972</v>
      </c>
      <c r="C17" s="185">
        <v>1567.9</v>
      </c>
      <c r="D17" s="185">
        <f t="shared" si="0"/>
        <v>-0.13330200934191971</v>
      </c>
      <c r="E17" s="185">
        <v>4.8096527290350639E-2</v>
      </c>
      <c r="F17" s="171"/>
      <c r="G17" s="171">
        <v>14</v>
      </c>
      <c r="H17" s="186">
        <f t="shared" ca="1" si="1"/>
        <v>2.1599907548804989E-2</v>
      </c>
      <c r="J17" s="180" t="s">
        <v>332</v>
      </c>
      <c r="K17" s="181"/>
      <c r="L17" s="181"/>
      <c r="M17" s="181"/>
      <c r="N17" s="181"/>
    </row>
    <row r="18" spans="2:14">
      <c r="B18" s="36">
        <v>43943</v>
      </c>
      <c r="C18" s="185">
        <v>1809.05</v>
      </c>
      <c r="D18" s="185">
        <f t="shared" si="0"/>
        <v>0.48197755386253782</v>
      </c>
      <c r="E18" s="185">
        <v>4.8056311917038443E-2</v>
      </c>
      <c r="F18" s="171"/>
      <c r="G18" s="171">
        <v>15</v>
      </c>
      <c r="H18" s="186">
        <f t="shared" ca="1" si="1"/>
        <v>1.147272806506533E-3</v>
      </c>
      <c r="J18" s="190" t="s">
        <v>319</v>
      </c>
      <c r="K18" s="187"/>
      <c r="L18" s="188"/>
      <c r="M18" s="187"/>
      <c r="N18" s="178">
        <f ca="1">AVERAGE(H4:H5003)</f>
        <v>5.4713941889529354E-4</v>
      </c>
    </row>
    <row r="19" spans="2:14">
      <c r="B19" s="36">
        <v>42979</v>
      </c>
      <c r="C19" s="185">
        <v>1220.7</v>
      </c>
      <c r="D19" s="185">
        <f t="shared" si="0"/>
        <v>0.30479397146063825</v>
      </c>
      <c r="E19" s="185">
        <v>4.7002315807530622E-2</v>
      </c>
      <c r="F19" s="171"/>
      <c r="G19" s="171">
        <v>16</v>
      </c>
      <c r="H19" s="186">
        <f t="shared" ca="1" si="1"/>
        <v>8.5524518535578745E-3</v>
      </c>
      <c r="J19" s="191" t="s">
        <v>320</v>
      </c>
      <c r="K19" s="114"/>
      <c r="L19" s="172"/>
      <c r="M19" s="114"/>
      <c r="N19" s="173">
        <f ca="1">_xlfn.STDEV.S(H4:H5003)</f>
        <v>1.5056563518204974E-2</v>
      </c>
    </row>
    <row r="20" spans="2:14">
      <c r="B20" s="36">
        <v>42690</v>
      </c>
      <c r="C20" s="185">
        <v>935.55</v>
      </c>
      <c r="D20" s="185">
        <f t="shared" si="0"/>
        <v>-0.48263562461980869</v>
      </c>
      <c r="E20" s="185">
        <v>4.6593578700078284E-2</v>
      </c>
      <c r="F20" s="171"/>
      <c r="G20" s="171">
        <v>17</v>
      </c>
      <c r="H20" s="186">
        <f t="shared" ca="1" si="1"/>
        <v>-1.5238202852654009E-2</v>
      </c>
      <c r="J20" s="191" t="s">
        <v>321</v>
      </c>
      <c r="K20" s="114"/>
      <c r="L20" s="172"/>
      <c r="M20" s="114"/>
      <c r="N20" s="173">
        <f ca="1">MIN(H4:H5003)</f>
        <v>-4.8836929447659154E-2</v>
      </c>
    </row>
    <row r="21" spans="2:14">
      <c r="B21" s="36">
        <v>44050</v>
      </c>
      <c r="C21" s="185">
        <v>1808.3</v>
      </c>
      <c r="D21" s="185">
        <f t="shared" si="0"/>
        <v>-0.18383282180899077</v>
      </c>
      <c r="E21" s="185">
        <v>4.5199699439338797E-2</v>
      </c>
      <c r="F21" s="171"/>
      <c r="G21" s="171">
        <v>18</v>
      </c>
      <c r="H21" s="186">
        <f t="shared" ca="1" si="1"/>
        <v>2.7088427962174699E-3</v>
      </c>
      <c r="J21" s="191" t="s">
        <v>322</v>
      </c>
      <c r="K21" s="114"/>
      <c r="L21" s="172"/>
      <c r="M21" s="114"/>
      <c r="N21" s="173">
        <f ca="1">MAX(H4:H5003)</f>
        <v>5.0133349837267624E-2</v>
      </c>
    </row>
    <row r="22" spans="2:14">
      <c r="B22" s="36">
        <v>46105</v>
      </c>
      <c r="C22" s="185">
        <v>2215.6</v>
      </c>
      <c r="D22" s="185">
        <f t="shared" si="0"/>
        <v>0.1311295469049138</v>
      </c>
      <c r="E22" s="185">
        <v>4.5094339622641463E-2</v>
      </c>
      <c r="F22" s="171"/>
      <c r="G22" s="171">
        <v>19</v>
      </c>
      <c r="H22" s="186">
        <f t="shared" ca="1" si="1"/>
        <v>6.0332724585194595E-3</v>
      </c>
      <c r="J22" s="191" t="s">
        <v>325</v>
      </c>
      <c r="K22" s="114"/>
      <c r="L22" s="172"/>
      <c r="M22" s="114"/>
      <c r="N22" s="114">
        <f>N10</f>
        <v>2605.6</v>
      </c>
    </row>
    <row r="23" spans="2:14" ht="15.75" thickBot="1">
      <c r="B23" s="36">
        <v>44064</v>
      </c>
      <c r="C23" s="185">
        <v>1958.75</v>
      </c>
      <c r="D23" s="185">
        <f t="shared" si="0"/>
        <v>-0.32285274748068382</v>
      </c>
      <c r="E23" s="185">
        <v>4.4805974129883984E-2</v>
      </c>
      <c r="F23" s="171"/>
      <c r="G23" s="171">
        <v>20</v>
      </c>
      <c r="H23" s="186">
        <f t="shared" ca="1" si="1"/>
        <v>5.6684664161203088E-3</v>
      </c>
    </row>
    <row r="24" spans="2:14" ht="15.75" thickBot="1">
      <c r="B24" s="36">
        <v>45425</v>
      </c>
      <c r="C24" s="185">
        <v>2892.65</v>
      </c>
      <c r="D24" s="185">
        <f t="shared" si="0"/>
        <v>0.17009485670367896</v>
      </c>
      <c r="E24" s="185">
        <v>4.4711703414775157E-2</v>
      </c>
      <c r="F24" s="171"/>
      <c r="G24" s="171">
        <v>21</v>
      </c>
      <c r="H24" s="186">
        <f t="shared" ca="1" si="1"/>
        <v>-3.6661075418051033E-2</v>
      </c>
      <c r="J24" s="180" t="s">
        <v>323</v>
      </c>
      <c r="K24" s="192" t="s">
        <v>328</v>
      </c>
      <c r="L24" s="182" t="s">
        <v>324</v>
      </c>
      <c r="M24" s="183" t="s">
        <v>326</v>
      </c>
      <c r="N24" s="182" t="s">
        <v>327</v>
      </c>
    </row>
    <row r="25" spans="2:14">
      <c r="B25" s="36">
        <v>44271</v>
      </c>
      <c r="C25" s="185">
        <v>2472.15</v>
      </c>
      <c r="D25" s="185">
        <f t="shared" si="0"/>
        <v>8.8094190140845116E-2</v>
      </c>
      <c r="E25" s="185">
        <v>4.4688133874239352E-2</v>
      </c>
      <c r="F25" s="171"/>
      <c r="G25" s="171">
        <v>22</v>
      </c>
      <c r="H25" s="186">
        <f t="shared" ca="1" si="1"/>
        <v>9.729192014867118E-5</v>
      </c>
      <c r="J25" s="176">
        <v>0.05</v>
      </c>
      <c r="K25" s="177">
        <f>100%-J25</f>
        <v>0.95</v>
      </c>
      <c r="L25" s="178">
        <f ca="1">_xlfn.PERCENTILE.INC($H$4:$H$5003,J25)</f>
        <v>-2.3964871486554611E-2</v>
      </c>
      <c r="M25" s="179">
        <f ca="1">$N$10*(1-L25)</f>
        <v>2668.0428691453667</v>
      </c>
      <c r="N25" s="179">
        <f ca="1">$N$10-M25</f>
        <v>-62.442869145366785</v>
      </c>
    </row>
    <row r="26" spans="2:14">
      <c r="B26" s="36">
        <v>45722</v>
      </c>
      <c r="C26" s="185">
        <v>2272</v>
      </c>
      <c r="D26" s="185">
        <f t="shared" si="0"/>
        <v>-9.2015175962670229E-3</v>
      </c>
      <c r="E26" s="185">
        <v>4.3709947860440586E-2</v>
      </c>
      <c r="F26" s="171"/>
      <c r="G26" s="171">
        <v>23</v>
      </c>
      <c r="H26" s="186">
        <f t="shared" ca="1" si="1"/>
        <v>-8.8576140265213491E-3</v>
      </c>
      <c r="J26" s="174">
        <v>0.01</v>
      </c>
      <c r="K26" s="116">
        <f t="shared" ref="K26:K27" si="3">100%-J26</f>
        <v>0.99</v>
      </c>
      <c r="L26" s="178">
        <f t="shared" ref="L26:L27" ca="1" si="4">_xlfn.PERCENTILE.INC($H$4:$H$5003,J26)</f>
        <v>-3.5289847763518498E-2</v>
      </c>
      <c r="M26" s="175">
        <f ca="1">$N$10*(1-L26)</f>
        <v>2697.5512273326235</v>
      </c>
      <c r="N26" s="175">
        <f ca="1">$N$10-M26</f>
        <v>-91.951227332623603</v>
      </c>
    </row>
    <row r="27" spans="2:14">
      <c r="B27" s="36">
        <v>46120</v>
      </c>
      <c r="C27" s="185">
        <v>2293.1</v>
      </c>
      <c r="D27" s="185">
        <f t="shared" si="0"/>
        <v>0.87283567461613831</v>
      </c>
      <c r="E27" s="185">
        <v>4.3314072523772611E-2</v>
      </c>
      <c r="F27" s="171"/>
      <c r="G27" s="171">
        <v>24</v>
      </c>
      <c r="H27" s="186">
        <f t="shared" ca="1" si="1"/>
        <v>-1.9621520722144254E-3</v>
      </c>
      <c r="J27" s="174">
        <v>5.0000000000000001E-3</v>
      </c>
      <c r="K27" s="116">
        <f t="shared" si="3"/>
        <v>0.995</v>
      </c>
      <c r="L27" s="178">
        <f t="shared" ca="1" si="4"/>
        <v>-3.7907188680945725E-2</v>
      </c>
      <c r="M27" s="175">
        <f ca="1">$N$10*(1-L27)</f>
        <v>2704.3709708270721</v>
      </c>
      <c r="N27" s="175">
        <f ca="1">$N$10-M27</f>
        <v>-98.770970827072233</v>
      </c>
    </row>
    <row r="28" spans="2:14">
      <c r="B28" s="36">
        <v>43032</v>
      </c>
      <c r="C28" s="185">
        <v>1224.4000000000001</v>
      </c>
      <c r="D28" s="185">
        <f t="shared" si="0"/>
        <v>-0.267111603268189</v>
      </c>
      <c r="E28" s="185">
        <v>4.3241170706769479E-2</v>
      </c>
      <c r="F28" s="171"/>
      <c r="G28" s="171">
        <v>25</v>
      </c>
      <c r="H28" s="186">
        <f t="shared" ca="1" si="1"/>
        <v>1.0044362909307233E-2</v>
      </c>
    </row>
    <row r="29" spans="2:14">
      <c r="B29" s="36">
        <v>43921</v>
      </c>
      <c r="C29" s="185">
        <v>1670.65</v>
      </c>
      <c r="D29" s="185">
        <f t="shared" si="0"/>
        <v>-0.36273649679584979</v>
      </c>
      <c r="E29" s="185">
        <v>4.268996723357784E-2</v>
      </c>
      <c r="F29" s="171"/>
      <c r="G29" s="171">
        <v>26</v>
      </c>
      <c r="H29" s="186">
        <f t="shared" ca="1" si="1"/>
        <v>1.1937102013522676E-2</v>
      </c>
    </row>
    <row r="30" spans="2:14">
      <c r="B30" s="36">
        <v>46155</v>
      </c>
      <c r="C30" s="185">
        <v>2621.6</v>
      </c>
      <c r="D30" s="185">
        <f t="shared" si="0"/>
        <v>8.1913625350919991E-3</v>
      </c>
      <c r="E30" s="185">
        <v>4.2510040959160181E-2</v>
      </c>
      <c r="F30" s="171"/>
      <c r="G30" s="171">
        <v>27</v>
      </c>
      <c r="H30" s="186">
        <f t="shared" ca="1" si="1"/>
        <v>-2.3890220835000378E-2</v>
      </c>
    </row>
    <row r="31" spans="2:14">
      <c r="B31" s="36">
        <v>45967</v>
      </c>
      <c r="C31" s="185">
        <v>2600.3000000000002</v>
      </c>
      <c r="D31" s="185">
        <f t="shared" si="0"/>
        <v>1.1897263157894737</v>
      </c>
      <c r="E31" s="185">
        <v>4.2413309280416991E-2</v>
      </c>
      <c r="F31" s="171"/>
      <c r="G31" s="171">
        <v>28</v>
      </c>
      <c r="H31" s="186">
        <f t="shared" ca="1" si="1"/>
        <v>3.789565576920664E-3</v>
      </c>
    </row>
    <row r="32" spans="2:14">
      <c r="B32" s="36">
        <v>43397</v>
      </c>
      <c r="C32" s="185">
        <v>1187.5</v>
      </c>
      <c r="D32" s="185">
        <f t="shared" si="0"/>
        <v>-0.57120675958691414</v>
      </c>
      <c r="E32" s="185">
        <v>4.2215200982973412E-2</v>
      </c>
      <c r="F32" s="171"/>
      <c r="G32" s="171">
        <v>29</v>
      </c>
      <c r="H32" s="186">
        <f t="shared" ca="1" si="1"/>
        <v>1.0184257867346714E-2</v>
      </c>
    </row>
    <row r="33" spans="2:8">
      <c r="B33" s="36">
        <v>45973</v>
      </c>
      <c r="C33" s="185">
        <v>2769.4</v>
      </c>
      <c r="D33" s="185">
        <f t="shared" si="0"/>
        <v>0.16916452062312673</v>
      </c>
      <c r="E33" s="185">
        <v>4.1911211437170838E-2</v>
      </c>
      <c r="F33" s="171"/>
      <c r="G33" s="171">
        <v>30</v>
      </c>
      <c r="H33" s="186">
        <f t="shared" ca="1" si="1"/>
        <v>1.015962879952224E-2</v>
      </c>
    </row>
    <row r="34" spans="2:8">
      <c r="B34" s="36">
        <v>46122</v>
      </c>
      <c r="C34" s="185">
        <v>2368.6999999999998</v>
      </c>
      <c r="D34" s="185">
        <f t="shared" si="0"/>
        <v>-0.2758262251979578</v>
      </c>
      <c r="E34" s="185">
        <v>4.1232581651940624E-2</v>
      </c>
      <c r="F34" s="171"/>
      <c r="G34" s="171">
        <v>31</v>
      </c>
      <c r="H34" s="186">
        <f t="shared" ca="1" si="1"/>
        <v>9.823417281819409E-3</v>
      </c>
    </row>
    <row r="35" spans="2:8">
      <c r="B35" s="36">
        <v>44607</v>
      </c>
      <c r="C35" s="185">
        <v>3270.9</v>
      </c>
      <c r="D35" s="185">
        <f t="shared" si="0"/>
        <v>2.7424485125858125</v>
      </c>
      <c r="E35" s="185">
        <v>4.1024824952259738E-2</v>
      </c>
      <c r="F35" s="171"/>
      <c r="G35" s="171">
        <v>32</v>
      </c>
      <c r="H35" s="186">
        <f t="shared" ca="1" si="1"/>
        <v>-4.5960363378851586E-3</v>
      </c>
    </row>
    <row r="36" spans="2:8">
      <c r="B36" s="36">
        <v>42345</v>
      </c>
      <c r="C36" s="185">
        <v>874</v>
      </c>
      <c r="D36" s="185">
        <f t="shared" si="0"/>
        <v>-0.66627847037935051</v>
      </c>
      <c r="E36" s="185">
        <v>4.0476190476190478E-2</v>
      </c>
      <c r="F36" s="171"/>
      <c r="G36" s="171">
        <v>33</v>
      </c>
      <c r="H36" s="186">
        <f t="shared" ca="1" si="1"/>
        <v>-4.362945796493066E-3</v>
      </c>
    </row>
    <row r="37" spans="2:8">
      <c r="B37" s="36">
        <v>44292</v>
      </c>
      <c r="C37" s="185">
        <v>2618.9499999999998</v>
      </c>
      <c r="D37" s="185">
        <f t="shared" si="0"/>
        <v>4.1580496341075295E-2</v>
      </c>
      <c r="E37" s="185">
        <v>3.9967438351268564E-2</v>
      </c>
      <c r="F37" s="171"/>
      <c r="G37" s="171">
        <v>34</v>
      </c>
      <c r="H37" s="186">
        <f t="shared" ca="1" si="1"/>
        <v>-2.0107755742151203E-2</v>
      </c>
    </row>
    <row r="38" spans="2:8">
      <c r="B38" s="36">
        <v>45947</v>
      </c>
      <c r="C38" s="185">
        <v>2514.4</v>
      </c>
      <c r="D38" s="185">
        <f t="shared" si="0"/>
        <v>0.26727483493775528</v>
      </c>
      <c r="E38" s="185">
        <v>3.9910666280656766E-2</v>
      </c>
      <c r="F38" s="171"/>
      <c r="G38" s="171">
        <v>35</v>
      </c>
      <c r="H38" s="186">
        <f t="shared" ca="1" si="1"/>
        <v>2.3987966767328193E-2</v>
      </c>
    </row>
    <row r="39" spans="2:8">
      <c r="B39" s="36">
        <v>44075</v>
      </c>
      <c r="C39" s="185">
        <v>1984.1</v>
      </c>
      <c r="D39" s="185">
        <f t="shared" si="0"/>
        <v>0.13403063557384545</v>
      </c>
      <c r="E39" s="185">
        <v>3.9122237352047666E-2</v>
      </c>
      <c r="F39" s="171"/>
      <c r="G39" s="171">
        <v>36</v>
      </c>
      <c r="H39" s="186">
        <f t="shared" ca="1" si="1"/>
        <v>2.273605486213592E-2</v>
      </c>
    </row>
    <row r="40" spans="2:8">
      <c r="B40" s="36">
        <v>44006</v>
      </c>
      <c r="C40" s="185">
        <v>1749.6</v>
      </c>
      <c r="D40" s="185">
        <f t="shared" si="0"/>
        <v>0.27128065395095363</v>
      </c>
      <c r="E40" s="185">
        <v>3.901656867985024E-2</v>
      </c>
      <c r="F40" s="171"/>
      <c r="G40" s="171">
        <v>37</v>
      </c>
      <c r="H40" s="186">
        <f t="shared" ca="1" si="1"/>
        <v>1.0089611033021501E-2</v>
      </c>
    </row>
    <row r="41" spans="2:8">
      <c r="B41" s="36">
        <v>43605</v>
      </c>
      <c r="C41" s="185">
        <v>1376.25</v>
      </c>
      <c r="D41" s="185">
        <f t="shared" si="0"/>
        <v>0.63654200606456979</v>
      </c>
      <c r="E41" s="185">
        <v>3.8953685879288796E-2</v>
      </c>
      <c r="F41" s="171"/>
      <c r="G41" s="171">
        <v>38</v>
      </c>
      <c r="H41" s="186">
        <f t="shared" ca="1" si="1"/>
        <v>-3.0281755004844303E-2</v>
      </c>
    </row>
    <row r="42" spans="2:8">
      <c r="B42" s="36">
        <v>42277</v>
      </c>
      <c r="C42" s="185">
        <v>840.95</v>
      </c>
      <c r="D42" s="185">
        <f t="shared" si="0"/>
        <v>-0.70756685328789504</v>
      </c>
      <c r="E42" s="185">
        <v>3.8402173241958416E-2</v>
      </c>
      <c r="F42" s="171"/>
      <c r="G42" s="171">
        <v>39</v>
      </c>
      <c r="H42" s="186">
        <f t="shared" ca="1" si="1"/>
        <v>-1.1965762468651E-2</v>
      </c>
    </row>
    <row r="43" spans="2:8">
      <c r="B43" s="36">
        <v>45974</v>
      </c>
      <c r="C43" s="185">
        <v>2875.7</v>
      </c>
      <c r="D43" s="185">
        <f t="shared" si="0"/>
        <v>0.19472372247611128</v>
      </c>
      <c r="E43" s="185">
        <v>3.8383765436556555E-2</v>
      </c>
      <c r="F43" s="171"/>
      <c r="G43" s="171">
        <v>40</v>
      </c>
      <c r="H43" s="186">
        <f t="shared" ca="1" si="1"/>
        <v>1.6955778276663371E-3</v>
      </c>
    </row>
    <row r="44" spans="2:8">
      <c r="B44" s="36">
        <v>44168</v>
      </c>
      <c r="C44" s="185">
        <v>2407</v>
      </c>
      <c r="D44" s="185">
        <f t="shared" si="0"/>
        <v>3.8081683702074522E-2</v>
      </c>
      <c r="E44" s="185">
        <v>3.8081683702074522E-2</v>
      </c>
      <c r="F44" s="171"/>
      <c r="G44" s="171">
        <v>41</v>
      </c>
      <c r="H44" s="186">
        <f t="shared" ca="1" si="1"/>
        <v>1.4467800883651677E-2</v>
      </c>
    </row>
    <row r="45" spans="2:8">
      <c r="B45" s="36">
        <v>44167</v>
      </c>
      <c r="C45" s="185">
        <v>2318.6999999999998</v>
      </c>
      <c r="D45" s="185">
        <f t="shared" si="0"/>
        <v>0.78067042967400047</v>
      </c>
      <c r="E45" s="185">
        <v>3.7635370983621193E-2</v>
      </c>
      <c r="F45" s="171"/>
      <c r="G45" s="171">
        <v>42</v>
      </c>
      <c r="H45" s="186">
        <f t="shared" ca="1" si="1"/>
        <v>3.9464226444965904E-3</v>
      </c>
    </row>
    <row r="46" spans="2:8">
      <c r="B46" s="36">
        <v>43413</v>
      </c>
      <c r="C46" s="185">
        <v>1302.1500000000001</v>
      </c>
      <c r="D46" s="185">
        <f t="shared" si="0"/>
        <v>-0.62290405722394371</v>
      </c>
      <c r="E46" s="185">
        <v>3.7611060201601695E-2</v>
      </c>
      <c r="F46" s="171"/>
      <c r="G46" s="171">
        <v>43</v>
      </c>
      <c r="H46" s="186">
        <f t="shared" ca="1" si="1"/>
        <v>1.9667561084231927E-2</v>
      </c>
    </row>
    <row r="47" spans="2:8">
      <c r="B47" s="36">
        <v>44463</v>
      </c>
      <c r="C47" s="185">
        <v>3453.1</v>
      </c>
      <c r="D47" s="185">
        <f t="shared" si="0"/>
        <v>1.6021853805576487</v>
      </c>
      <c r="E47" s="185">
        <v>3.695139712616919E-2</v>
      </c>
      <c r="F47" s="171"/>
      <c r="G47" s="171">
        <v>44</v>
      </c>
      <c r="H47" s="186">
        <f t="shared" ca="1" si="1"/>
        <v>1.0895418499659313E-2</v>
      </c>
    </row>
    <row r="48" spans="2:8">
      <c r="B48" s="36">
        <v>43445</v>
      </c>
      <c r="C48" s="185">
        <v>1327</v>
      </c>
      <c r="D48" s="185">
        <f t="shared" si="0"/>
        <v>-0.51434636217244911</v>
      </c>
      <c r="E48" s="185">
        <v>3.6921273686266846E-2</v>
      </c>
      <c r="F48" s="171"/>
      <c r="G48" s="171">
        <v>45</v>
      </c>
      <c r="H48" s="186">
        <f t="shared" ca="1" si="1"/>
        <v>4.4063743679401504E-4</v>
      </c>
    </row>
    <row r="49" spans="2:8">
      <c r="B49" s="36">
        <v>46204</v>
      </c>
      <c r="C49" s="185">
        <v>2732.4</v>
      </c>
      <c r="D49" s="185">
        <f t="shared" si="0"/>
        <v>7.9786603438055756E-2</v>
      </c>
      <c r="E49" s="185">
        <v>3.6688545737375379E-2</v>
      </c>
      <c r="F49" s="171"/>
      <c r="G49" s="171">
        <v>46</v>
      </c>
      <c r="H49" s="186">
        <f t="shared" ca="1" si="1"/>
        <v>-3.8867243869767482E-4</v>
      </c>
    </row>
    <row r="50" spans="2:8">
      <c r="B50" s="36">
        <v>46148</v>
      </c>
      <c r="C50" s="185">
        <v>2530.5</v>
      </c>
      <c r="D50" s="185">
        <f t="shared" si="0"/>
        <v>0.42571412473942188</v>
      </c>
      <c r="E50" s="185">
        <v>3.6622833968293023E-2</v>
      </c>
      <c r="F50" s="171"/>
      <c r="G50" s="171">
        <v>47</v>
      </c>
      <c r="H50" s="186">
        <f t="shared" ca="1" si="1"/>
        <v>8.7726043374866496E-3</v>
      </c>
    </row>
    <row r="51" spans="2:8">
      <c r="B51" s="36">
        <v>44039</v>
      </c>
      <c r="C51" s="185">
        <v>1774.9</v>
      </c>
      <c r="D51" s="185">
        <f t="shared" si="0"/>
        <v>-0.13820980311233039</v>
      </c>
      <c r="E51" s="185">
        <v>3.661955379044507E-2</v>
      </c>
      <c r="F51" s="171"/>
      <c r="G51" s="171">
        <v>48</v>
      </c>
      <c r="H51" s="186">
        <f t="shared" ca="1" si="1"/>
        <v>-8.8777308044189363E-3</v>
      </c>
    </row>
    <row r="52" spans="2:8">
      <c r="B52" s="36">
        <v>44084</v>
      </c>
      <c r="C52" s="185">
        <v>2059.5500000000002</v>
      </c>
      <c r="D52" s="185">
        <f t="shared" si="0"/>
        <v>-0.3137349638465895</v>
      </c>
      <c r="E52" s="185">
        <v>3.6434089021966175E-2</v>
      </c>
      <c r="F52" s="171"/>
      <c r="G52" s="171">
        <v>49</v>
      </c>
      <c r="H52" s="186">
        <f t="shared" ca="1" si="1"/>
        <v>2.0796239149094436E-2</v>
      </c>
    </row>
    <row r="53" spans="2:8">
      <c r="B53" s="36">
        <v>45414</v>
      </c>
      <c r="C53" s="185">
        <v>3001.1</v>
      </c>
      <c r="D53" s="185">
        <f t="shared" si="0"/>
        <v>1.0249654195202591</v>
      </c>
      <c r="E53" s="185">
        <v>3.6363008495061716E-2</v>
      </c>
      <c r="F53" s="171"/>
      <c r="G53" s="171">
        <v>50</v>
      </c>
      <c r="H53" s="186">
        <f t="shared" ca="1" si="1"/>
        <v>9.015769911671306E-3</v>
      </c>
    </row>
    <row r="54" spans="2:8">
      <c r="B54" s="36">
        <v>43670</v>
      </c>
      <c r="C54" s="185">
        <v>1482.05</v>
      </c>
      <c r="D54" s="185">
        <f t="shared" si="0"/>
        <v>-0.46423859014911883</v>
      </c>
      <c r="E54" s="185">
        <v>3.6289899660874633E-2</v>
      </c>
      <c r="F54" s="171"/>
      <c r="G54" s="171">
        <v>51</v>
      </c>
      <c r="H54" s="186">
        <f t="shared" ca="1" si="1"/>
        <v>5.6834289096274037E-3</v>
      </c>
    </row>
    <row r="55" spans="2:8">
      <c r="B55" s="36">
        <v>44735</v>
      </c>
      <c r="C55" s="185">
        <v>2766.25</v>
      </c>
      <c r="D55" s="185">
        <f t="shared" si="0"/>
        <v>0.73967046097729716</v>
      </c>
      <c r="E55" s="185">
        <v>3.622333352063075E-2</v>
      </c>
      <c r="F55" s="171"/>
      <c r="G55" s="171">
        <v>52</v>
      </c>
      <c r="H55" s="186">
        <f t="shared" ca="1" si="1"/>
        <v>-1.0926606604424802E-2</v>
      </c>
    </row>
    <row r="56" spans="2:8">
      <c r="B56" s="36">
        <v>43915</v>
      </c>
      <c r="C56" s="185">
        <v>1590.1</v>
      </c>
      <c r="D56" s="185">
        <f t="shared" si="0"/>
        <v>0.48185079912399231</v>
      </c>
      <c r="E56" s="185">
        <v>3.6132017072296498E-2</v>
      </c>
      <c r="F56" s="171"/>
      <c r="G56" s="171">
        <v>53</v>
      </c>
      <c r="H56" s="186">
        <f t="shared" ca="1" si="1"/>
        <v>-1.9461387702099618E-2</v>
      </c>
    </row>
    <row r="57" spans="2:8">
      <c r="B57" s="36">
        <v>42808</v>
      </c>
      <c r="C57" s="185">
        <v>1073.05</v>
      </c>
      <c r="D57" s="185">
        <f t="shared" si="0"/>
        <v>-0.54763711479279964</v>
      </c>
      <c r="E57" s="185">
        <v>3.5962541031087085E-2</v>
      </c>
      <c r="F57" s="171"/>
      <c r="G57" s="171">
        <v>54</v>
      </c>
      <c r="H57" s="186">
        <f t="shared" ca="1" si="1"/>
        <v>1.0347557883744786E-3</v>
      </c>
    </row>
    <row r="58" spans="2:8">
      <c r="B58" s="36">
        <v>45835</v>
      </c>
      <c r="C58" s="185">
        <v>2372.1</v>
      </c>
      <c r="D58" s="185">
        <f t="shared" si="0"/>
        <v>-0.19415002038320425</v>
      </c>
      <c r="E58" s="185">
        <v>3.5942003668442538E-2</v>
      </c>
      <c r="F58" s="171"/>
      <c r="G58" s="171">
        <v>55</v>
      </c>
      <c r="H58" s="186">
        <f t="shared" ca="1" si="1"/>
        <v>-3.5289600769988945E-2</v>
      </c>
    </row>
    <row r="59" spans="2:8">
      <c r="B59" s="36">
        <v>45448</v>
      </c>
      <c r="C59" s="185">
        <v>2943.6</v>
      </c>
      <c r="D59" s="185">
        <f t="shared" si="0"/>
        <v>2.1236801612988803</v>
      </c>
      <c r="E59" s="185">
        <v>3.5877043267115868E-2</v>
      </c>
      <c r="F59" s="171"/>
      <c r="G59" s="171">
        <v>56</v>
      </c>
      <c r="H59" s="186">
        <f t="shared" ca="1" si="1"/>
        <v>4.9886019661104163E-4</v>
      </c>
    </row>
    <row r="60" spans="2:8">
      <c r="B60" s="36">
        <v>42709</v>
      </c>
      <c r="C60" s="185">
        <v>942.35</v>
      </c>
      <c r="D60" s="185">
        <f t="shared" si="0"/>
        <v>1.8605145651711672E-3</v>
      </c>
      <c r="E60" s="185">
        <v>3.5777093866783988E-2</v>
      </c>
      <c r="F60" s="171"/>
      <c r="G60" s="171">
        <v>57</v>
      </c>
      <c r="H60" s="186">
        <f t="shared" ca="1" si="1"/>
        <v>1.854823308888159E-2</v>
      </c>
    </row>
    <row r="61" spans="2:8">
      <c r="B61" s="36">
        <v>42697</v>
      </c>
      <c r="C61" s="185">
        <v>940.6</v>
      </c>
      <c r="D61" s="185">
        <f t="shared" si="0"/>
        <v>-0.35329505998831173</v>
      </c>
      <c r="E61" s="185">
        <v>3.5731982601993111E-2</v>
      </c>
      <c r="F61" s="171"/>
      <c r="G61" s="171">
        <v>58</v>
      </c>
      <c r="H61" s="186">
        <f t="shared" ca="1" si="1"/>
        <v>9.9513330110157232E-4</v>
      </c>
    </row>
    <row r="62" spans="2:8">
      <c r="B62" s="36">
        <v>43619</v>
      </c>
      <c r="C62" s="185">
        <v>1454.45</v>
      </c>
      <c r="D62" s="185">
        <f t="shared" si="0"/>
        <v>-0.38645040180548823</v>
      </c>
      <c r="E62" s="185">
        <v>3.4974738490002204E-2</v>
      </c>
      <c r="F62" s="171"/>
      <c r="G62" s="171">
        <v>59</v>
      </c>
      <c r="H62" s="186">
        <f t="shared" ca="1" si="1"/>
        <v>6.7591611310749708E-3</v>
      </c>
    </row>
    <row r="63" spans="2:8">
      <c r="B63" s="36">
        <v>44256</v>
      </c>
      <c r="C63" s="185">
        <v>2370.5500000000002</v>
      </c>
      <c r="D63" s="185">
        <f t="shared" si="0"/>
        <v>1.0684525107979586</v>
      </c>
      <c r="E63" s="185">
        <v>3.476799511109175E-2</v>
      </c>
      <c r="F63" s="171"/>
      <c r="G63" s="171">
        <v>60</v>
      </c>
      <c r="H63" s="186">
        <f t="shared" ca="1" si="1"/>
        <v>-8.1173613190016342E-3</v>
      </c>
    </row>
    <row r="64" spans="2:8">
      <c r="B64" s="36">
        <v>43076</v>
      </c>
      <c r="C64" s="185">
        <v>1146.05</v>
      </c>
      <c r="D64" s="185">
        <f t="shared" si="0"/>
        <v>-0.62881572768052341</v>
      </c>
      <c r="E64" s="185">
        <v>3.4761410320075847E-2</v>
      </c>
      <c r="F64" s="171"/>
      <c r="G64" s="171">
        <v>61</v>
      </c>
      <c r="H64" s="186">
        <f t="shared" ca="1" si="1"/>
        <v>1.3639640438572955E-2</v>
      </c>
    </row>
    <row r="65" spans="2:8">
      <c r="B65" s="36">
        <v>44496</v>
      </c>
      <c r="C65" s="185">
        <v>3087.55</v>
      </c>
      <c r="D65" s="185">
        <f t="shared" si="0"/>
        <v>7.5314317556507498E-2</v>
      </c>
      <c r="E65" s="185">
        <v>3.4493734503786191E-2</v>
      </c>
      <c r="F65" s="171"/>
      <c r="G65" s="171">
        <v>62</v>
      </c>
      <c r="H65" s="186">
        <f t="shared" ca="1" si="1"/>
        <v>1.2806704046081049E-2</v>
      </c>
    </row>
    <row r="66" spans="2:8">
      <c r="B66" s="36">
        <v>44748</v>
      </c>
      <c r="C66" s="185">
        <v>2871.3</v>
      </c>
      <c r="D66" s="185">
        <f t="shared" si="0"/>
        <v>2.4898814949863266</v>
      </c>
      <c r="E66" s="185">
        <v>3.4404496001152821E-2</v>
      </c>
      <c r="F66" s="171"/>
      <c r="G66" s="171">
        <v>63</v>
      </c>
      <c r="H66" s="186">
        <f t="shared" ca="1" si="1"/>
        <v>-5.0855916747553059E-3</v>
      </c>
    </row>
    <row r="67" spans="2:8">
      <c r="B67" s="36">
        <v>42256</v>
      </c>
      <c r="C67" s="185">
        <v>822.75</v>
      </c>
      <c r="D67" s="185">
        <f t="shared" si="0"/>
        <v>-0.43701245381141374</v>
      </c>
      <c r="E67" s="185">
        <v>3.4190182892338696E-2</v>
      </c>
      <c r="F67" s="171"/>
      <c r="G67" s="171">
        <v>64</v>
      </c>
      <c r="H67" s="186">
        <f t="shared" ca="1" si="1"/>
        <v>1.6530719481419931E-2</v>
      </c>
    </row>
    <row r="68" spans="2:8">
      <c r="B68" s="36">
        <v>43497</v>
      </c>
      <c r="C68" s="185">
        <v>1461.4</v>
      </c>
      <c r="D68" s="185">
        <f t="shared" ref="D68:D131" si="5">(C68-C69)/C69</f>
        <v>0.16090082217897303</v>
      </c>
      <c r="E68" s="185">
        <v>3.4106991225587351E-2</v>
      </c>
      <c r="F68" s="171"/>
      <c r="G68" s="171">
        <v>65</v>
      </c>
      <c r="H68" s="186">
        <f t="shared" ca="1" si="1"/>
        <v>4.8938529435736443E-3</v>
      </c>
    </row>
    <row r="69" spans="2:8">
      <c r="B69" s="36">
        <v>43385</v>
      </c>
      <c r="C69" s="185">
        <v>1258.8499999999999</v>
      </c>
      <c r="D69" s="185">
        <f t="shared" si="5"/>
        <v>0.42122495060683024</v>
      </c>
      <c r="E69" s="185">
        <v>3.4047971085920663E-2</v>
      </c>
      <c r="F69" s="171"/>
      <c r="G69" s="171">
        <v>66</v>
      </c>
      <c r="H69" s="186">
        <f t="shared" ref="H69:H132" ca="1" si="6">_xlfn.NORM.INV(RAND(),N$6,N$7)</f>
        <v>2.3224746493882456E-3</v>
      </c>
    </row>
    <row r="70" spans="2:8">
      <c r="B70" s="36">
        <v>42216</v>
      </c>
      <c r="C70" s="185">
        <v>885.75</v>
      </c>
      <c r="D70" s="185">
        <f t="shared" si="5"/>
        <v>-0.48710153739251283</v>
      </c>
      <c r="E70" s="185">
        <v>3.4029885594209636E-2</v>
      </c>
      <c r="F70" s="171"/>
      <c r="G70" s="171">
        <v>67</v>
      </c>
      <c r="H70" s="186">
        <f t="shared" ca="1" si="6"/>
        <v>1.2666315174491948E-2</v>
      </c>
    </row>
    <row r="71" spans="2:8">
      <c r="B71" s="36">
        <v>43907</v>
      </c>
      <c r="C71" s="185">
        <v>1726.95</v>
      </c>
      <c r="D71" s="185">
        <f t="shared" si="5"/>
        <v>-0.4444605288554333</v>
      </c>
      <c r="E71" s="185">
        <v>3.3947013920071871E-2</v>
      </c>
      <c r="F71" s="171"/>
      <c r="G71" s="171">
        <v>68</v>
      </c>
      <c r="H71" s="186">
        <f t="shared" ca="1" si="6"/>
        <v>-9.1770020353304747E-3</v>
      </c>
    </row>
    <row r="72" spans="2:8">
      <c r="B72" s="36">
        <v>44428</v>
      </c>
      <c r="C72" s="185">
        <v>3108.6</v>
      </c>
      <c r="D72" s="185">
        <f t="shared" si="5"/>
        <v>0.23801748342260903</v>
      </c>
      <c r="E72" s="185">
        <v>3.3426970961253875E-2</v>
      </c>
      <c r="F72" s="171"/>
      <c r="G72" s="171">
        <v>69</v>
      </c>
      <c r="H72" s="186">
        <f t="shared" ca="1" si="6"/>
        <v>-5.6783204068848528E-3</v>
      </c>
    </row>
    <row r="73" spans="2:8">
      <c r="B73" s="36">
        <v>44236</v>
      </c>
      <c r="C73" s="185">
        <v>2510.9499999999998</v>
      </c>
      <c r="D73" s="185">
        <f t="shared" si="5"/>
        <v>1.4612330915506762</v>
      </c>
      <c r="E73" s="185">
        <v>3.3206460240715899E-2</v>
      </c>
      <c r="F73" s="171"/>
      <c r="G73" s="171">
        <v>70</v>
      </c>
      <c r="H73" s="186">
        <f t="shared" ca="1" si="6"/>
        <v>2.8235833553377322E-2</v>
      </c>
    </row>
    <row r="74" spans="2:8">
      <c r="B74" s="36">
        <v>42522</v>
      </c>
      <c r="C74" s="185">
        <v>1020.2</v>
      </c>
      <c r="D74" s="185">
        <f t="shared" si="5"/>
        <v>-0.27333594501228675</v>
      </c>
      <c r="E74" s="185">
        <v>3.3009315512353199E-2</v>
      </c>
      <c r="F74" s="171"/>
      <c r="G74" s="171">
        <v>71</v>
      </c>
      <c r="H74" s="186">
        <f t="shared" ca="1" si="6"/>
        <v>-1.3938741166384095E-2</v>
      </c>
    </row>
    <row r="75" spans="2:8">
      <c r="B75" s="36">
        <v>43453</v>
      </c>
      <c r="C75" s="185">
        <v>1403.95</v>
      </c>
      <c r="D75" s="185">
        <f t="shared" si="5"/>
        <v>-0.49564420814398363</v>
      </c>
      <c r="E75" s="185">
        <v>3.2809798800897592E-2</v>
      </c>
      <c r="F75" s="171"/>
      <c r="G75" s="171">
        <v>72</v>
      </c>
      <c r="H75" s="186">
        <f t="shared" ca="1" si="6"/>
        <v>-6.6187392392002284E-3</v>
      </c>
    </row>
    <row r="76" spans="2:8">
      <c r="B76" s="36">
        <v>44743</v>
      </c>
      <c r="C76" s="185">
        <v>2783.65</v>
      </c>
      <c r="D76" s="185">
        <f t="shared" si="5"/>
        <v>1.4060244608669346</v>
      </c>
      <c r="E76" s="185">
        <v>3.2798441702996048E-2</v>
      </c>
      <c r="F76" s="171"/>
      <c r="G76" s="171">
        <v>73</v>
      </c>
      <c r="H76" s="186">
        <f t="shared" ca="1" si="6"/>
        <v>-5.3241637045425786E-3</v>
      </c>
    </row>
    <row r="77" spans="2:8">
      <c r="B77" s="36">
        <v>43192</v>
      </c>
      <c r="C77" s="185">
        <v>1156.95</v>
      </c>
      <c r="D77" s="185">
        <f t="shared" si="5"/>
        <v>-0.64819376026272568</v>
      </c>
      <c r="E77" s="185">
        <v>3.2668362565269907E-2</v>
      </c>
      <c r="F77" s="171"/>
      <c r="G77" s="171">
        <v>74</v>
      </c>
      <c r="H77" s="186">
        <f t="shared" ca="1" si="6"/>
        <v>-9.6270111991214585E-3</v>
      </c>
    </row>
    <row r="78" spans="2:8">
      <c r="B78" s="36">
        <v>44540</v>
      </c>
      <c r="C78" s="185">
        <v>3288.6</v>
      </c>
      <c r="D78" s="185">
        <f t="shared" si="5"/>
        <v>4.532739987285439E-2</v>
      </c>
      <c r="E78" s="185">
        <v>3.2559891990329305E-2</v>
      </c>
      <c r="F78" s="171"/>
      <c r="G78" s="171">
        <v>75</v>
      </c>
      <c r="H78" s="186">
        <f t="shared" ca="1" si="6"/>
        <v>1.0052296158968828E-2</v>
      </c>
    </row>
    <row r="79" spans="2:8">
      <c r="B79" s="36">
        <v>44637</v>
      </c>
      <c r="C79" s="185">
        <v>3146</v>
      </c>
      <c r="D79" s="185">
        <f t="shared" si="5"/>
        <v>2.4651393325256086</v>
      </c>
      <c r="E79" s="185">
        <v>3.2423208191126339E-2</v>
      </c>
      <c r="F79" s="171"/>
      <c r="G79" s="171">
        <v>76</v>
      </c>
      <c r="H79" s="186">
        <f t="shared" ca="1" si="6"/>
        <v>9.1571987193129287E-3</v>
      </c>
    </row>
    <row r="80" spans="2:8">
      <c r="B80" s="36">
        <v>42220</v>
      </c>
      <c r="C80" s="185">
        <v>907.9</v>
      </c>
      <c r="D80" s="185">
        <f t="shared" si="5"/>
        <v>-0.68854736625443813</v>
      </c>
      <c r="E80" s="185">
        <v>3.2115045756835103E-2</v>
      </c>
      <c r="F80" s="171"/>
      <c r="G80" s="171">
        <v>77</v>
      </c>
      <c r="H80" s="186">
        <f t="shared" ca="1" si="6"/>
        <v>-8.8809349104163552E-3</v>
      </c>
    </row>
    <row r="81" spans="2:8">
      <c r="B81" s="36">
        <v>44341</v>
      </c>
      <c r="C81" s="185">
        <v>2915.05</v>
      </c>
      <c r="D81" s="185">
        <f t="shared" si="5"/>
        <v>0.18032554561282763</v>
      </c>
      <c r="E81" s="185">
        <v>3.2113583656416617E-2</v>
      </c>
      <c r="F81" s="171"/>
      <c r="G81" s="171">
        <v>78</v>
      </c>
      <c r="H81" s="186">
        <f t="shared" ca="1" si="6"/>
        <v>-4.0950120652256628E-3</v>
      </c>
    </row>
    <row r="82" spans="2:8">
      <c r="B82" s="36">
        <v>44245</v>
      </c>
      <c r="C82" s="185">
        <v>2469.6999999999998</v>
      </c>
      <c r="D82" s="185">
        <f t="shared" si="5"/>
        <v>-0.25299820032363934</v>
      </c>
      <c r="E82" s="185">
        <v>3.2073382226958359E-2</v>
      </c>
      <c r="F82" s="171"/>
      <c r="G82" s="171">
        <v>79</v>
      </c>
      <c r="H82" s="186">
        <f t="shared" ca="1" si="6"/>
        <v>2.8933187848610808E-3</v>
      </c>
    </row>
    <row r="83" spans="2:8">
      <c r="B83" s="36">
        <v>44440</v>
      </c>
      <c r="C83" s="185">
        <v>3306.15</v>
      </c>
      <c r="D83" s="185">
        <f t="shared" si="5"/>
        <v>0.10148090153420729</v>
      </c>
      <c r="E83" s="185">
        <v>3.1817614381124862E-2</v>
      </c>
      <c r="F83" s="171"/>
      <c r="G83" s="171">
        <v>80</v>
      </c>
      <c r="H83" s="186">
        <f t="shared" ca="1" si="6"/>
        <v>-4.5289830210078347E-3</v>
      </c>
    </row>
    <row r="84" spans="2:8">
      <c r="B84" s="36">
        <v>45483</v>
      </c>
      <c r="C84" s="185">
        <v>3001.55</v>
      </c>
      <c r="D84" s="185">
        <f t="shared" si="5"/>
        <v>-7.5792099023924517E-2</v>
      </c>
      <c r="E84" s="185">
        <v>3.1531376726922813E-2</v>
      </c>
      <c r="F84" s="171"/>
      <c r="G84" s="171">
        <v>81</v>
      </c>
      <c r="H84" s="186">
        <f t="shared" ca="1" si="6"/>
        <v>1.3562631734170529E-2</v>
      </c>
    </row>
    <row r="85" spans="2:8">
      <c r="B85" s="36">
        <v>44679</v>
      </c>
      <c r="C85" s="185">
        <v>3247.7</v>
      </c>
      <c r="D85" s="185">
        <f t="shared" si="5"/>
        <v>1.6143690883477559</v>
      </c>
      <c r="E85" s="185">
        <v>3.1441547305237086E-2</v>
      </c>
      <c r="F85" s="171"/>
      <c r="G85" s="171">
        <v>82</v>
      </c>
      <c r="H85" s="186">
        <f t="shared" ca="1" si="6"/>
        <v>1.9324381106968016E-2</v>
      </c>
    </row>
    <row r="86" spans="2:8">
      <c r="B86" s="36">
        <v>42989</v>
      </c>
      <c r="C86" s="185">
        <v>1242.25</v>
      </c>
      <c r="D86" s="185">
        <f t="shared" si="5"/>
        <v>-0.60583513136184797</v>
      </c>
      <c r="E86" s="185">
        <v>3.1169585788993072E-2</v>
      </c>
      <c r="F86" s="171"/>
      <c r="G86" s="171">
        <v>83</v>
      </c>
      <c r="H86" s="186">
        <f t="shared" ca="1" si="6"/>
        <v>1.5420871256292521E-2</v>
      </c>
    </row>
    <row r="87" spans="2:8">
      <c r="B87" s="36">
        <v>45057</v>
      </c>
      <c r="C87" s="185">
        <v>3151.6</v>
      </c>
      <c r="D87" s="185">
        <f t="shared" si="5"/>
        <v>3.5654431336466105E-2</v>
      </c>
      <c r="E87" s="185">
        <v>3.1114019303124459E-2</v>
      </c>
      <c r="F87" s="171"/>
      <c r="G87" s="171">
        <v>84</v>
      </c>
      <c r="H87" s="186">
        <f t="shared" ca="1" si="6"/>
        <v>1.7904802048018916E-2</v>
      </c>
    </row>
    <row r="88" spans="2:8">
      <c r="B88" s="36">
        <v>44362</v>
      </c>
      <c r="C88" s="185">
        <v>3043.1</v>
      </c>
      <c r="D88" s="185">
        <f t="shared" si="5"/>
        <v>2.5631403313623329</v>
      </c>
      <c r="E88" s="185">
        <v>3.1035066915127869E-2</v>
      </c>
      <c r="F88" s="171"/>
      <c r="G88" s="171">
        <v>85</v>
      </c>
      <c r="H88" s="186">
        <f t="shared" ca="1" si="6"/>
        <v>-1.0802783090218069E-2</v>
      </c>
    </row>
    <row r="89" spans="2:8">
      <c r="B89" s="36">
        <v>42205</v>
      </c>
      <c r="C89" s="185">
        <v>854.05</v>
      </c>
      <c r="D89" s="185">
        <f t="shared" si="5"/>
        <v>-0.71219882055602357</v>
      </c>
      <c r="E89" s="185">
        <v>3.0963302752293552E-2</v>
      </c>
      <c r="F89" s="171"/>
      <c r="G89" s="171">
        <v>86</v>
      </c>
      <c r="H89" s="186">
        <f t="shared" ca="1" si="6"/>
        <v>-2.3718270946189009E-2</v>
      </c>
    </row>
    <row r="90" spans="2:8">
      <c r="B90" s="36">
        <v>45993</v>
      </c>
      <c r="C90" s="185">
        <v>2967.5</v>
      </c>
      <c r="D90" s="185">
        <f t="shared" si="5"/>
        <v>0.32976339845850516</v>
      </c>
      <c r="E90" s="185">
        <v>3.0918881361820392E-2</v>
      </c>
      <c r="F90" s="171"/>
      <c r="G90" s="171">
        <v>87</v>
      </c>
      <c r="H90" s="186">
        <f t="shared" ca="1" si="6"/>
        <v>-1.3229222527920989E-2</v>
      </c>
    </row>
    <row r="91" spans="2:8">
      <c r="B91" s="36">
        <v>46113</v>
      </c>
      <c r="C91" s="185">
        <v>2231.6</v>
      </c>
      <c r="D91" s="185">
        <f t="shared" si="5"/>
        <v>-0.16348983225564617</v>
      </c>
      <c r="E91" s="185">
        <v>3.0666912987252954E-2</v>
      </c>
      <c r="F91" s="171"/>
      <c r="G91" s="171">
        <v>88</v>
      </c>
      <c r="H91" s="186">
        <f t="shared" ca="1" si="6"/>
        <v>8.0719004470788062E-3</v>
      </c>
    </row>
    <row r="92" spans="2:8">
      <c r="B92" s="36">
        <v>44732</v>
      </c>
      <c r="C92" s="185">
        <v>2667.75</v>
      </c>
      <c r="D92" s="185">
        <f t="shared" si="5"/>
        <v>0.99966269395097829</v>
      </c>
      <c r="E92" s="185">
        <v>3.0636094960304502E-2</v>
      </c>
      <c r="F92" s="171"/>
      <c r="G92" s="171">
        <v>89</v>
      </c>
      <c r="H92" s="186">
        <f t="shared" ca="1" si="6"/>
        <v>-1.1371878896800589E-2</v>
      </c>
    </row>
    <row r="93" spans="2:8">
      <c r="B93" s="36">
        <v>43357</v>
      </c>
      <c r="C93" s="185">
        <v>1334.1</v>
      </c>
      <c r="D93" s="185">
        <f t="shared" si="5"/>
        <v>0.58190549593881524</v>
      </c>
      <c r="E93" s="185">
        <v>3.0511354858643598E-2</v>
      </c>
      <c r="F93" s="171"/>
      <c r="G93" s="171">
        <v>90</v>
      </c>
      <c r="H93" s="186">
        <f t="shared" ca="1" si="6"/>
        <v>-1.1730618736953465E-2</v>
      </c>
    </row>
    <row r="94" spans="2:8">
      <c r="B94" s="36">
        <v>42207</v>
      </c>
      <c r="C94" s="185">
        <v>843.35</v>
      </c>
      <c r="D94" s="185">
        <f t="shared" si="5"/>
        <v>-0.30111046656169721</v>
      </c>
      <c r="E94" s="185">
        <v>3.0486314760508365E-2</v>
      </c>
      <c r="F94" s="171"/>
      <c r="G94" s="171">
        <v>91</v>
      </c>
      <c r="H94" s="186">
        <f t="shared" ca="1" si="6"/>
        <v>1.4327244122794161E-2</v>
      </c>
    </row>
    <row r="95" spans="2:8">
      <c r="B95" s="36">
        <v>42619</v>
      </c>
      <c r="C95" s="185">
        <v>1206.7</v>
      </c>
      <c r="D95" s="185">
        <f t="shared" si="5"/>
        <v>1.3863216266173753E-2</v>
      </c>
      <c r="E95" s="185">
        <v>3.0442765039921518E-2</v>
      </c>
      <c r="F95" s="171"/>
      <c r="G95" s="171">
        <v>92</v>
      </c>
      <c r="H95" s="186">
        <f t="shared" ca="1" si="6"/>
        <v>8.4253197872400931E-3</v>
      </c>
    </row>
    <row r="96" spans="2:8">
      <c r="B96" s="36">
        <v>43217</v>
      </c>
      <c r="C96" s="185">
        <v>1190.2</v>
      </c>
      <c r="D96" s="185">
        <f t="shared" si="5"/>
        <v>0.41648318952692659</v>
      </c>
      <c r="E96" s="185">
        <v>3.0342379777518028E-2</v>
      </c>
      <c r="F96" s="171"/>
      <c r="G96" s="171">
        <v>93</v>
      </c>
      <c r="H96" s="186">
        <f t="shared" ca="1" si="6"/>
        <v>4.4390181703233911E-3</v>
      </c>
    </row>
    <row r="97" spans="2:8">
      <c r="B97" s="36">
        <v>42261</v>
      </c>
      <c r="C97" s="185">
        <v>840.25</v>
      </c>
      <c r="D97" s="185">
        <f t="shared" si="5"/>
        <v>-0.66724090135044156</v>
      </c>
      <c r="E97" s="185">
        <v>3.0096849331862147E-2</v>
      </c>
      <c r="F97" s="171"/>
      <c r="G97" s="171">
        <v>94</v>
      </c>
      <c r="H97" s="186">
        <f t="shared" ca="1" si="6"/>
        <v>-3.3144314592244233E-3</v>
      </c>
    </row>
    <row r="98" spans="2:8">
      <c r="B98" s="36">
        <v>44174</v>
      </c>
      <c r="C98" s="185">
        <v>2525.1</v>
      </c>
      <c r="D98" s="185">
        <f t="shared" si="5"/>
        <v>1.1935455848499323</v>
      </c>
      <c r="E98" s="185">
        <v>3.0064452965652206E-2</v>
      </c>
      <c r="F98" s="171"/>
      <c r="G98" s="171">
        <v>95</v>
      </c>
      <c r="H98" s="186">
        <f t="shared" ca="1" si="6"/>
        <v>1.207616189522207E-2</v>
      </c>
    </row>
    <row r="99" spans="2:8">
      <c r="B99" s="36">
        <v>42612</v>
      </c>
      <c r="C99" s="185">
        <v>1151.1500000000001</v>
      </c>
      <c r="D99" s="185">
        <f t="shared" si="5"/>
        <v>-0.48133546599382721</v>
      </c>
      <c r="E99" s="185">
        <v>2.9927529748590895E-2</v>
      </c>
      <c r="F99" s="171"/>
      <c r="G99" s="171">
        <v>96</v>
      </c>
      <c r="H99" s="186">
        <f t="shared" ca="1" si="6"/>
        <v>2.0984710180455033E-2</v>
      </c>
    </row>
    <row r="100" spans="2:8">
      <c r="B100" s="36">
        <v>44162</v>
      </c>
      <c r="C100" s="185">
        <v>2219.4499999999998</v>
      </c>
      <c r="D100" s="185">
        <f t="shared" si="5"/>
        <v>-8.4536380135291314E-2</v>
      </c>
      <c r="E100" s="185">
        <v>2.9763837980791366E-2</v>
      </c>
      <c r="F100" s="171"/>
      <c r="G100" s="171">
        <v>97</v>
      </c>
      <c r="H100" s="186">
        <f t="shared" ca="1" si="6"/>
        <v>5.0133349837267624E-2</v>
      </c>
    </row>
    <row r="101" spans="2:8">
      <c r="B101" s="36">
        <v>46127</v>
      </c>
      <c r="C101" s="185">
        <v>2424.4</v>
      </c>
      <c r="D101" s="185">
        <f t="shared" si="5"/>
        <v>-0.21380160197165735</v>
      </c>
      <c r="E101" s="185">
        <v>2.9600373720643936E-2</v>
      </c>
      <c r="F101" s="171"/>
      <c r="G101" s="171">
        <v>98</v>
      </c>
      <c r="H101" s="186">
        <f t="shared" ca="1" si="6"/>
        <v>-9.6137334567621517E-3</v>
      </c>
    </row>
    <row r="102" spans="2:8">
      <c r="B102" s="36">
        <v>44671</v>
      </c>
      <c r="C102" s="185">
        <v>3083.7</v>
      </c>
      <c r="D102" s="185">
        <f t="shared" si="5"/>
        <v>0.15732782886094945</v>
      </c>
      <c r="E102" s="185">
        <v>2.9512903548893143E-2</v>
      </c>
      <c r="F102" s="171"/>
      <c r="G102" s="171">
        <v>99</v>
      </c>
      <c r="H102" s="186">
        <f t="shared" ca="1" si="6"/>
        <v>-3.3947700998154647E-2</v>
      </c>
    </row>
    <row r="103" spans="2:8">
      <c r="B103" s="36">
        <v>44302</v>
      </c>
      <c r="C103" s="185">
        <v>2664.5</v>
      </c>
      <c r="D103" s="185">
        <f t="shared" si="5"/>
        <v>-0.16843517882778847</v>
      </c>
      <c r="E103" s="185">
        <v>2.9460059886023376E-2</v>
      </c>
      <c r="F103" s="171"/>
      <c r="G103" s="171">
        <v>100</v>
      </c>
      <c r="H103" s="186">
        <f t="shared" ca="1" si="6"/>
        <v>5.9449677358051085E-3</v>
      </c>
    </row>
    <row r="104" spans="2:8">
      <c r="B104" s="36">
        <v>44439</v>
      </c>
      <c r="C104" s="185">
        <v>3204.2</v>
      </c>
      <c r="D104" s="185">
        <f t="shared" si="5"/>
        <v>1.2296291141882958</v>
      </c>
      <c r="E104" s="185">
        <v>2.9412237161261217E-2</v>
      </c>
      <c r="F104" s="171"/>
      <c r="G104" s="171">
        <v>101</v>
      </c>
      <c r="H104" s="186">
        <f t="shared" ca="1" si="6"/>
        <v>1.4512744078720311E-2</v>
      </c>
    </row>
    <row r="105" spans="2:8">
      <c r="B105" s="36">
        <v>43304</v>
      </c>
      <c r="C105" s="185">
        <v>1437.1</v>
      </c>
      <c r="D105" s="185">
        <f t="shared" si="5"/>
        <v>-0.35909557151139465</v>
      </c>
      <c r="E105" s="185">
        <v>2.9330659313110925E-2</v>
      </c>
      <c r="F105" s="171"/>
      <c r="G105" s="171">
        <v>102</v>
      </c>
      <c r="H105" s="186">
        <f t="shared" ca="1" si="6"/>
        <v>2.8251561898110728E-3</v>
      </c>
    </row>
    <row r="106" spans="2:8">
      <c r="B106" s="36">
        <v>44140</v>
      </c>
      <c r="C106" s="185">
        <v>2242.3000000000002</v>
      </c>
      <c r="D106" s="185">
        <f t="shared" si="5"/>
        <v>7.5715023927746591E-3</v>
      </c>
      <c r="E106" s="185">
        <v>2.9097250906420711E-2</v>
      </c>
      <c r="F106" s="171"/>
      <c r="G106" s="171">
        <v>103</v>
      </c>
      <c r="H106" s="186">
        <f t="shared" ca="1" si="6"/>
        <v>-1.5613706358402341E-2</v>
      </c>
    </row>
    <row r="107" spans="2:8">
      <c r="B107" s="36">
        <v>44133</v>
      </c>
      <c r="C107" s="185">
        <v>2225.4499999999998</v>
      </c>
      <c r="D107" s="185">
        <f t="shared" si="5"/>
        <v>-0.21892110065983436</v>
      </c>
      <c r="E107" s="185">
        <v>2.9014657603921027E-2</v>
      </c>
      <c r="F107" s="171"/>
      <c r="G107" s="171">
        <v>104</v>
      </c>
      <c r="H107" s="186">
        <f t="shared" ca="1" si="6"/>
        <v>1.193501539402453E-2</v>
      </c>
    </row>
    <row r="108" spans="2:8">
      <c r="B108" s="36">
        <v>44985</v>
      </c>
      <c r="C108" s="185">
        <v>2849.2</v>
      </c>
      <c r="D108" s="185">
        <f t="shared" si="5"/>
        <v>0.85657967614765562</v>
      </c>
      <c r="E108" s="185">
        <v>2.9000686193072962E-2</v>
      </c>
      <c r="F108" s="171"/>
      <c r="G108" s="171">
        <v>105</v>
      </c>
      <c r="H108" s="186">
        <f t="shared" ca="1" si="6"/>
        <v>1.9747824935384833E-2</v>
      </c>
    </row>
    <row r="109" spans="2:8">
      <c r="B109" s="36">
        <v>43914</v>
      </c>
      <c r="C109" s="185">
        <v>1534.65</v>
      </c>
      <c r="D109" s="185">
        <f t="shared" si="5"/>
        <v>-0.57001162774407754</v>
      </c>
      <c r="E109" s="185">
        <v>2.8723689502614384E-2</v>
      </c>
      <c r="F109" s="171"/>
      <c r="G109" s="171">
        <v>106</v>
      </c>
      <c r="H109" s="186">
        <f t="shared" ca="1" si="6"/>
        <v>-4.1471036426259699E-3</v>
      </c>
    </row>
    <row r="110" spans="2:8">
      <c r="B110" s="36">
        <v>44832</v>
      </c>
      <c r="C110" s="185">
        <v>3569.05</v>
      </c>
      <c r="D110" s="185">
        <f t="shared" si="5"/>
        <v>0.70759772259700504</v>
      </c>
      <c r="E110" s="185">
        <v>2.8603954118392991E-2</v>
      </c>
      <c r="F110" s="171"/>
      <c r="G110" s="171">
        <v>107</v>
      </c>
      <c r="H110" s="186">
        <f t="shared" ca="1" si="6"/>
        <v>-1.7490106030260112E-2</v>
      </c>
    </row>
    <row r="111" spans="2:8">
      <c r="B111" s="36">
        <v>44110</v>
      </c>
      <c r="C111" s="185">
        <v>2090.1</v>
      </c>
      <c r="D111" s="185">
        <f t="shared" si="5"/>
        <v>1.4036570639986199</v>
      </c>
      <c r="E111" s="185">
        <v>2.8567210452498687E-2</v>
      </c>
      <c r="F111" s="171"/>
      <c r="G111" s="171">
        <v>108</v>
      </c>
      <c r="H111" s="186">
        <f t="shared" ca="1" si="6"/>
        <v>4.1666948672845301E-3</v>
      </c>
    </row>
    <row r="112" spans="2:8">
      <c r="B112" s="36">
        <v>42391</v>
      </c>
      <c r="C112" s="185">
        <v>869.55</v>
      </c>
      <c r="D112" s="185">
        <f t="shared" si="5"/>
        <v>-0.63539351754790563</v>
      </c>
      <c r="E112" s="185">
        <v>2.8383892141209864E-2</v>
      </c>
      <c r="F112" s="171"/>
      <c r="G112" s="171">
        <v>109</v>
      </c>
      <c r="H112" s="186">
        <f t="shared" ca="1" si="6"/>
        <v>-6.9794237840321675E-3</v>
      </c>
    </row>
    <row r="113" spans="2:8">
      <c r="B113" s="36">
        <v>45945</v>
      </c>
      <c r="C113" s="185">
        <v>2384.9</v>
      </c>
      <c r="D113" s="185">
        <f t="shared" si="5"/>
        <v>1.7059624439779886</v>
      </c>
      <c r="E113" s="185">
        <v>2.8328734046222954E-2</v>
      </c>
      <c r="F113" s="171"/>
      <c r="G113" s="171">
        <v>110</v>
      </c>
      <c r="H113" s="186">
        <f t="shared" ca="1" si="6"/>
        <v>-3.5079698674165445E-3</v>
      </c>
    </row>
    <row r="114" spans="2:8">
      <c r="B114" s="36">
        <v>42459</v>
      </c>
      <c r="C114" s="185">
        <v>881.35</v>
      </c>
      <c r="D114" s="185">
        <f t="shared" si="5"/>
        <v>-0.29333707504810774</v>
      </c>
      <c r="E114" s="185">
        <v>2.823309805751624E-2</v>
      </c>
      <c r="F114" s="171"/>
      <c r="G114" s="171">
        <v>111</v>
      </c>
      <c r="H114" s="186">
        <f t="shared" ca="1" si="6"/>
        <v>6.2233098592860006E-3</v>
      </c>
    </row>
    <row r="115" spans="2:8">
      <c r="B115" s="36">
        <v>43381</v>
      </c>
      <c r="C115" s="185">
        <v>1247.2</v>
      </c>
      <c r="D115" s="185">
        <f t="shared" si="5"/>
        <v>-0.56050461625202619</v>
      </c>
      <c r="E115" s="185">
        <v>2.8152178393306204E-2</v>
      </c>
      <c r="F115" s="171"/>
      <c r="G115" s="171">
        <v>112</v>
      </c>
      <c r="H115" s="186">
        <f t="shared" ca="1" si="6"/>
        <v>4.0908583638101306E-3</v>
      </c>
    </row>
    <row r="116" spans="2:8">
      <c r="B116" s="36">
        <v>45000</v>
      </c>
      <c r="C116" s="185">
        <v>2837.8</v>
      </c>
      <c r="D116" s="185">
        <f t="shared" si="5"/>
        <v>-0.13258241506319635</v>
      </c>
      <c r="E116" s="185">
        <v>2.7853236263537286E-2</v>
      </c>
      <c r="F116" s="171"/>
      <c r="G116" s="171">
        <v>113</v>
      </c>
      <c r="H116" s="186">
        <f t="shared" ca="1" si="6"/>
        <v>-7.4808541916549553E-3</v>
      </c>
    </row>
    <row r="117" spans="2:8">
      <c r="B117" s="36">
        <v>44770</v>
      </c>
      <c r="C117" s="185">
        <v>3271.55</v>
      </c>
      <c r="D117" s="185">
        <f t="shared" si="5"/>
        <v>0.42762698551230593</v>
      </c>
      <c r="E117" s="185">
        <v>2.7512994864869224E-2</v>
      </c>
      <c r="F117" s="171"/>
      <c r="G117" s="171">
        <v>114</v>
      </c>
      <c r="H117" s="186">
        <f t="shared" ca="1" si="6"/>
        <v>-2.7621804387788336E-2</v>
      </c>
    </row>
    <row r="118" spans="2:8">
      <c r="B118" s="36">
        <v>46091</v>
      </c>
      <c r="C118" s="185">
        <v>2291.6</v>
      </c>
      <c r="D118" s="185">
        <f t="shared" si="5"/>
        <v>-0.11481932132027735</v>
      </c>
      <c r="E118" s="185">
        <v>2.7439024390243819E-2</v>
      </c>
      <c r="F118" s="171"/>
      <c r="G118" s="171">
        <v>115</v>
      </c>
      <c r="H118" s="186">
        <f t="shared" ca="1" si="6"/>
        <v>-2.1723052097476003E-2</v>
      </c>
    </row>
    <row r="119" spans="2:8">
      <c r="B119" s="36">
        <v>44285</v>
      </c>
      <c r="C119" s="185">
        <v>2588.85</v>
      </c>
      <c r="D119" s="185">
        <f t="shared" si="5"/>
        <v>1.9031118587047939</v>
      </c>
      <c r="E119" s="185">
        <v>2.7423355491616196E-2</v>
      </c>
      <c r="F119" s="171"/>
      <c r="G119" s="171">
        <v>116</v>
      </c>
      <c r="H119" s="186">
        <f t="shared" ca="1" si="6"/>
        <v>1.7918468716521925E-2</v>
      </c>
    </row>
    <row r="120" spans="2:8">
      <c r="B120" s="36">
        <v>42404</v>
      </c>
      <c r="C120" s="185">
        <v>891.75</v>
      </c>
      <c r="D120" s="185">
        <f t="shared" si="5"/>
        <v>4.8315993651913268E-2</v>
      </c>
      <c r="E120" s="185">
        <v>2.7420934385621237E-2</v>
      </c>
      <c r="F120" s="171"/>
      <c r="G120" s="171">
        <v>117</v>
      </c>
      <c r="H120" s="186">
        <f t="shared" ca="1" si="6"/>
        <v>8.7495177798948987E-3</v>
      </c>
    </row>
    <row r="121" spans="2:8">
      <c r="B121" s="36">
        <v>42331</v>
      </c>
      <c r="C121" s="185">
        <v>850.65</v>
      </c>
      <c r="D121" s="185">
        <f t="shared" si="5"/>
        <v>0.17129087779690186</v>
      </c>
      <c r="E121" s="185">
        <v>2.7417114560057892E-2</v>
      </c>
      <c r="F121" s="171"/>
      <c r="G121" s="171">
        <v>118</v>
      </c>
      <c r="H121" s="186">
        <f t="shared" ca="1" si="6"/>
        <v>2.1917560699696654E-2</v>
      </c>
    </row>
    <row r="122" spans="2:8">
      <c r="B122" s="36">
        <v>42173</v>
      </c>
      <c r="C122" s="185">
        <v>726.25</v>
      </c>
      <c r="D122" s="185">
        <f t="shared" si="5"/>
        <v>-0.48296728722457555</v>
      </c>
      <c r="E122" s="185">
        <v>2.7227722772277228E-2</v>
      </c>
      <c r="F122" s="171"/>
      <c r="G122" s="171">
        <v>119</v>
      </c>
      <c r="H122" s="186">
        <f t="shared" ca="1" si="6"/>
        <v>1.543682881657295E-4</v>
      </c>
    </row>
    <row r="123" spans="2:8">
      <c r="B123" s="36">
        <v>43668</v>
      </c>
      <c r="C123" s="185">
        <v>1404.65</v>
      </c>
      <c r="D123" s="185">
        <f t="shared" si="5"/>
        <v>-0.39203168282548473</v>
      </c>
      <c r="E123" s="185">
        <v>2.7203919704559616E-2</v>
      </c>
      <c r="F123" s="171"/>
      <c r="G123" s="171">
        <v>120</v>
      </c>
      <c r="H123" s="186">
        <f t="shared" ca="1" si="6"/>
        <v>-1.5258863423926718E-2</v>
      </c>
    </row>
    <row r="124" spans="2:8">
      <c r="B124" s="36">
        <v>45688</v>
      </c>
      <c r="C124" s="185">
        <v>2310.4</v>
      </c>
      <c r="D124" s="185">
        <f t="shared" si="5"/>
        <v>-0.2561493882807469</v>
      </c>
      <c r="E124" s="185">
        <v>2.6912905304798181E-2</v>
      </c>
      <c r="F124" s="171"/>
      <c r="G124" s="171">
        <v>121</v>
      </c>
      <c r="H124" s="186">
        <f t="shared" ca="1" si="6"/>
        <v>3.1537197117867698E-2</v>
      </c>
    </row>
    <row r="125" spans="2:8">
      <c r="B125" s="36">
        <v>45504</v>
      </c>
      <c r="C125" s="185">
        <v>3106</v>
      </c>
      <c r="D125" s="185">
        <f t="shared" si="5"/>
        <v>2.8088980725147119E-3</v>
      </c>
      <c r="E125" s="185">
        <v>2.6895673879622405E-2</v>
      </c>
      <c r="F125" s="171"/>
      <c r="G125" s="171">
        <v>122</v>
      </c>
      <c r="H125" s="186">
        <f t="shared" ca="1" si="6"/>
        <v>-7.5902608262391333E-3</v>
      </c>
    </row>
    <row r="126" spans="2:8">
      <c r="B126" s="36">
        <v>44691</v>
      </c>
      <c r="C126" s="185">
        <v>3097.3</v>
      </c>
      <c r="D126" s="185">
        <f t="shared" si="5"/>
        <v>2.4195970190449905</v>
      </c>
      <c r="E126" s="185">
        <v>2.687111479486123E-2</v>
      </c>
      <c r="F126" s="171"/>
      <c r="G126" s="171">
        <v>123</v>
      </c>
      <c r="H126" s="186">
        <f t="shared" ca="1" si="6"/>
        <v>-1.0044500324573116E-2</v>
      </c>
    </row>
    <row r="127" spans="2:8">
      <c r="B127" s="36">
        <v>42374</v>
      </c>
      <c r="C127" s="185">
        <v>905.75</v>
      </c>
      <c r="D127" s="185">
        <f t="shared" si="5"/>
        <v>-0.31664717643064622</v>
      </c>
      <c r="E127" s="185">
        <v>2.6694627068691853E-2</v>
      </c>
      <c r="F127" s="171"/>
      <c r="G127" s="171">
        <v>124</v>
      </c>
      <c r="H127" s="186">
        <f t="shared" ca="1" si="6"/>
        <v>1.2370962465673523E-2</v>
      </c>
    </row>
    <row r="128" spans="2:8">
      <c r="B128" s="36">
        <v>43418</v>
      </c>
      <c r="C128" s="185">
        <v>1325.45</v>
      </c>
      <c r="D128" s="185">
        <f t="shared" si="5"/>
        <v>0.10573955118044548</v>
      </c>
      <c r="E128" s="185">
        <v>2.6644978893149058E-2</v>
      </c>
      <c r="F128" s="171"/>
      <c r="G128" s="171">
        <v>125</v>
      </c>
      <c r="H128" s="186">
        <f t="shared" ca="1" si="6"/>
        <v>-2.9321205505407474E-3</v>
      </c>
    </row>
    <row r="129" spans="2:8">
      <c r="B129" s="36">
        <v>42646</v>
      </c>
      <c r="C129" s="185">
        <v>1198.7</v>
      </c>
      <c r="D129" s="185">
        <f t="shared" si="5"/>
        <v>0.17779415377057239</v>
      </c>
      <c r="E129" s="185">
        <v>2.6460010275732224E-2</v>
      </c>
      <c r="F129" s="171"/>
      <c r="G129" s="171">
        <v>126</v>
      </c>
      <c r="H129" s="186">
        <f t="shared" ca="1" si="6"/>
        <v>4.0077603951298675E-2</v>
      </c>
    </row>
    <row r="130" spans="2:8">
      <c r="B130" s="36">
        <v>42788</v>
      </c>
      <c r="C130" s="185">
        <v>1017.75</v>
      </c>
      <c r="D130" s="185">
        <f t="shared" si="5"/>
        <v>-0.25455943748626675</v>
      </c>
      <c r="E130" s="185">
        <v>2.6371520774505827E-2</v>
      </c>
      <c r="F130" s="171"/>
      <c r="G130" s="171">
        <v>127</v>
      </c>
      <c r="H130" s="186">
        <f t="shared" ca="1" si="6"/>
        <v>-2.3964828106671731E-2</v>
      </c>
    </row>
    <row r="131" spans="2:8">
      <c r="B131" s="36">
        <v>43290</v>
      </c>
      <c r="C131" s="185">
        <v>1365.3</v>
      </c>
      <c r="D131" s="185">
        <f t="shared" si="5"/>
        <v>-0.59460783585967314</v>
      </c>
      <c r="E131" s="185">
        <v>2.6194144838212564E-2</v>
      </c>
      <c r="F131" s="171"/>
      <c r="G131" s="171">
        <v>128</v>
      </c>
      <c r="H131" s="186">
        <f t="shared" ca="1" si="6"/>
        <v>-1.2750011675456644E-3</v>
      </c>
    </row>
    <row r="132" spans="2:8">
      <c r="B132" s="36">
        <v>44558</v>
      </c>
      <c r="C132" s="185">
        <v>3367.85</v>
      </c>
      <c r="D132" s="185">
        <f t="shared" ref="D132:D195" si="7">(C132-C133)/C133</f>
        <v>1.6848294005102038</v>
      </c>
      <c r="E132" s="185">
        <v>2.6189097778725683E-2</v>
      </c>
      <c r="F132" s="171"/>
      <c r="G132" s="171">
        <v>129</v>
      </c>
      <c r="H132" s="186">
        <f t="shared" ca="1" si="6"/>
        <v>1.7077203235632336E-2</v>
      </c>
    </row>
    <row r="133" spans="2:8">
      <c r="B133" s="36">
        <v>43406</v>
      </c>
      <c r="C133" s="185">
        <v>1254.4000000000001</v>
      </c>
      <c r="D133" s="185">
        <f t="shared" si="7"/>
        <v>0.52928985065528811</v>
      </c>
      <c r="E133" s="185">
        <v>2.6178010471204185E-2</v>
      </c>
      <c r="F133" s="171"/>
      <c r="G133" s="171">
        <v>130</v>
      </c>
      <c r="H133" s="186">
        <f t="shared" ref="H133:H196" ca="1" si="8">_xlfn.NORM.INV(RAND(),N$6,N$7)</f>
        <v>3.6141119832450216E-3</v>
      </c>
    </row>
    <row r="134" spans="2:8">
      <c r="B134" s="36">
        <v>42198</v>
      </c>
      <c r="C134" s="185">
        <v>820.25</v>
      </c>
      <c r="D134" s="185">
        <f t="shared" si="7"/>
        <v>-0.39128014842300557</v>
      </c>
      <c r="E134" s="185">
        <v>2.5953721075672294E-2</v>
      </c>
      <c r="F134" s="171"/>
      <c r="G134" s="171">
        <v>131</v>
      </c>
      <c r="H134" s="186">
        <f t="shared" ca="1" si="8"/>
        <v>-2.6903057640483761E-2</v>
      </c>
    </row>
    <row r="135" spans="2:8">
      <c r="B135" s="36">
        <v>43430</v>
      </c>
      <c r="C135" s="185">
        <v>1347.5</v>
      </c>
      <c r="D135" s="185">
        <f t="shared" si="7"/>
        <v>-0.2725849550595158</v>
      </c>
      <c r="E135" s="185">
        <v>2.5924093037420499E-2</v>
      </c>
      <c r="F135" s="171"/>
      <c r="G135" s="171">
        <v>132</v>
      </c>
      <c r="H135" s="186">
        <f t="shared" ca="1" si="8"/>
        <v>2.8557375483332068E-2</v>
      </c>
    </row>
    <row r="136" spans="2:8">
      <c r="B136" s="36">
        <v>43894</v>
      </c>
      <c r="C136" s="185">
        <v>1852.45</v>
      </c>
      <c r="D136" s="185">
        <f t="shared" si="7"/>
        <v>-0.33096773028513637</v>
      </c>
      <c r="E136" s="185">
        <v>2.5918644255531222E-2</v>
      </c>
      <c r="F136" s="171"/>
      <c r="G136" s="171">
        <v>133</v>
      </c>
      <c r="H136" s="186">
        <f t="shared" ca="1" si="8"/>
        <v>1.8922367433619611E-2</v>
      </c>
    </row>
    <row r="137" spans="2:8">
      <c r="B137" s="36">
        <v>45422</v>
      </c>
      <c r="C137" s="185">
        <v>2768.85</v>
      </c>
      <c r="D137" s="185">
        <f t="shared" si="7"/>
        <v>0.17326638276234671</v>
      </c>
      <c r="E137" s="185">
        <v>2.578494026118363E-2</v>
      </c>
      <c r="F137" s="171"/>
      <c r="G137" s="171">
        <v>134</v>
      </c>
      <c r="H137" s="186">
        <f t="shared" ca="1" si="8"/>
        <v>8.0223881587456122E-3</v>
      </c>
    </row>
    <row r="138" spans="2:8">
      <c r="B138" s="36">
        <v>45692</v>
      </c>
      <c r="C138" s="185">
        <v>2359.9499999999998</v>
      </c>
      <c r="D138" s="185">
        <f t="shared" si="7"/>
        <v>1.6382895472330909</v>
      </c>
      <c r="E138" s="185">
        <v>2.5530158178341738E-2</v>
      </c>
      <c r="F138" s="171"/>
      <c r="G138" s="171">
        <v>135</v>
      </c>
      <c r="H138" s="186">
        <f t="shared" ca="1" si="8"/>
        <v>-5.9684129772305519E-3</v>
      </c>
    </row>
    <row r="139" spans="2:8">
      <c r="B139" s="36">
        <v>42383</v>
      </c>
      <c r="C139" s="185">
        <v>894.5</v>
      </c>
      <c r="D139" s="185">
        <f t="shared" si="7"/>
        <v>2.3689631494621249E-2</v>
      </c>
      <c r="E139" s="185">
        <v>2.5508741759816565E-2</v>
      </c>
      <c r="F139" s="171"/>
      <c r="G139" s="171">
        <v>136</v>
      </c>
      <c r="H139" s="186">
        <f t="shared" ca="1" si="8"/>
        <v>-4.4458918259653235E-3</v>
      </c>
    </row>
    <row r="140" spans="2:8">
      <c r="B140" s="36">
        <v>42430</v>
      </c>
      <c r="C140" s="185">
        <v>873.8</v>
      </c>
      <c r="D140" s="185">
        <f t="shared" si="7"/>
        <v>-0.45630463864605053</v>
      </c>
      <c r="E140" s="185">
        <v>2.5165718308206641E-2</v>
      </c>
      <c r="F140" s="171"/>
      <c r="G140" s="171">
        <v>137</v>
      </c>
      <c r="H140" s="186">
        <f t="shared" ca="1" si="8"/>
        <v>-5.642599699352999E-3</v>
      </c>
    </row>
    <row r="141" spans="2:8">
      <c r="B141" s="36">
        <v>43973</v>
      </c>
      <c r="C141" s="185">
        <v>1607.15</v>
      </c>
      <c r="D141" s="185">
        <f t="shared" si="7"/>
        <v>-0.44720187115192789</v>
      </c>
      <c r="E141" s="185">
        <v>2.5033484278334076E-2</v>
      </c>
      <c r="F141" s="171"/>
      <c r="G141" s="171">
        <v>138</v>
      </c>
      <c r="H141" s="186">
        <f t="shared" ca="1" si="8"/>
        <v>1.318877619707195E-2</v>
      </c>
    </row>
    <row r="142" spans="2:8">
      <c r="B142" s="36">
        <v>46034</v>
      </c>
      <c r="C142" s="185">
        <v>2907.3</v>
      </c>
      <c r="D142" s="185">
        <f t="shared" si="7"/>
        <v>2.8382731533434553</v>
      </c>
      <c r="E142" s="185">
        <v>2.4924205034195967E-2</v>
      </c>
      <c r="F142" s="171"/>
      <c r="G142" s="171">
        <v>139</v>
      </c>
      <c r="H142" s="186">
        <f t="shared" ca="1" si="8"/>
        <v>-1.542049765765794E-2</v>
      </c>
    </row>
    <row r="143" spans="2:8">
      <c r="B143" s="36">
        <v>42185</v>
      </c>
      <c r="C143" s="185">
        <v>757.45</v>
      </c>
      <c r="D143" s="185">
        <f t="shared" si="7"/>
        <v>-0.38501197580481467</v>
      </c>
      <c r="E143" s="185">
        <v>2.4896827007645075E-2</v>
      </c>
      <c r="F143" s="171"/>
      <c r="G143" s="171">
        <v>140</v>
      </c>
      <c r="H143" s="186">
        <f t="shared" ca="1" si="8"/>
        <v>-6.6250058139084734E-3</v>
      </c>
    </row>
    <row r="144" spans="2:8">
      <c r="B144" s="36">
        <v>43404</v>
      </c>
      <c r="C144" s="185">
        <v>1231.6500000000001</v>
      </c>
      <c r="D144" s="185">
        <f t="shared" si="7"/>
        <v>-0.61316917665164339</v>
      </c>
      <c r="E144" s="185">
        <v>2.470984649943845E-2</v>
      </c>
      <c r="F144" s="171"/>
      <c r="G144" s="171">
        <v>141</v>
      </c>
      <c r="H144" s="186">
        <f t="shared" ca="1" si="8"/>
        <v>2.5248265725333046E-2</v>
      </c>
    </row>
    <row r="145" spans="2:8">
      <c r="B145" s="36">
        <v>44769</v>
      </c>
      <c r="C145" s="185">
        <v>3183.95</v>
      </c>
      <c r="D145" s="185">
        <f t="shared" si="7"/>
        <v>-7.4634890648841143E-2</v>
      </c>
      <c r="E145" s="185">
        <v>2.4667717954494135E-2</v>
      </c>
      <c r="F145" s="171"/>
      <c r="G145" s="171">
        <v>142</v>
      </c>
      <c r="H145" s="186">
        <f t="shared" ca="1" si="8"/>
        <v>1.9209442399552776E-2</v>
      </c>
    </row>
    <row r="146" spans="2:8">
      <c r="B146" s="36">
        <v>44826</v>
      </c>
      <c r="C146" s="185">
        <v>3440.75</v>
      </c>
      <c r="D146" s="185">
        <f t="shared" si="7"/>
        <v>1.5940515681544027</v>
      </c>
      <c r="E146" s="185">
        <v>2.4459596260346602E-2</v>
      </c>
      <c r="F146" s="171"/>
      <c r="G146" s="171">
        <v>143</v>
      </c>
      <c r="H146" s="186">
        <f t="shared" ca="1" si="8"/>
        <v>-2.1438669081342045E-2</v>
      </c>
    </row>
    <row r="147" spans="2:8">
      <c r="B147" s="36">
        <v>43286</v>
      </c>
      <c r="C147" s="185">
        <v>1326.4</v>
      </c>
      <c r="D147" s="185">
        <f t="shared" si="7"/>
        <v>-0.25142502398555222</v>
      </c>
      <c r="E147" s="185">
        <v>2.4444873527708123E-2</v>
      </c>
      <c r="F147" s="171"/>
      <c r="G147" s="171">
        <v>144</v>
      </c>
      <c r="H147" s="186">
        <f t="shared" ca="1" si="8"/>
        <v>-9.5416490856614009E-3</v>
      </c>
    </row>
    <row r="148" spans="2:8">
      <c r="B148" s="36">
        <v>43747</v>
      </c>
      <c r="C148" s="185">
        <v>1771.9</v>
      </c>
      <c r="D148" s="185">
        <f t="shared" si="7"/>
        <v>-0.43140904277508585</v>
      </c>
      <c r="E148" s="185">
        <v>2.4338073765753344E-2</v>
      </c>
      <c r="F148" s="171"/>
      <c r="G148" s="171">
        <v>145</v>
      </c>
      <c r="H148" s="186">
        <f t="shared" ca="1" si="8"/>
        <v>4.0120719600224347E-3</v>
      </c>
    </row>
    <row r="149" spans="2:8">
      <c r="B149" s="36">
        <v>44701</v>
      </c>
      <c r="C149" s="185">
        <v>3116.3</v>
      </c>
      <c r="D149" s="185">
        <f t="shared" si="7"/>
        <v>0.19682771334203855</v>
      </c>
      <c r="E149" s="185">
        <v>2.4239535915597112E-2</v>
      </c>
      <c r="F149" s="171"/>
      <c r="G149" s="171">
        <v>146</v>
      </c>
      <c r="H149" s="186">
        <f t="shared" ca="1" si="8"/>
        <v>3.2582260067288943E-3</v>
      </c>
    </row>
    <row r="150" spans="2:8">
      <c r="B150" s="36">
        <v>46150</v>
      </c>
      <c r="C150" s="185">
        <v>2603.8000000000002</v>
      </c>
      <c r="D150" s="185">
        <f t="shared" si="7"/>
        <v>0.27609105834497299</v>
      </c>
      <c r="E150" s="185">
        <v>2.4230981040044203E-2</v>
      </c>
      <c r="F150" s="171"/>
      <c r="G150" s="171">
        <v>147</v>
      </c>
      <c r="H150" s="186">
        <f t="shared" ca="1" si="8"/>
        <v>-7.1687826828872097E-3</v>
      </c>
    </row>
    <row r="151" spans="2:8">
      <c r="B151" s="36">
        <v>44105</v>
      </c>
      <c r="C151" s="185">
        <v>2040.45</v>
      </c>
      <c r="D151" s="185">
        <f t="shared" si="7"/>
        <v>1.2685530046139306</v>
      </c>
      <c r="E151" s="185">
        <v>2.4142344467588596E-2</v>
      </c>
      <c r="F151" s="171"/>
      <c r="G151" s="171">
        <v>148</v>
      </c>
      <c r="H151" s="186">
        <f t="shared" ca="1" si="8"/>
        <v>-2.2489025756587584E-2</v>
      </c>
    </row>
    <row r="152" spans="2:8">
      <c r="B152" s="36">
        <v>42230</v>
      </c>
      <c r="C152" s="185">
        <v>899.45</v>
      </c>
      <c r="D152" s="185">
        <f t="shared" si="7"/>
        <v>-0.26226213910761154</v>
      </c>
      <c r="E152" s="185">
        <v>2.4138912610304635E-2</v>
      </c>
      <c r="F152" s="171"/>
      <c r="G152" s="171">
        <v>149</v>
      </c>
      <c r="H152" s="186">
        <f t="shared" ca="1" si="8"/>
        <v>7.245920618207809E-3</v>
      </c>
    </row>
    <row r="153" spans="2:8">
      <c r="B153" s="36">
        <v>42653</v>
      </c>
      <c r="C153" s="185">
        <v>1219.2</v>
      </c>
      <c r="D153" s="185">
        <f t="shared" si="7"/>
        <v>-0.48389281632307501</v>
      </c>
      <c r="E153" s="185">
        <v>2.4064508000504047E-2</v>
      </c>
      <c r="F153" s="171"/>
      <c r="G153" s="171">
        <v>150</v>
      </c>
      <c r="H153" s="186">
        <f t="shared" ca="1" si="8"/>
        <v>-2.7557193469050657E-3</v>
      </c>
    </row>
    <row r="154" spans="2:8">
      <c r="B154" s="36">
        <v>45789</v>
      </c>
      <c r="C154" s="185">
        <v>2362.3000000000002</v>
      </c>
      <c r="D154" s="185">
        <f t="shared" si="7"/>
        <v>1.0070518266779951</v>
      </c>
      <c r="E154" s="185">
        <v>2.4059302930466445E-2</v>
      </c>
      <c r="F154" s="171"/>
      <c r="G154" s="171">
        <v>151</v>
      </c>
      <c r="H154" s="186">
        <f t="shared" ca="1" si="8"/>
        <v>9.2763900482913213E-3</v>
      </c>
    </row>
    <row r="155" spans="2:8">
      <c r="B155" s="36">
        <v>43047</v>
      </c>
      <c r="C155" s="185">
        <v>1177</v>
      </c>
      <c r="D155" s="185">
        <f t="shared" si="7"/>
        <v>-0.63686289028754783</v>
      </c>
      <c r="E155" s="185">
        <v>2.4012528275621982E-2</v>
      </c>
      <c r="F155" s="171"/>
      <c r="G155" s="171">
        <v>152</v>
      </c>
      <c r="H155" s="186">
        <f t="shared" ca="1" si="8"/>
        <v>2.2452468059251444E-2</v>
      </c>
    </row>
    <row r="156" spans="2:8">
      <c r="B156" s="36">
        <v>45539</v>
      </c>
      <c r="C156" s="185">
        <v>3241.2</v>
      </c>
      <c r="D156" s="185">
        <f t="shared" si="7"/>
        <v>2.4806701030927836</v>
      </c>
      <c r="E156" s="185">
        <v>2.3914073606065334E-2</v>
      </c>
      <c r="F156" s="171"/>
      <c r="G156" s="171">
        <v>153</v>
      </c>
      <c r="H156" s="186">
        <f t="shared" ca="1" si="8"/>
        <v>-1.1651223160931616E-2</v>
      </c>
    </row>
    <row r="157" spans="2:8">
      <c r="B157" s="36">
        <v>42502</v>
      </c>
      <c r="C157" s="185">
        <v>931.2</v>
      </c>
      <c r="D157" s="185">
        <f t="shared" si="7"/>
        <v>-0.56185009175175271</v>
      </c>
      <c r="E157" s="185">
        <v>2.3802979495354946E-2</v>
      </c>
      <c r="F157" s="171"/>
      <c r="G157" s="171">
        <v>154</v>
      </c>
      <c r="H157" s="186">
        <f t="shared" ca="1" si="8"/>
        <v>2.334819799092358E-2</v>
      </c>
    </row>
    <row r="158" spans="2:8">
      <c r="B158" s="36">
        <v>44124</v>
      </c>
      <c r="C158" s="185">
        <v>2125.3000000000002</v>
      </c>
      <c r="D158" s="185">
        <f t="shared" si="7"/>
        <v>-0.33459611772072628</v>
      </c>
      <c r="E158" s="185">
        <v>2.3772248849924307E-2</v>
      </c>
      <c r="F158" s="171"/>
      <c r="G158" s="171">
        <v>155</v>
      </c>
      <c r="H158" s="186">
        <f t="shared" ca="1" si="8"/>
        <v>9.2599694662008226E-3</v>
      </c>
    </row>
    <row r="159" spans="2:8">
      <c r="B159" s="36">
        <v>45261</v>
      </c>
      <c r="C159" s="185">
        <v>3194</v>
      </c>
      <c r="D159" s="185">
        <f t="shared" si="7"/>
        <v>0.93329701591913328</v>
      </c>
      <c r="E159" s="185">
        <v>2.3750761242347481E-2</v>
      </c>
      <c r="F159" s="171"/>
      <c r="G159" s="171">
        <v>156</v>
      </c>
      <c r="H159" s="186">
        <f t="shared" ca="1" si="8"/>
        <v>-7.0054269761494628E-3</v>
      </c>
    </row>
    <row r="160" spans="2:8">
      <c r="B160" s="36">
        <v>43930</v>
      </c>
      <c r="C160" s="185">
        <v>1652.1</v>
      </c>
      <c r="D160" s="185">
        <f t="shared" si="7"/>
        <v>0.50457629433996631</v>
      </c>
      <c r="E160" s="185">
        <v>2.3732804560664244E-2</v>
      </c>
      <c r="F160" s="171"/>
      <c r="G160" s="171">
        <v>157</v>
      </c>
      <c r="H160" s="186">
        <f t="shared" ca="1" si="8"/>
        <v>1.3410215145160605E-2</v>
      </c>
    </row>
    <row r="161" spans="2:8">
      <c r="B161" s="36">
        <v>42850</v>
      </c>
      <c r="C161" s="185">
        <v>1098.05</v>
      </c>
      <c r="D161" s="185">
        <f t="shared" si="7"/>
        <v>-0.2909859882482082</v>
      </c>
      <c r="E161" s="185">
        <v>2.3727391385418652E-2</v>
      </c>
      <c r="F161" s="171"/>
      <c r="G161" s="171">
        <v>158</v>
      </c>
      <c r="H161" s="186">
        <f t="shared" ca="1" si="8"/>
        <v>9.5142843201721713E-3</v>
      </c>
    </row>
    <row r="162" spans="2:8">
      <c r="B162" s="36">
        <v>43679</v>
      </c>
      <c r="C162" s="185">
        <v>1548.7</v>
      </c>
      <c r="D162" s="185">
        <f t="shared" si="7"/>
        <v>-1.3472624773067404E-2</v>
      </c>
      <c r="E162" s="185">
        <v>2.3696995736523872E-2</v>
      </c>
      <c r="F162" s="171"/>
      <c r="G162" s="171">
        <v>159</v>
      </c>
      <c r="H162" s="186">
        <f t="shared" ca="1" si="8"/>
        <v>6.724097230726353E-3</v>
      </c>
    </row>
    <row r="163" spans="2:8">
      <c r="B163" s="36">
        <v>43683</v>
      </c>
      <c r="C163" s="185">
        <v>1569.85</v>
      </c>
      <c r="D163" s="185">
        <f t="shared" si="7"/>
        <v>-0.5026848082619233</v>
      </c>
      <c r="E163" s="185">
        <v>2.3670568289263446E-2</v>
      </c>
      <c r="F163" s="171"/>
      <c r="G163" s="171">
        <v>160</v>
      </c>
      <c r="H163" s="186">
        <f t="shared" ca="1" si="8"/>
        <v>2.9188330160796954E-2</v>
      </c>
    </row>
    <row r="164" spans="2:8">
      <c r="B164" s="36">
        <v>44672</v>
      </c>
      <c r="C164" s="185">
        <v>3156.65</v>
      </c>
      <c r="D164" s="185">
        <f t="shared" si="7"/>
        <v>0.39182098765432105</v>
      </c>
      <c r="E164" s="185">
        <v>2.3656646236663838E-2</v>
      </c>
      <c r="F164" s="171"/>
      <c r="G164" s="171">
        <v>161</v>
      </c>
      <c r="H164" s="186">
        <f t="shared" ca="1" si="8"/>
        <v>1.3519516690987356E-2</v>
      </c>
    </row>
    <row r="165" spans="2:8">
      <c r="B165" s="36">
        <v>46106</v>
      </c>
      <c r="C165" s="185">
        <v>2268</v>
      </c>
      <c r="D165" s="185">
        <f t="shared" si="7"/>
        <v>0.93251533742331305</v>
      </c>
      <c r="E165" s="185">
        <v>2.3650478425708655E-2</v>
      </c>
      <c r="F165" s="171"/>
      <c r="G165" s="171">
        <v>162</v>
      </c>
      <c r="H165" s="186">
        <f t="shared" ca="1" si="8"/>
        <v>3.965584943276603E-3</v>
      </c>
    </row>
    <row r="166" spans="2:8">
      <c r="B166" s="36">
        <v>43104</v>
      </c>
      <c r="C166" s="185">
        <v>1173.5999999999999</v>
      </c>
      <c r="D166" s="185">
        <f t="shared" si="7"/>
        <v>-0.60481522013637512</v>
      </c>
      <c r="E166" s="185">
        <v>2.3592516680476173E-2</v>
      </c>
      <c r="F166" s="171"/>
      <c r="G166" s="171">
        <v>163</v>
      </c>
      <c r="H166" s="186">
        <f t="shared" ca="1" si="8"/>
        <v>-1.5303940268831792E-2</v>
      </c>
    </row>
    <row r="167" spans="2:8">
      <c r="B167" s="36">
        <v>45499</v>
      </c>
      <c r="C167" s="185">
        <v>2969.75</v>
      </c>
      <c r="D167" s="185">
        <f t="shared" si="7"/>
        <v>0.30355104907383035</v>
      </c>
      <c r="E167" s="185">
        <v>2.355759288619284E-2</v>
      </c>
      <c r="F167" s="171"/>
      <c r="G167" s="171">
        <v>164</v>
      </c>
      <c r="H167" s="186">
        <f t="shared" ca="1" si="8"/>
        <v>2.5888126451798908E-2</v>
      </c>
    </row>
    <row r="168" spans="2:8">
      <c r="B168" s="36">
        <v>45734</v>
      </c>
      <c r="C168" s="185">
        <v>2278.1999999999998</v>
      </c>
      <c r="D168" s="185">
        <f t="shared" si="7"/>
        <v>0.59929799929799921</v>
      </c>
      <c r="E168" s="185">
        <v>2.3519105060987897E-2</v>
      </c>
      <c r="F168" s="171"/>
      <c r="G168" s="171">
        <v>165</v>
      </c>
      <c r="H168" s="186">
        <f t="shared" ca="1" si="8"/>
        <v>-2.1222357816163585E-3</v>
      </c>
    </row>
    <row r="169" spans="2:8">
      <c r="B169" s="36">
        <v>43535</v>
      </c>
      <c r="C169" s="185">
        <v>1424.5</v>
      </c>
      <c r="D169" s="185">
        <f t="shared" si="7"/>
        <v>-0.44972379959052805</v>
      </c>
      <c r="E169" s="185">
        <v>2.3494754993533588E-2</v>
      </c>
      <c r="F169" s="171"/>
      <c r="G169" s="171">
        <v>166</v>
      </c>
      <c r="H169" s="186">
        <f t="shared" ca="1" si="8"/>
        <v>-2.4972186958007944E-2</v>
      </c>
    </row>
    <row r="170" spans="2:8">
      <c r="B170" s="36">
        <v>45887</v>
      </c>
      <c r="C170" s="185">
        <v>2588.6999999999998</v>
      </c>
      <c r="D170" s="185">
        <f t="shared" si="7"/>
        <v>1.696000833159758</v>
      </c>
      <c r="E170" s="185">
        <v>2.3444295089744493E-2</v>
      </c>
      <c r="F170" s="171"/>
      <c r="G170" s="171">
        <v>167</v>
      </c>
      <c r="H170" s="186">
        <f t="shared" ca="1" si="8"/>
        <v>-1.1267057727194114E-3</v>
      </c>
    </row>
    <row r="171" spans="2:8">
      <c r="B171" s="36">
        <v>42752</v>
      </c>
      <c r="C171" s="185">
        <v>960.2</v>
      </c>
      <c r="D171" s="185">
        <f t="shared" si="7"/>
        <v>-0.69198691217039832</v>
      </c>
      <c r="E171" s="185">
        <v>2.3340083129063296E-2</v>
      </c>
      <c r="F171" s="171"/>
      <c r="G171" s="171">
        <v>168</v>
      </c>
      <c r="H171" s="186">
        <f t="shared" ca="1" si="8"/>
        <v>2.5334314491929036E-2</v>
      </c>
    </row>
    <row r="172" spans="2:8">
      <c r="B172" s="36">
        <v>44538</v>
      </c>
      <c r="C172" s="185">
        <v>3117.4</v>
      </c>
      <c r="D172" s="185">
        <f t="shared" si="7"/>
        <v>2.0255738341340326</v>
      </c>
      <c r="E172" s="185">
        <v>2.3306197478991597E-2</v>
      </c>
      <c r="F172" s="171"/>
      <c r="G172" s="171">
        <v>169</v>
      </c>
      <c r="H172" s="186">
        <f t="shared" ca="1" si="8"/>
        <v>1.0468676338703433E-2</v>
      </c>
    </row>
    <row r="173" spans="2:8">
      <c r="B173" s="36">
        <v>42794</v>
      </c>
      <c r="C173" s="185">
        <v>1030.3499999999999</v>
      </c>
      <c r="D173" s="185">
        <f t="shared" si="7"/>
        <v>5.1002193094302935E-2</v>
      </c>
      <c r="E173" s="185">
        <v>2.3238492477282748E-2</v>
      </c>
      <c r="F173" s="171"/>
      <c r="G173" s="171">
        <v>170</v>
      </c>
      <c r="H173" s="186">
        <f t="shared" ca="1" si="8"/>
        <v>-7.1561811317489392E-3</v>
      </c>
    </row>
    <row r="174" spans="2:8">
      <c r="B174" s="36">
        <v>42515</v>
      </c>
      <c r="C174" s="185">
        <v>980.35</v>
      </c>
      <c r="D174" s="185">
        <f t="shared" si="7"/>
        <v>-0.24492625255131506</v>
      </c>
      <c r="E174" s="185">
        <v>2.3223045611105313E-2</v>
      </c>
      <c r="F174" s="171"/>
      <c r="G174" s="171">
        <v>171</v>
      </c>
      <c r="H174" s="186">
        <f t="shared" ca="1" si="8"/>
        <v>-1.7490131225196454E-2</v>
      </c>
    </row>
    <row r="175" spans="2:8">
      <c r="B175" s="36">
        <v>43283</v>
      </c>
      <c r="C175" s="185">
        <v>1298.3499999999999</v>
      </c>
      <c r="D175" s="185">
        <f t="shared" si="7"/>
        <v>-0.51932545999777868</v>
      </c>
      <c r="E175" s="185">
        <v>2.3209078729608177E-2</v>
      </c>
      <c r="F175" s="171"/>
      <c r="G175" s="171">
        <v>172</v>
      </c>
      <c r="H175" s="186">
        <f t="shared" ca="1" si="8"/>
        <v>-3.4668671673567068E-3</v>
      </c>
    </row>
    <row r="176" spans="2:8">
      <c r="B176" s="36">
        <v>46182</v>
      </c>
      <c r="C176" s="185">
        <v>2701.1</v>
      </c>
      <c r="D176" s="185">
        <f t="shared" si="7"/>
        <v>-0.17875982426536546</v>
      </c>
      <c r="E176" s="185">
        <v>2.3105185409643576E-2</v>
      </c>
      <c r="F176" s="171"/>
      <c r="G176" s="171">
        <v>173</v>
      </c>
      <c r="H176" s="186">
        <f t="shared" ca="1" si="8"/>
        <v>1.2817615677070916E-2</v>
      </c>
    </row>
    <row r="177" spans="2:8">
      <c r="B177" s="36">
        <v>44476</v>
      </c>
      <c r="C177" s="185">
        <v>3289.05</v>
      </c>
      <c r="D177" s="185">
        <f t="shared" si="7"/>
        <v>0.23739207313632171</v>
      </c>
      <c r="E177" s="185">
        <v>2.2873581091587679E-2</v>
      </c>
      <c r="F177" s="171"/>
      <c r="G177" s="171">
        <v>174</v>
      </c>
      <c r="H177" s="186">
        <f t="shared" ca="1" si="8"/>
        <v>-5.1958719042476736E-3</v>
      </c>
    </row>
    <row r="178" spans="2:8">
      <c r="B178" s="36">
        <v>44215</v>
      </c>
      <c r="C178" s="185">
        <v>2658.05</v>
      </c>
      <c r="D178" s="185">
        <f t="shared" si="7"/>
        <v>1.9838908845981145</v>
      </c>
      <c r="E178" s="185">
        <v>2.2759629073838966E-2</v>
      </c>
      <c r="F178" s="171"/>
      <c r="G178" s="171">
        <v>175</v>
      </c>
      <c r="H178" s="186">
        <f t="shared" ca="1" si="8"/>
        <v>1.8528821001950049E-2</v>
      </c>
    </row>
    <row r="179" spans="2:8">
      <c r="B179" s="36">
        <v>42496</v>
      </c>
      <c r="C179" s="185">
        <v>890.8</v>
      </c>
      <c r="D179" s="185">
        <f t="shared" si="7"/>
        <v>-0.74628311022500704</v>
      </c>
      <c r="E179" s="185">
        <v>2.2732491389207753E-2</v>
      </c>
      <c r="F179" s="171"/>
      <c r="G179" s="171">
        <v>176</v>
      </c>
      <c r="H179" s="186">
        <f t="shared" ca="1" si="8"/>
        <v>-2.577141974932156E-2</v>
      </c>
    </row>
    <row r="180" spans="2:8">
      <c r="B180" s="36">
        <v>44789</v>
      </c>
      <c r="C180" s="185">
        <v>3511</v>
      </c>
      <c r="D180" s="185">
        <f t="shared" si="7"/>
        <v>3.0641277925685841</v>
      </c>
      <c r="E180" s="185">
        <v>2.2616395066043397E-2</v>
      </c>
      <c r="F180" s="171"/>
      <c r="G180" s="171">
        <v>177</v>
      </c>
      <c r="H180" s="186">
        <f t="shared" ca="1" si="8"/>
        <v>2.8797905873259935E-3</v>
      </c>
    </row>
    <row r="181" spans="2:8">
      <c r="B181" s="36">
        <v>42348</v>
      </c>
      <c r="C181" s="185">
        <v>863.9</v>
      </c>
      <c r="D181" s="185">
        <f t="shared" si="7"/>
        <v>-0.71054747704885068</v>
      </c>
      <c r="E181" s="185">
        <v>2.2245888060584491E-2</v>
      </c>
      <c r="F181" s="171"/>
      <c r="G181" s="171">
        <v>178</v>
      </c>
      <c r="H181" s="186">
        <f t="shared" ca="1" si="8"/>
        <v>1.4481550095256729E-2</v>
      </c>
    </row>
    <row r="182" spans="2:8">
      <c r="B182" s="36">
        <v>44495</v>
      </c>
      <c r="C182" s="185">
        <v>2984.6</v>
      </c>
      <c r="D182" s="185">
        <f t="shared" si="7"/>
        <v>-0.1075294539800251</v>
      </c>
      <c r="E182" s="185">
        <v>2.2245817135615506E-2</v>
      </c>
      <c r="F182" s="171"/>
      <c r="G182" s="171">
        <v>179</v>
      </c>
      <c r="H182" s="186">
        <f t="shared" ca="1" si="8"/>
        <v>8.8413127331247818E-3</v>
      </c>
    </row>
    <row r="183" spans="2:8">
      <c r="B183" s="36">
        <v>44771</v>
      </c>
      <c r="C183" s="185">
        <v>3344.2</v>
      </c>
      <c r="D183" s="185">
        <f t="shared" si="7"/>
        <v>0.15285438499724199</v>
      </c>
      <c r="E183" s="185">
        <v>2.2206599318365799E-2</v>
      </c>
      <c r="F183" s="171"/>
      <c r="G183" s="171">
        <v>180</v>
      </c>
      <c r="H183" s="186">
        <f t="shared" ca="1" si="8"/>
        <v>5.593373328896512E-3</v>
      </c>
    </row>
    <row r="184" spans="2:8">
      <c r="B184" s="36">
        <v>45001</v>
      </c>
      <c r="C184" s="185">
        <v>2900.8</v>
      </c>
      <c r="D184" s="185">
        <f t="shared" si="7"/>
        <v>0.1623657637441899</v>
      </c>
      <c r="E184" s="185">
        <v>2.2200296003946719E-2</v>
      </c>
      <c r="F184" s="171"/>
      <c r="G184" s="171">
        <v>181</v>
      </c>
      <c r="H184" s="186">
        <f t="shared" ca="1" si="8"/>
        <v>3.9150211941841657E-2</v>
      </c>
    </row>
    <row r="185" spans="2:8">
      <c r="B185" s="36">
        <v>45875</v>
      </c>
      <c r="C185" s="185">
        <v>2495.6</v>
      </c>
      <c r="D185" s="185">
        <f t="shared" si="7"/>
        <v>2.0180191075099767</v>
      </c>
      <c r="E185" s="185">
        <v>2.2116644823066842E-2</v>
      </c>
      <c r="F185" s="171"/>
      <c r="G185" s="171">
        <v>182</v>
      </c>
      <c r="H185" s="186">
        <f t="shared" ca="1" si="8"/>
        <v>1.931436065992382E-2</v>
      </c>
    </row>
    <row r="186" spans="2:8">
      <c r="B186" s="36">
        <v>42250</v>
      </c>
      <c r="C186" s="185">
        <v>826.9</v>
      </c>
      <c r="D186" s="185">
        <f t="shared" si="7"/>
        <v>-0.65980993129551146</v>
      </c>
      <c r="E186" s="185">
        <v>2.2062913293368795E-2</v>
      </c>
      <c r="F186" s="171"/>
      <c r="G186" s="171">
        <v>183</v>
      </c>
      <c r="H186" s="186">
        <f t="shared" ca="1" si="8"/>
        <v>7.8178663142119999E-3</v>
      </c>
    </row>
    <row r="187" spans="2:8">
      <c r="B187" s="36">
        <v>45840</v>
      </c>
      <c r="C187" s="185">
        <v>2430.6999999999998</v>
      </c>
      <c r="D187" s="185">
        <f t="shared" si="7"/>
        <v>1.1990507514883937E-2</v>
      </c>
      <c r="E187" s="185">
        <v>2.1860680203472486E-2</v>
      </c>
      <c r="F187" s="171"/>
      <c r="G187" s="171">
        <v>184</v>
      </c>
      <c r="H187" s="186">
        <f t="shared" ca="1" si="8"/>
        <v>1.4792013062982909E-3</v>
      </c>
    </row>
    <row r="188" spans="2:8">
      <c r="B188" s="36">
        <v>45755</v>
      </c>
      <c r="C188" s="185">
        <v>2401.9</v>
      </c>
      <c r="D188" s="185">
        <f t="shared" si="7"/>
        <v>0.81625014178229804</v>
      </c>
      <c r="E188" s="185">
        <v>2.184595094765051E-2</v>
      </c>
      <c r="F188" s="171"/>
      <c r="G188" s="171">
        <v>185</v>
      </c>
      <c r="H188" s="186">
        <f t="shared" ca="1" si="8"/>
        <v>1.3800091290804097E-2</v>
      </c>
    </row>
    <row r="189" spans="2:8">
      <c r="B189" s="36">
        <v>43248</v>
      </c>
      <c r="C189" s="185">
        <v>1322.45</v>
      </c>
      <c r="D189" s="185">
        <f t="shared" si="7"/>
        <v>-0.43978225874777593</v>
      </c>
      <c r="E189" s="185">
        <v>2.1788680703109943E-2</v>
      </c>
      <c r="F189" s="171"/>
      <c r="G189" s="171">
        <v>186</v>
      </c>
      <c r="H189" s="186">
        <f t="shared" ca="1" si="8"/>
        <v>3.8072366283017287E-2</v>
      </c>
    </row>
    <row r="190" spans="2:8">
      <c r="B190" s="36">
        <v>45689</v>
      </c>
      <c r="C190" s="185">
        <v>2360.6</v>
      </c>
      <c r="D190" s="185">
        <f t="shared" si="7"/>
        <v>-0.2588150334390405</v>
      </c>
      <c r="E190" s="185">
        <v>2.1727839335179976E-2</v>
      </c>
      <c r="F190" s="171"/>
      <c r="G190" s="171">
        <v>187</v>
      </c>
      <c r="H190" s="186">
        <f t="shared" ca="1" si="8"/>
        <v>-1.7296899945014321E-2</v>
      </c>
    </row>
    <row r="191" spans="2:8">
      <c r="B191" s="36">
        <v>44539</v>
      </c>
      <c r="C191" s="185">
        <v>3184.9</v>
      </c>
      <c r="D191" s="185">
        <f t="shared" si="7"/>
        <v>1.0405561250640698</v>
      </c>
      <c r="E191" s="185">
        <v>2.1652659267338167E-2</v>
      </c>
      <c r="F191" s="171"/>
      <c r="G191" s="171">
        <v>188</v>
      </c>
      <c r="H191" s="186">
        <f t="shared" ca="1" si="8"/>
        <v>-2.2578067323527733E-3</v>
      </c>
    </row>
    <row r="192" spans="2:8">
      <c r="B192" s="36">
        <v>43964</v>
      </c>
      <c r="C192" s="185">
        <v>1560.8</v>
      </c>
      <c r="D192" s="185">
        <f t="shared" si="7"/>
        <v>-0.49856231828184988</v>
      </c>
      <c r="E192" s="185">
        <v>2.1599685822751669E-2</v>
      </c>
      <c r="F192" s="171"/>
      <c r="G192" s="171">
        <v>189</v>
      </c>
      <c r="H192" s="186">
        <f t="shared" ca="1" si="8"/>
        <v>-1.0047166007000622E-2</v>
      </c>
    </row>
    <row r="193" spans="2:8">
      <c r="B193" s="36">
        <v>44438</v>
      </c>
      <c r="C193" s="185">
        <v>3112.65</v>
      </c>
      <c r="D193" s="185">
        <f t="shared" si="7"/>
        <v>0.72140803008516763</v>
      </c>
      <c r="E193" s="185">
        <v>2.1562546152710176E-2</v>
      </c>
      <c r="F193" s="171"/>
      <c r="G193" s="171">
        <v>190</v>
      </c>
      <c r="H193" s="186">
        <f t="shared" ca="1" si="8"/>
        <v>8.5248836443028893E-3</v>
      </c>
    </row>
    <row r="194" spans="2:8">
      <c r="B194" s="36">
        <v>43755</v>
      </c>
      <c r="C194" s="185">
        <v>1808.2</v>
      </c>
      <c r="D194" s="185">
        <f t="shared" si="7"/>
        <v>1.1077048607063762</v>
      </c>
      <c r="E194" s="185">
        <v>2.1437650049428072E-2</v>
      </c>
      <c r="F194" s="171"/>
      <c r="G194" s="171">
        <v>191</v>
      </c>
      <c r="H194" s="186">
        <f t="shared" ca="1" si="8"/>
        <v>-2.6614992898681545E-3</v>
      </c>
    </row>
    <row r="195" spans="2:8">
      <c r="B195" s="36">
        <v>42282</v>
      </c>
      <c r="C195" s="185">
        <v>857.9</v>
      </c>
      <c r="D195" s="185">
        <f t="shared" si="7"/>
        <v>-0.13765894355933059</v>
      </c>
      <c r="E195" s="185">
        <v>2.1370319661884553E-2</v>
      </c>
      <c r="F195" s="171"/>
      <c r="G195" s="171">
        <v>192</v>
      </c>
      <c r="H195" s="186">
        <f t="shared" ca="1" si="8"/>
        <v>-5.0194988073279173E-4</v>
      </c>
    </row>
    <row r="196" spans="2:8">
      <c r="B196" s="36">
        <v>42767</v>
      </c>
      <c r="C196" s="185">
        <v>994.85</v>
      </c>
      <c r="D196" s="185">
        <f t="shared" ref="D196:D259" si="9">(C196-C197)/C197</f>
        <v>-0.43978939662696731</v>
      </c>
      <c r="E196" s="185">
        <v>2.1249294256531381E-2</v>
      </c>
      <c r="F196" s="171"/>
      <c r="G196" s="171">
        <v>193</v>
      </c>
      <c r="H196" s="186">
        <f t="shared" ca="1" si="8"/>
        <v>4.3268277283802416E-3</v>
      </c>
    </row>
    <row r="197" spans="2:8">
      <c r="B197" s="36">
        <v>43839</v>
      </c>
      <c r="C197" s="185">
        <v>1775.85</v>
      </c>
      <c r="D197" s="185">
        <f t="shared" si="9"/>
        <v>-5.3208221150001428E-2</v>
      </c>
      <c r="E197" s="185">
        <v>2.1190339275445606E-2</v>
      </c>
      <c r="F197" s="171"/>
      <c r="G197" s="171">
        <v>194</v>
      </c>
      <c r="H197" s="186">
        <f t="shared" ref="H197:H260" ca="1" si="10">_xlfn.NORM.INV(RAND(),N$6,N$7)</f>
        <v>-3.7329750576113339E-2</v>
      </c>
    </row>
    <row r="198" spans="2:8">
      <c r="B198" s="36">
        <v>44061</v>
      </c>
      <c r="C198" s="185">
        <v>1875.65</v>
      </c>
      <c r="D198" s="185">
        <f t="shared" si="9"/>
        <v>-0.38946666015656789</v>
      </c>
      <c r="E198" s="185">
        <v>2.1067530417267777E-2</v>
      </c>
      <c r="F198" s="171"/>
      <c r="G198" s="171">
        <v>195</v>
      </c>
      <c r="H198" s="186">
        <f t="shared" ca="1" si="10"/>
        <v>-1.1976552966601529E-2</v>
      </c>
    </row>
    <row r="199" spans="2:8">
      <c r="B199" s="36">
        <v>44763</v>
      </c>
      <c r="C199" s="185">
        <v>3072.15</v>
      </c>
      <c r="D199" s="185">
        <f t="shared" si="9"/>
        <v>2.1989899515801534</v>
      </c>
      <c r="E199" s="185">
        <v>2.1004004719254316E-2</v>
      </c>
      <c r="F199" s="171"/>
      <c r="G199" s="171">
        <v>196</v>
      </c>
      <c r="H199" s="186">
        <f t="shared" ca="1" si="10"/>
        <v>-1.08750352450564E-2</v>
      </c>
    </row>
    <row r="200" spans="2:8">
      <c r="B200" s="36">
        <v>42703</v>
      </c>
      <c r="C200" s="185">
        <v>960.35</v>
      </c>
      <c r="D200" s="185">
        <f t="shared" si="9"/>
        <v>-0.71487738257823175</v>
      </c>
      <c r="E200" s="185">
        <v>2.0997235806931747E-2</v>
      </c>
      <c r="F200" s="171"/>
      <c r="G200" s="171">
        <v>197</v>
      </c>
      <c r="H200" s="186">
        <f t="shared" ca="1" si="10"/>
        <v>2.647913613460259E-2</v>
      </c>
    </row>
    <row r="201" spans="2:8">
      <c r="B201" s="36">
        <v>45546</v>
      </c>
      <c r="C201" s="185">
        <v>3368.2</v>
      </c>
      <c r="D201" s="185">
        <f t="shared" si="9"/>
        <v>6.1218059800245667E-2</v>
      </c>
      <c r="E201" s="185">
        <v>2.0991527607268981E-2</v>
      </c>
      <c r="F201" s="171"/>
      <c r="G201" s="171">
        <v>198</v>
      </c>
      <c r="H201" s="186">
        <f t="shared" ca="1" si="10"/>
        <v>2.8707290675424206E-2</v>
      </c>
    </row>
    <row r="202" spans="2:8">
      <c r="B202" s="36">
        <v>44503</v>
      </c>
      <c r="C202" s="185">
        <v>3173.9</v>
      </c>
      <c r="D202" s="185">
        <f t="shared" si="9"/>
        <v>1.2585213121753365</v>
      </c>
      <c r="E202" s="185">
        <v>2.098981873160375E-2</v>
      </c>
      <c r="F202" s="171"/>
      <c r="G202" s="171">
        <v>199</v>
      </c>
      <c r="H202" s="186">
        <f t="shared" ca="1" si="10"/>
        <v>-5.1300032095544772E-3</v>
      </c>
    </row>
    <row r="203" spans="2:8">
      <c r="B203" s="36">
        <v>43616</v>
      </c>
      <c r="C203" s="185">
        <v>1405.3</v>
      </c>
      <c r="D203" s="185">
        <f t="shared" si="9"/>
        <v>-0.56799213022026163</v>
      </c>
      <c r="E203" s="185">
        <v>2.0959715209415457E-2</v>
      </c>
      <c r="F203" s="171"/>
      <c r="G203" s="171">
        <v>200</v>
      </c>
      <c r="H203" s="186">
        <f t="shared" ca="1" si="10"/>
        <v>7.5099197192293084E-3</v>
      </c>
    </row>
    <row r="204" spans="2:8">
      <c r="B204" s="36">
        <v>44902</v>
      </c>
      <c r="C204" s="185">
        <v>3252.95</v>
      </c>
      <c r="D204" s="185">
        <f t="shared" si="9"/>
        <v>7.6355976829909347E-3</v>
      </c>
      <c r="E204" s="185">
        <v>2.0949720670391064E-2</v>
      </c>
      <c r="F204" s="171"/>
      <c r="G204" s="171">
        <v>201</v>
      </c>
      <c r="H204" s="186">
        <f t="shared" ca="1" si="10"/>
        <v>1.6124542495283504E-2</v>
      </c>
    </row>
    <row r="205" spans="2:8">
      <c r="B205" s="36">
        <v>44517</v>
      </c>
      <c r="C205" s="185">
        <v>3228.3</v>
      </c>
      <c r="D205" s="185">
        <f t="shared" si="9"/>
        <v>1.3896517265627892</v>
      </c>
      <c r="E205" s="185">
        <v>2.0935454286708288E-2</v>
      </c>
      <c r="F205" s="171"/>
      <c r="G205" s="171">
        <v>202</v>
      </c>
      <c r="H205" s="186">
        <f t="shared" ca="1" si="10"/>
        <v>-2.2354051237393623E-3</v>
      </c>
    </row>
    <row r="206" spans="2:8">
      <c r="B206" s="36">
        <v>43433</v>
      </c>
      <c r="C206" s="185">
        <v>1350.95</v>
      </c>
      <c r="D206" s="185">
        <f t="shared" si="9"/>
        <v>0.26245210727969365</v>
      </c>
      <c r="E206" s="185">
        <v>2.0817591053347403E-2</v>
      </c>
      <c r="F206" s="171"/>
      <c r="G206" s="171">
        <v>203</v>
      </c>
      <c r="H206" s="186">
        <f t="shared" ca="1" si="10"/>
        <v>1.1789207182312618E-2</v>
      </c>
    </row>
    <row r="207" spans="2:8">
      <c r="B207" s="36">
        <v>42576</v>
      </c>
      <c r="C207" s="185">
        <v>1070.0999999999999</v>
      </c>
      <c r="D207" s="185">
        <f t="shared" si="9"/>
        <v>-0.21371101069106149</v>
      </c>
      <c r="E207" s="185">
        <v>2.0746887966804982E-2</v>
      </c>
      <c r="F207" s="171"/>
      <c r="G207" s="171">
        <v>204</v>
      </c>
      <c r="H207" s="186">
        <f t="shared" ca="1" si="10"/>
        <v>-3.5329712621133651E-3</v>
      </c>
    </row>
    <row r="208" spans="2:8">
      <c r="B208" s="36">
        <v>43658</v>
      </c>
      <c r="C208" s="185">
        <v>1360.95</v>
      </c>
      <c r="D208" s="185">
        <f t="shared" si="9"/>
        <v>-0.43533731640527751</v>
      </c>
      <c r="E208" s="185">
        <v>2.0738018450461332E-2</v>
      </c>
      <c r="F208" s="171"/>
      <c r="G208" s="171">
        <v>205</v>
      </c>
      <c r="H208" s="186">
        <f t="shared" ca="1" si="10"/>
        <v>2.8233928751135551E-3</v>
      </c>
    </row>
    <row r="209" spans="2:8">
      <c r="B209" s="36">
        <v>46055</v>
      </c>
      <c r="C209" s="185">
        <v>2410.1999999999998</v>
      </c>
      <c r="D209" s="185">
        <f t="shared" si="9"/>
        <v>1.867749419953596</v>
      </c>
      <c r="E209" s="185">
        <v>2.07089315207723E-2</v>
      </c>
      <c r="F209" s="171"/>
      <c r="G209" s="171">
        <v>206</v>
      </c>
      <c r="H209" s="186">
        <f t="shared" ca="1" si="10"/>
        <v>-9.1830621340640139E-3</v>
      </c>
    </row>
    <row r="210" spans="2:8">
      <c r="B210" s="36">
        <v>42265</v>
      </c>
      <c r="C210" s="185">
        <v>840.45</v>
      </c>
      <c r="D210" s="185">
        <f t="shared" si="9"/>
        <v>-0.66577189214984489</v>
      </c>
      <c r="E210" s="185">
        <v>2.0582877959927196E-2</v>
      </c>
      <c r="F210" s="171"/>
      <c r="G210" s="171">
        <v>207</v>
      </c>
      <c r="H210" s="186">
        <f t="shared" ca="1" si="10"/>
        <v>-2.8172253547656947E-3</v>
      </c>
    </row>
    <row r="211" spans="2:8">
      <c r="B211" s="36">
        <v>46132</v>
      </c>
      <c r="C211" s="185">
        <v>2514.6</v>
      </c>
      <c r="D211" s="185">
        <f t="shared" si="9"/>
        <v>1.479148181011535</v>
      </c>
      <c r="E211" s="185">
        <v>2.0411475875502058E-2</v>
      </c>
      <c r="F211" s="171"/>
      <c r="G211" s="171">
        <v>208</v>
      </c>
      <c r="H211" s="186">
        <f t="shared" ca="1" si="10"/>
        <v>-5.9072394202066775E-3</v>
      </c>
    </row>
    <row r="212" spans="2:8">
      <c r="B212" s="36">
        <v>42559</v>
      </c>
      <c r="C212" s="185">
        <v>1014.3</v>
      </c>
      <c r="D212" s="185">
        <f t="shared" si="9"/>
        <v>-0.59070274196477213</v>
      </c>
      <c r="E212" s="185">
        <v>2.0319887335278071E-2</v>
      </c>
      <c r="F212" s="171"/>
      <c r="G212" s="171">
        <v>209</v>
      </c>
      <c r="H212" s="186">
        <f t="shared" ca="1" si="10"/>
        <v>2.0557276263619303E-2</v>
      </c>
    </row>
    <row r="213" spans="2:8">
      <c r="B213" s="36">
        <v>45618</v>
      </c>
      <c r="C213" s="185">
        <v>2478.15</v>
      </c>
      <c r="D213" s="185">
        <f t="shared" si="9"/>
        <v>1.7266875722066348</v>
      </c>
      <c r="E213" s="185">
        <v>2.0318675889328026E-2</v>
      </c>
      <c r="F213" s="171"/>
      <c r="G213" s="171">
        <v>210</v>
      </c>
      <c r="H213" s="186">
        <f t="shared" ca="1" si="10"/>
        <v>4.489087048898052E-4</v>
      </c>
    </row>
    <row r="214" spans="2:8">
      <c r="B214" s="36">
        <v>42499</v>
      </c>
      <c r="C214" s="185">
        <v>908.85</v>
      </c>
      <c r="D214" s="185">
        <f t="shared" si="9"/>
        <v>-0.25783929446349824</v>
      </c>
      <c r="E214" s="185">
        <v>2.0262685226762538E-2</v>
      </c>
      <c r="F214" s="171"/>
      <c r="G214" s="171">
        <v>211</v>
      </c>
      <c r="H214" s="186">
        <f t="shared" ca="1" si="10"/>
        <v>3.1235652778204705E-2</v>
      </c>
    </row>
    <row r="215" spans="2:8">
      <c r="B215" s="36">
        <v>43383</v>
      </c>
      <c r="C215" s="185">
        <v>1224.5999999999999</v>
      </c>
      <c r="D215" s="185">
        <f t="shared" si="9"/>
        <v>-0.6393249491944748</v>
      </c>
      <c r="E215" s="185">
        <v>2.020244095472154E-2</v>
      </c>
      <c r="F215" s="171"/>
      <c r="G215" s="171">
        <v>212</v>
      </c>
      <c r="H215" s="186">
        <f t="shared" ca="1" si="10"/>
        <v>-1.1054170158560125E-2</v>
      </c>
    </row>
    <row r="216" spans="2:8">
      <c r="B216" s="36">
        <v>44824</v>
      </c>
      <c r="C216" s="185">
        <v>3395.3</v>
      </c>
      <c r="D216" s="185">
        <f t="shared" si="9"/>
        <v>0.24438336082096396</v>
      </c>
      <c r="E216" s="185">
        <v>2.0176374261977402E-2</v>
      </c>
      <c r="F216" s="171"/>
      <c r="G216" s="171">
        <v>213</v>
      </c>
      <c r="H216" s="186">
        <f t="shared" ca="1" si="10"/>
        <v>-4.420313999380563E-3</v>
      </c>
    </row>
    <row r="217" spans="2:8">
      <c r="B217" s="36">
        <v>46185</v>
      </c>
      <c r="C217" s="185">
        <v>2728.5</v>
      </c>
      <c r="D217" s="185">
        <f t="shared" si="9"/>
        <v>0.64973698530745505</v>
      </c>
      <c r="E217" s="185">
        <v>2.0152546175129026E-2</v>
      </c>
      <c r="F217" s="171"/>
      <c r="G217" s="171">
        <v>214</v>
      </c>
      <c r="H217" s="186">
        <f t="shared" ca="1" si="10"/>
        <v>5.6988884333417783E-3</v>
      </c>
    </row>
    <row r="218" spans="2:8">
      <c r="B218" s="36">
        <v>44004</v>
      </c>
      <c r="C218" s="185">
        <v>1653.9</v>
      </c>
      <c r="D218" s="185">
        <f t="shared" si="9"/>
        <v>-0.45723943292202673</v>
      </c>
      <c r="E218" s="185">
        <v>2.0138781804163512E-2</v>
      </c>
      <c r="F218" s="171"/>
      <c r="G218" s="171">
        <v>215</v>
      </c>
      <c r="H218" s="186">
        <f t="shared" ca="1" si="10"/>
        <v>-4.8029815456973471E-3</v>
      </c>
    </row>
    <row r="219" spans="2:8">
      <c r="B219" s="36">
        <v>44636</v>
      </c>
      <c r="C219" s="185">
        <v>3047.2</v>
      </c>
      <c r="D219" s="185">
        <f t="shared" si="9"/>
        <v>1.6923484714613888</v>
      </c>
      <c r="E219" s="185">
        <v>2.0085698982324585E-2</v>
      </c>
      <c r="F219" s="171"/>
      <c r="G219" s="171">
        <v>216</v>
      </c>
      <c r="H219" s="186">
        <f t="shared" ca="1" si="10"/>
        <v>-8.9075955001184995E-3</v>
      </c>
    </row>
    <row r="220" spans="2:8">
      <c r="B220" s="36">
        <v>42881</v>
      </c>
      <c r="C220" s="185">
        <v>1131.8</v>
      </c>
      <c r="D220" s="185">
        <f t="shared" si="9"/>
        <v>-0.36487093153759825</v>
      </c>
      <c r="E220" s="185">
        <v>2.0053174710468209E-2</v>
      </c>
      <c r="F220" s="171"/>
      <c r="G220" s="171">
        <v>217</v>
      </c>
      <c r="H220" s="186">
        <f t="shared" ca="1" si="10"/>
        <v>-4.4832735217082533E-3</v>
      </c>
    </row>
    <row r="221" spans="2:8">
      <c r="B221" s="36">
        <v>43817</v>
      </c>
      <c r="C221" s="185">
        <v>1782</v>
      </c>
      <c r="D221" s="185">
        <f t="shared" si="9"/>
        <v>-0.31071829188101968</v>
      </c>
      <c r="E221" s="185">
        <v>1.9975960162555144E-2</v>
      </c>
      <c r="F221" s="171"/>
      <c r="G221" s="171">
        <v>218</v>
      </c>
      <c r="H221" s="186">
        <f t="shared" ca="1" si="10"/>
        <v>2.391209721946554E-2</v>
      </c>
    </row>
    <row r="222" spans="2:8">
      <c r="B222" s="36">
        <v>45901</v>
      </c>
      <c r="C222" s="185">
        <v>2585.3000000000002</v>
      </c>
      <c r="D222" s="185">
        <f t="shared" si="9"/>
        <v>-8.4493076950316909E-2</v>
      </c>
      <c r="E222" s="185">
        <v>1.996291474336228E-2</v>
      </c>
      <c r="F222" s="171"/>
      <c r="G222" s="171">
        <v>219</v>
      </c>
      <c r="H222" s="186">
        <f t="shared" ca="1" si="10"/>
        <v>-1.8463614438126372E-2</v>
      </c>
    </row>
    <row r="223" spans="2:8">
      <c r="B223" s="36">
        <v>44739</v>
      </c>
      <c r="C223" s="185">
        <v>2823.9</v>
      </c>
      <c r="D223" s="185">
        <f t="shared" si="9"/>
        <v>0.24455707360070519</v>
      </c>
      <c r="E223" s="185">
        <v>1.9937154621302515E-2</v>
      </c>
      <c r="F223" s="171"/>
      <c r="G223" s="171">
        <v>220</v>
      </c>
      <c r="H223" s="186">
        <f t="shared" ca="1" si="10"/>
        <v>1.6909876697937302E-3</v>
      </c>
    </row>
    <row r="224" spans="2:8">
      <c r="B224" s="36">
        <v>45674</v>
      </c>
      <c r="C224" s="185">
        <v>2269</v>
      </c>
      <c r="D224" s="185">
        <f t="shared" si="9"/>
        <v>1.5878193430656935</v>
      </c>
      <c r="E224" s="185">
        <v>1.993572022565343E-2</v>
      </c>
      <c r="F224" s="171"/>
      <c r="G224" s="171">
        <v>221</v>
      </c>
      <c r="H224" s="186">
        <f t="shared" ca="1" si="10"/>
        <v>4.5315785108018232E-3</v>
      </c>
    </row>
    <row r="225" spans="2:8">
      <c r="B225" s="36">
        <v>42352</v>
      </c>
      <c r="C225" s="185">
        <v>876.8</v>
      </c>
      <c r="D225" s="185">
        <f t="shared" si="9"/>
        <v>-0.62336769759450172</v>
      </c>
      <c r="E225" s="185">
        <v>1.9831346321605065E-2</v>
      </c>
      <c r="F225" s="171"/>
      <c r="G225" s="171">
        <v>222</v>
      </c>
      <c r="H225" s="186">
        <f t="shared" ca="1" si="10"/>
        <v>-9.4715190891128762E-3</v>
      </c>
    </row>
    <row r="226" spans="2:8">
      <c r="B226" s="36">
        <v>45792</v>
      </c>
      <c r="C226" s="185">
        <v>2328</v>
      </c>
      <c r="D226" s="185">
        <f t="shared" si="9"/>
        <v>1.7244002340550029</v>
      </c>
      <c r="E226" s="185">
        <v>1.9800245312773704E-2</v>
      </c>
      <c r="F226" s="171"/>
      <c r="G226" s="171">
        <v>223</v>
      </c>
      <c r="H226" s="186">
        <f t="shared" ca="1" si="10"/>
        <v>-9.8476110962050813E-3</v>
      </c>
    </row>
    <row r="227" spans="2:8">
      <c r="B227" s="36">
        <v>42419</v>
      </c>
      <c r="C227" s="185">
        <v>854.5</v>
      </c>
      <c r="D227" s="185">
        <f t="shared" si="9"/>
        <v>-0.24276662678895833</v>
      </c>
      <c r="E227" s="185">
        <v>1.9750581776955611E-2</v>
      </c>
      <c r="F227" s="171"/>
      <c r="G227" s="171">
        <v>224</v>
      </c>
      <c r="H227" s="186">
        <f t="shared" ca="1" si="10"/>
        <v>-1.5835197449504745E-2</v>
      </c>
    </row>
    <row r="228" spans="2:8">
      <c r="B228" s="36">
        <v>42608</v>
      </c>
      <c r="C228" s="185">
        <v>1128.45</v>
      </c>
      <c r="D228" s="185">
        <f t="shared" si="9"/>
        <v>-0.63730594928165074</v>
      </c>
      <c r="E228" s="185">
        <v>1.9699091853792938E-2</v>
      </c>
      <c r="F228" s="171"/>
      <c r="G228" s="171">
        <v>225</v>
      </c>
      <c r="H228" s="186">
        <f t="shared" ca="1" si="10"/>
        <v>-1.0703769009020994E-2</v>
      </c>
    </row>
    <row r="229" spans="2:8">
      <c r="B229" s="36">
        <v>44922</v>
      </c>
      <c r="C229" s="185">
        <v>3111.3</v>
      </c>
      <c r="D229" s="185">
        <f t="shared" si="9"/>
        <v>0.19674590353104082</v>
      </c>
      <c r="E229" s="185">
        <v>1.9697168327215641E-2</v>
      </c>
      <c r="F229" s="171"/>
      <c r="G229" s="171">
        <v>226</v>
      </c>
      <c r="H229" s="186">
        <f t="shared" ca="1" si="10"/>
        <v>2.7656283825097296E-2</v>
      </c>
    </row>
    <row r="230" spans="2:8">
      <c r="B230" s="36">
        <v>44319</v>
      </c>
      <c r="C230" s="185">
        <v>2599.8000000000002</v>
      </c>
      <c r="D230" s="185">
        <f t="shared" si="9"/>
        <v>0.54327436780244587</v>
      </c>
      <c r="E230" s="185">
        <v>1.96893630373393E-2</v>
      </c>
      <c r="F230" s="171"/>
      <c r="G230" s="171">
        <v>227</v>
      </c>
      <c r="H230" s="186">
        <f t="shared" ca="1" si="10"/>
        <v>3.5478190547502411E-2</v>
      </c>
    </row>
    <row r="231" spans="2:8">
      <c r="B231" s="36">
        <v>43934</v>
      </c>
      <c r="C231" s="185">
        <v>1684.6</v>
      </c>
      <c r="D231" s="185">
        <f t="shared" si="9"/>
        <v>0.81981203413632908</v>
      </c>
      <c r="E231" s="185">
        <v>1.9671932691725683E-2</v>
      </c>
      <c r="F231" s="171"/>
      <c r="G231" s="171">
        <v>228</v>
      </c>
      <c r="H231" s="186">
        <f t="shared" ca="1" si="10"/>
        <v>-2.0454646125687464E-2</v>
      </c>
    </row>
    <row r="232" spans="2:8">
      <c r="B232" s="36">
        <v>42221</v>
      </c>
      <c r="C232" s="185">
        <v>925.7</v>
      </c>
      <c r="D232" s="185">
        <f t="shared" si="9"/>
        <v>-0.22755340453938586</v>
      </c>
      <c r="E232" s="185">
        <v>1.9605683445313438E-2</v>
      </c>
      <c r="F232" s="171"/>
      <c r="G232" s="171">
        <v>229</v>
      </c>
      <c r="H232" s="186">
        <f t="shared" ca="1" si="10"/>
        <v>1.1269103079793938E-2</v>
      </c>
    </row>
    <row r="233" spans="2:8">
      <c r="B233" s="36">
        <v>43025</v>
      </c>
      <c r="C233" s="185">
        <v>1198.4000000000001</v>
      </c>
      <c r="D233" s="185">
        <f t="shared" si="9"/>
        <v>-0.3083427120307044</v>
      </c>
      <c r="E233" s="185">
        <v>1.9350997320631138E-2</v>
      </c>
      <c r="F233" s="171"/>
      <c r="G233" s="171">
        <v>230</v>
      </c>
      <c r="H233" s="186">
        <f t="shared" ca="1" si="10"/>
        <v>9.0062109896798907E-3</v>
      </c>
    </row>
    <row r="234" spans="2:8">
      <c r="B234" s="36">
        <v>44035</v>
      </c>
      <c r="C234" s="185">
        <v>1732.65</v>
      </c>
      <c r="D234" s="185">
        <f t="shared" si="9"/>
        <v>-0.27959336410128471</v>
      </c>
      <c r="E234" s="185">
        <v>1.9325803035651335E-2</v>
      </c>
      <c r="F234" s="171"/>
      <c r="G234" s="171">
        <v>231</v>
      </c>
      <c r="H234" s="186">
        <f t="shared" ca="1" si="10"/>
        <v>2.9250224093789923E-4</v>
      </c>
    </row>
    <row r="235" spans="2:8">
      <c r="B235" s="36">
        <v>45867</v>
      </c>
      <c r="C235" s="185">
        <v>2405.1</v>
      </c>
      <c r="D235" s="185">
        <f t="shared" si="9"/>
        <v>-0.29366675966579059</v>
      </c>
      <c r="E235" s="185">
        <v>1.928292931005255E-2</v>
      </c>
      <c r="F235" s="171"/>
      <c r="G235" s="171">
        <v>232</v>
      </c>
      <c r="H235" s="186">
        <f t="shared" ca="1" si="10"/>
        <v>-3.3926897747124658E-2</v>
      </c>
    </row>
    <row r="236" spans="2:8">
      <c r="B236" s="36">
        <v>44775</v>
      </c>
      <c r="C236" s="185">
        <v>3405.05</v>
      </c>
      <c r="D236" s="185">
        <f t="shared" si="9"/>
        <v>2.0139853949988935</v>
      </c>
      <c r="E236" s="185">
        <v>1.9277685480370614E-2</v>
      </c>
      <c r="F236" s="171"/>
      <c r="G236" s="171">
        <v>233</v>
      </c>
      <c r="H236" s="186">
        <f t="shared" ca="1" si="10"/>
        <v>-7.8850903575804956E-3</v>
      </c>
    </row>
    <row r="237" spans="2:8">
      <c r="B237" s="36">
        <v>43167</v>
      </c>
      <c r="C237" s="185">
        <v>1129.75</v>
      </c>
      <c r="D237" s="185">
        <f t="shared" si="9"/>
        <v>-0.63577012976545499</v>
      </c>
      <c r="E237" s="185">
        <v>1.9216022373584694E-2</v>
      </c>
      <c r="F237" s="171"/>
      <c r="G237" s="171">
        <v>234</v>
      </c>
      <c r="H237" s="186">
        <f t="shared" ca="1" si="10"/>
        <v>-1.88945893164616E-2</v>
      </c>
    </row>
    <row r="238" spans="2:8">
      <c r="B238" s="36">
        <v>45238</v>
      </c>
      <c r="C238" s="185">
        <v>3101.75</v>
      </c>
      <c r="D238" s="185">
        <f t="shared" si="9"/>
        <v>-1.0385093960373985E-2</v>
      </c>
      <c r="E238" s="185">
        <v>1.9206124930174422E-2</v>
      </c>
      <c r="F238" s="171"/>
      <c r="G238" s="171">
        <v>235</v>
      </c>
      <c r="H238" s="186">
        <f t="shared" ca="1" si="10"/>
        <v>-1.4492685098503072E-2</v>
      </c>
    </row>
    <row r="239" spans="2:8">
      <c r="B239" s="36">
        <v>44512</v>
      </c>
      <c r="C239" s="185">
        <v>3134.3</v>
      </c>
      <c r="D239" s="185">
        <f t="shared" si="9"/>
        <v>0.13648065557126801</v>
      </c>
      <c r="E239" s="185">
        <v>1.9201690919437502E-2</v>
      </c>
      <c r="F239" s="171"/>
      <c r="G239" s="171">
        <v>236</v>
      </c>
      <c r="H239" s="186">
        <f t="shared" ca="1" si="10"/>
        <v>-5.3489351721740814E-3</v>
      </c>
    </row>
    <row r="240" spans="2:8">
      <c r="B240" s="36">
        <v>44981</v>
      </c>
      <c r="C240" s="185">
        <v>2757.9</v>
      </c>
      <c r="D240" s="185">
        <f t="shared" si="9"/>
        <v>2.1667240785394419</v>
      </c>
      <c r="E240" s="185">
        <v>1.9198433082651296E-2</v>
      </c>
      <c r="F240" s="171"/>
      <c r="G240" s="171">
        <v>237</v>
      </c>
      <c r="H240" s="186">
        <f t="shared" ca="1" si="10"/>
        <v>-1.0962728221441828E-2</v>
      </c>
    </row>
    <row r="241" spans="2:8">
      <c r="B241" s="36">
        <v>42422</v>
      </c>
      <c r="C241" s="185">
        <v>870.9</v>
      </c>
      <c r="D241" s="185">
        <f t="shared" si="9"/>
        <v>-1.9808666291502557E-2</v>
      </c>
      <c r="E241" s="185">
        <v>1.9192510239906351E-2</v>
      </c>
      <c r="F241" s="171"/>
      <c r="G241" s="171">
        <v>238</v>
      </c>
      <c r="H241" s="186">
        <f t="shared" ca="1" si="10"/>
        <v>3.6737980744453426E-2</v>
      </c>
    </row>
    <row r="242" spans="2:8">
      <c r="B242" s="36">
        <v>42401</v>
      </c>
      <c r="C242" s="185">
        <v>888.5</v>
      </c>
      <c r="D242" s="185">
        <f t="shared" si="9"/>
        <v>-0.24900684642042087</v>
      </c>
      <c r="E242" s="185">
        <v>1.915576967194316E-2</v>
      </c>
      <c r="F242" s="171"/>
      <c r="G242" s="171">
        <v>239</v>
      </c>
      <c r="H242" s="186">
        <f t="shared" ca="1" si="10"/>
        <v>-2.3003385946992937E-2</v>
      </c>
    </row>
    <row r="243" spans="2:8">
      <c r="B243" s="36">
        <v>43054</v>
      </c>
      <c r="C243" s="185">
        <v>1183.0999999999999</v>
      </c>
      <c r="D243" s="185">
        <f t="shared" si="9"/>
        <v>-0.19214749061113015</v>
      </c>
      <c r="E243" s="185">
        <v>1.9079202377363248E-2</v>
      </c>
      <c r="F243" s="171"/>
      <c r="G243" s="171">
        <v>240</v>
      </c>
      <c r="H243" s="186">
        <f t="shared" ca="1" si="10"/>
        <v>-2.9949081044552302E-3</v>
      </c>
    </row>
    <row r="244" spans="2:8">
      <c r="B244" s="36">
        <v>43305</v>
      </c>
      <c r="C244" s="185">
        <v>1464.5</v>
      </c>
      <c r="D244" s="185">
        <f t="shared" si="9"/>
        <v>-0.49536542503704212</v>
      </c>
      <c r="E244" s="185">
        <v>1.9066174935634329E-2</v>
      </c>
      <c r="F244" s="171"/>
      <c r="G244" s="171">
        <v>241</v>
      </c>
      <c r="H244" s="186">
        <f t="shared" ca="1" si="10"/>
        <v>2.2438367581834776E-2</v>
      </c>
    </row>
    <row r="245" spans="2:8">
      <c r="B245" s="36">
        <v>44714</v>
      </c>
      <c r="C245" s="185">
        <v>2902.1</v>
      </c>
      <c r="D245" s="185">
        <f t="shared" si="9"/>
        <v>0.94889530588946347</v>
      </c>
      <c r="E245" s="185">
        <v>1.9049458363326721E-2</v>
      </c>
      <c r="F245" s="171"/>
      <c r="G245" s="171">
        <v>242</v>
      </c>
      <c r="H245" s="186">
        <f t="shared" ca="1" si="10"/>
        <v>-1.6904784321599437E-3</v>
      </c>
    </row>
    <row r="246" spans="2:8">
      <c r="B246" s="36">
        <v>43550</v>
      </c>
      <c r="C246" s="185">
        <v>1489.1</v>
      </c>
      <c r="D246" s="185">
        <f t="shared" si="9"/>
        <v>-0.13252941861819878</v>
      </c>
      <c r="E246" s="185">
        <v>1.9024156572914497E-2</v>
      </c>
      <c r="F246" s="171"/>
      <c r="G246" s="171">
        <v>243</v>
      </c>
      <c r="H246" s="186">
        <f t="shared" ca="1" si="10"/>
        <v>1.77696010893462E-2</v>
      </c>
    </row>
    <row r="247" spans="2:8">
      <c r="B247" s="36">
        <v>43936</v>
      </c>
      <c r="C247" s="185">
        <v>1716.6</v>
      </c>
      <c r="D247" s="185">
        <f t="shared" si="9"/>
        <v>-0.31642242752468935</v>
      </c>
      <c r="E247" s="185">
        <v>1.8995607265819781E-2</v>
      </c>
      <c r="F247" s="171"/>
      <c r="G247" s="171">
        <v>244</v>
      </c>
      <c r="H247" s="186">
        <f t="shared" ca="1" si="10"/>
        <v>7.3955778829074238E-3</v>
      </c>
    </row>
    <row r="248" spans="2:8">
      <c r="B248" s="36">
        <v>45622</v>
      </c>
      <c r="C248" s="185">
        <v>2511.1999999999998</v>
      </c>
      <c r="D248" s="185">
        <f t="shared" si="9"/>
        <v>0.36704864040937413</v>
      </c>
      <c r="E248" s="185">
        <v>1.8990423632527075E-2</v>
      </c>
      <c r="F248" s="171"/>
      <c r="G248" s="171">
        <v>245</v>
      </c>
      <c r="H248" s="186">
        <f t="shared" ca="1" si="10"/>
        <v>6.8724900052866576E-3</v>
      </c>
    </row>
    <row r="249" spans="2:8">
      <c r="B249" s="36">
        <v>44060</v>
      </c>
      <c r="C249" s="185">
        <v>1836.95</v>
      </c>
      <c r="D249" s="185">
        <f t="shared" si="9"/>
        <v>0.57131859201916091</v>
      </c>
      <c r="E249" s="185">
        <v>1.8971016502565548E-2</v>
      </c>
      <c r="F249" s="171"/>
      <c r="G249" s="171">
        <v>246</v>
      </c>
      <c r="H249" s="186">
        <f t="shared" ca="1" si="10"/>
        <v>-3.9947277357862167E-3</v>
      </c>
    </row>
    <row r="250" spans="2:8">
      <c r="B250" s="36">
        <v>42863</v>
      </c>
      <c r="C250" s="185">
        <v>1169.05</v>
      </c>
      <c r="D250" s="185">
        <f t="shared" si="9"/>
        <v>-0.64253061598911443</v>
      </c>
      <c r="E250" s="185">
        <v>1.8824349644864621E-2</v>
      </c>
      <c r="F250" s="171"/>
      <c r="G250" s="171">
        <v>247</v>
      </c>
      <c r="H250" s="186">
        <f t="shared" ca="1" si="10"/>
        <v>5.0997539701246198E-3</v>
      </c>
    </row>
    <row r="251" spans="2:8">
      <c r="B251" s="36">
        <v>45090</v>
      </c>
      <c r="C251" s="185">
        <v>3270.35</v>
      </c>
      <c r="D251" s="185">
        <f t="shared" si="9"/>
        <v>1.468188679245283</v>
      </c>
      <c r="E251" s="185">
        <v>1.8784754131555496E-2</v>
      </c>
      <c r="F251" s="171"/>
      <c r="G251" s="171">
        <v>248</v>
      </c>
      <c r="H251" s="186">
        <f t="shared" ca="1" si="10"/>
        <v>2.3173188932971569E-2</v>
      </c>
    </row>
    <row r="252" spans="2:8">
      <c r="B252" s="36">
        <v>43441</v>
      </c>
      <c r="C252" s="185">
        <v>1325</v>
      </c>
      <c r="D252" s="185">
        <f t="shared" si="9"/>
        <v>0.21727147450620118</v>
      </c>
      <c r="E252" s="185">
        <v>1.8682248020296728E-2</v>
      </c>
      <c r="F252" s="171"/>
      <c r="G252" s="171">
        <v>249</v>
      </c>
      <c r="H252" s="186">
        <f t="shared" ca="1" si="10"/>
        <v>9.0968963059924659E-3</v>
      </c>
    </row>
    <row r="253" spans="2:8">
      <c r="B253" s="36">
        <v>42810</v>
      </c>
      <c r="C253" s="185">
        <v>1088.5</v>
      </c>
      <c r="D253" s="185">
        <f t="shared" si="9"/>
        <v>-0.65179142674344215</v>
      </c>
      <c r="E253" s="185">
        <v>1.8670160497870989E-2</v>
      </c>
      <c r="F253" s="171"/>
      <c r="G253" s="171">
        <v>250</v>
      </c>
      <c r="H253" s="186">
        <f t="shared" ca="1" si="10"/>
        <v>-5.0772003414352954E-3</v>
      </c>
    </row>
    <row r="254" spans="2:8">
      <c r="B254" s="36">
        <v>44617</v>
      </c>
      <c r="C254" s="185">
        <v>3126</v>
      </c>
      <c r="D254" s="185">
        <f t="shared" si="9"/>
        <v>-3.0186454875438272E-2</v>
      </c>
      <c r="E254" s="185">
        <v>1.858941983414529E-2</v>
      </c>
      <c r="F254" s="171"/>
      <c r="G254" s="171">
        <v>251</v>
      </c>
      <c r="H254" s="186">
        <f t="shared" ca="1" si="10"/>
        <v>6.5255741132927707E-4</v>
      </c>
    </row>
    <row r="255" spans="2:8">
      <c r="B255" s="36">
        <v>44659</v>
      </c>
      <c r="C255" s="185">
        <v>3223.3</v>
      </c>
      <c r="D255" s="185">
        <f t="shared" si="9"/>
        <v>0.30826365776442893</v>
      </c>
      <c r="E255" s="185">
        <v>1.85489477343109E-2</v>
      </c>
      <c r="F255" s="171"/>
      <c r="G255" s="171">
        <v>252</v>
      </c>
      <c r="H255" s="186">
        <f t="shared" ca="1" si="10"/>
        <v>-6.4795286467999834E-3</v>
      </c>
    </row>
    <row r="256" spans="2:8">
      <c r="B256" s="36">
        <v>44228</v>
      </c>
      <c r="C256" s="185">
        <v>2463.8000000000002</v>
      </c>
      <c r="D256" s="185">
        <f t="shared" si="9"/>
        <v>0.41358042399380368</v>
      </c>
      <c r="E256" s="185">
        <v>1.8541102544492597E-2</v>
      </c>
      <c r="F256" s="171"/>
      <c r="G256" s="171">
        <v>253</v>
      </c>
      <c r="H256" s="186">
        <f t="shared" ca="1" si="10"/>
        <v>2.1066539737087494E-2</v>
      </c>
    </row>
    <row r="257" spans="2:8">
      <c r="B257" s="36">
        <v>43801</v>
      </c>
      <c r="C257" s="185">
        <v>1742.95</v>
      </c>
      <c r="D257" s="185">
        <f t="shared" si="9"/>
        <v>-0.33165251068888163</v>
      </c>
      <c r="E257" s="185">
        <v>1.8464954568031166E-2</v>
      </c>
      <c r="F257" s="171"/>
      <c r="G257" s="171">
        <v>254</v>
      </c>
      <c r="H257" s="186">
        <f t="shared" ca="1" si="10"/>
        <v>3.0150586234798786E-3</v>
      </c>
    </row>
    <row r="258" spans="2:8">
      <c r="B258" s="36">
        <v>44187</v>
      </c>
      <c r="C258" s="185">
        <v>2607.85</v>
      </c>
      <c r="D258" s="185">
        <f t="shared" si="9"/>
        <v>-0.14465872937780844</v>
      </c>
      <c r="E258" s="185">
        <v>1.8432819791849655E-2</v>
      </c>
      <c r="F258" s="171"/>
      <c r="G258" s="171">
        <v>255</v>
      </c>
      <c r="H258" s="186">
        <f t="shared" ca="1" si="10"/>
        <v>-3.4936912978141034E-3</v>
      </c>
    </row>
    <row r="259" spans="2:8">
      <c r="B259" s="36">
        <v>45586</v>
      </c>
      <c r="C259" s="185">
        <v>3048.9</v>
      </c>
      <c r="D259" s="185">
        <f t="shared" si="9"/>
        <v>1.3687215942197879</v>
      </c>
      <c r="E259" s="185">
        <v>1.8404703052976118E-2</v>
      </c>
      <c r="F259" s="171"/>
      <c r="G259" s="171">
        <v>256</v>
      </c>
      <c r="H259" s="186">
        <f t="shared" ca="1" si="10"/>
        <v>-1.1469373327486246E-2</v>
      </c>
    </row>
    <row r="260" spans="2:8">
      <c r="B260" s="36">
        <v>43258</v>
      </c>
      <c r="C260" s="185">
        <v>1287.1500000000001</v>
      </c>
      <c r="D260" s="185">
        <f t="shared" ref="D260:D323" si="11">(C260-C261)/C261</f>
        <v>-0.61279405571265266</v>
      </c>
      <c r="E260" s="185">
        <v>1.8395442677427012E-2</v>
      </c>
      <c r="F260" s="171"/>
      <c r="G260" s="171">
        <v>257</v>
      </c>
      <c r="H260" s="186">
        <f t="shared" ca="1" si="10"/>
        <v>-2.0721029906205828E-2</v>
      </c>
    </row>
    <row r="261" spans="2:8">
      <c r="B261" s="36">
        <v>45275</v>
      </c>
      <c r="C261" s="185">
        <v>3324.2</v>
      </c>
      <c r="D261" s="185">
        <f t="shared" si="11"/>
        <v>0.3114767033573993</v>
      </c>
      <c r="E261" s="185">
        <v>1.8334431050591973E-2</v>
      </c>
      <c r="F261" s="171"/>
      <c r="G261" s="171">
        <v>258</v>
      </c>
      <c r="H261" s="186">
        <f t="shared" ref="H261:H324" ca="1" si="12">_xlfn.NORM.INV(RAND(),N$6,N$7)</f>
        <v>-1.2919219470360322E-3</v>
      </c>
    </row>
    <row r="262" spans="2:8">
      <c r="B262" s="36">
        <v>45898</v>
      </c>
      <c r="C262" s="185">
        <v>2534.6999999999998</v>
      </c>
      <c r="D262" s="185">
        <f t="shared" si="11"/>
        <v>0.77233157361115945</v>
      </c>
      <c r="E262" s="185">
        <v>1.8319874653489176E-2</v>
      </c>
      <c r="F262" s="171"/>
      <c r="G262" s="171">
        <v>259</v>
      </c>
      <c r="H262" s="186">
        <f t="shared" ca="1" si="12"/>
        <v>3.5449963120591458E-3</v>
      </c>
    </row>
    <row r="263" spans="2:8">
      <c r="B263" s="36">
        <v>43669</v>
      </c>
      <c r="C263" s="185">
        <v>1430.15</v>
      </c>
      <c r="D263" s="185">
        <f t="shared" si="11"/>
        <v>-0.15069184630916324</v>
      </c>
      <c r="E263" s="185">
        <v>1.815398853806998E-2</v>
      </c>
      <c r="F263" s="171"/>
      <c r="G263" s="171">
        <v>260</v>
      </c>
      <c r="H263" s="186">
        <f t="shared" ca="1" si="12"/>
        <v>4.2893175370143609E-3</v>
      </c>
    </row>
    <row r="264" spans="2:8">
      <c r="B264" s="36">
        <v>44005</v>
      </c>
      <c r="C264" s="185">
        <v>1683.9</v>
      </c>
      <c r="D264" s="185">
        <f t="shared" si="11"/>
        <v>0.45710206377363383</v>
      </c>
      <c r="E264" s="185">
        <v>1.8138944313440958E-2</v>
      </c>
      <c r="F264" s="171"/>
      <c r="G264" s="171">
        <v>261</v>
      </c>
      <c r="H264" s="186">
        <f t="shared" ca="1" si="12"/>
        <v>9.1364017547327196E-3</v>
      </c>
    </row>
    <row r="265" spans="2:8">
      <c r="B265" s="36">
        <v>42975</v>
      </c>
      <c r="C265" s="185">
        <v>1155.6500000000001</v>
      </c>
      <c r="D265" s="185">
        <f t="shared" si="11"/>
        <v>-0.55269778603498987</v>
      </c>
      <c r="E265" s="185">
        <v>1.7969610218013733E-2</v>
      </c>
      <c r="F265" s="171"/>
      <c r="G265" s="171">
        <v>262</v>
      </c>
      <c r="H265" s="186">
        <f t="shared" ca="1" si="12"/>
        <v>5.0396677982795964E-3</v>
      </c>
    </row>
    <row r="266" spans="2:8">
      <c r="B266" s="36">
        <v>44181</v>
      </c>
      <c r="C266" s="185">
        <v>2583.6</v>
      </c>
      <c r="D266" s="185">
        <f t="shared" si="11"/>
        <v>1.2462180490349504</v>
      </c>
      <c r="E266" s="185">
        <v>1.7926795634529768E-2</v>
      </c>
      <c r="F266" s="171"/>
      <c r="G266" s="171">
        <v>263</v>
      </c>
      <c r="H266" s="186">
        <f t="shared" ca="1" si="12"/>
        <v>-2.3684262348039886E-2</v>
      </c>
    </row>
    <row r="267" spans="2:8">
      <c r="B267" s="36">
        <v>42934</v>
      </c>
      <c r="C267" s="185">
        <v>1150.2</v>
      </c>
      <c r="D267" s="185">
        <f t="shared" si="11"/>
        <v>-0.51120838025625226</v>
      </c>
      <c r="E267" s="185">
        <v>1.7921146953405017E-2</v>
      </c>
      <c r="F267" s="171"/>
      <c r="G267" s="171">
        <v>264</v>
      </c>
      <c r="H267" s="186">
        <f t="shared" ca="1" si="12"/>
        <v>-1.0312854977024076E-2</v>
      </c>
    </row>
    <row r="268" spans="2:8">
      <c r="B268" s="36">
        <v>45750</v>
      </c>
      <c r="C268" s="185">
        <v>2353.15</v>
      </c>
      <c r="D268" s="185">
        <f t="shared" si="11"/>
        <v>0.93738679400625746</v>
      </c>
      <c r="E268" s="185">
        <v>1.7908510868389786E-2</v>
      </c>
      <c r="F268" s="171"/>
      <c r="G268" s="171">
        <v>265</v>
      </c>
      <c r="H268" s="186">
        <f t="shared" ca="1" si="12"/>
        <v>-1.1294842178388293E-2</v>
      </c>
    </row>
    <row r="269" spans="2:8">
      <c r="B269" s="36">
        <v>42648</v>
      </c>
      <c r="C269" s="185">
        <v>1214.5999999999999</v>
      </c>
      <c r="D269" s="185">
        <f t="shared" si="11"/>
        <v>-0.63579117814627129</v>
      </c>
      <c r="E269" s="185">
        <v>1.7892310915566652E-2</v>
      </c>
      <c r="F269" s="171"/>
      <c r="G269" s="171">
        <v>266</v>
      </c>
      <c r="H269" s="186">
        <f t="shared" ca="1" si="12"/>
        <v>2.4087462635278395E-5</v>
      </c>
    </row>
    <row r="270" spans="2:8">
      <c r="B270" s="36">
        <v>45562</v>
      </c>
      <c r="C270" s="185">
        <v>3334.9</v>
      </c>
      <c r="D270" s="185">
        <f t="shared" si="11"/>
        <v>0.3722174217174834</v>
      </c>
      <c r="E270" s="185">
        <v>1.7653072122793337E-2</v>
      </c>
      <c r="F270" s="171"/>
      <c r="G270" s="171">
        <v>267</v>
      </c>
      <c r="H270" s="186">
        <f t="shared" ca="1" si="12"/>
        <v>-4.9266432847149743E-3</v>
      </c>
    </row>
    <row r="271" spans="2:8">
      <c r="B271" s="36">
        <v>44264</v>
      </c>
      <c r="C271" s="185">
        <v>2430.3000000000002</v>
      </c>
      <c r="D271" s="185">
        <f t="shared" si="11"/>
        <v>0.39388030168334731</v>
      </c>
      <c r="E271" s="185">
        <v>1.7649645122793833E-2</v>
      </c>
      <c r="F271" s="171"/>
      <c r="G271" s="171">
        <v>268</v>
      </c>
      <c r="H271" s="186">
        <f t="shared" ca="1" si="12"/>
        <v>1.2720731568003648E-2</v>
      </c>
    </row>
    <row r="272" spans="2:8">
      <c r="B272" s="36">
        <v>44019</v>
      </c>
      <c r="C272" s="185">
        <v>1743.55</v>
      </c>
      <c r="D272" s="185">
        <f t="shared" si="11"/>
        <v>0.5507871564529041</v>
      </c>
      <c r="E272" s="185">
        <v>1.7566897195716191E-2</v>
      </c>
      <c r="F272" s="171"/>
      <c r="G272" s="171">
        <v>269</v>
      </c>
      <c r="H272" s="186">
        <f t="shared" ca="1" si="12"/>
        <v>-2.6201318509759545E-2</v>
      </c>
    </row>
    <row r="273" spans="2:8">
      <c r="B273" s="36">
        <v>42853</v>
      </c>
      <c r="C273" s="185">
        <v>1124.3</v>
      </c>
      <c r="D273" s="185">
        <f t="shared" si="11"/>
        <v>-5.9005691329092738E-2</v>
      </c>
      <c r="E273" s="185">
        <v>1.7558150058828728E-2</v>
      </c>
      <c r="F273" s="171"/>
      <c r="G273" s="171">
        <v>270</v>
      </c>
      <c r="H273" s="186">
        <f t="shared" ca="1" si="12"/>
        <v>-2.2849328272484721E-2</v>
      </c>
    </row>
    <row r="274" spans="2:8">
      <c r="B274" s="36">
        <v>42635</v>
      </c>
      <c r="C274" s="185">
        <v>1194.8</v>
      </c>
      <c r="D274" s="185">
        <f t="shared" si="11"/>
        <v>-0.60810810810810811</v>
      </c>
      <c r="E274" s="185">
        <v>1.7457208549774336E-2</v>
      </c>
      <c r="F274" s="171"/>
      <c r="G274" s="171">
        <v>271</v>
      </c>
      <c r="H274" s="186">
        <f t="shared" ca="1" si="12"/>
        <v>1.5314802033034694E-2</v>
      </c>
    </row>
    <row r="275" spans="2:8">
      <c r="B275" s="36">
        <v>44698</v>
      </c>
      <c r="C275" s="185">
        <v>3048.8</v>
      </c>
      <c r="D275" s="185">
        <f t="shared" si="11"/>
        <v>1.1573733371072743</v>
      </c>
      <c r="E275" s="185">
        <v>1.7436718893394067E-2</v>
      </c>
      <c r="F275" s="171"/>
      <c r="G275" s="171">
        <v>272</v>
      </c>
      <c r="H275" s="186">
        <f t="shared" ca="1" si="12"/>
        <v>6.7738147319163534E-3</v>
      </c>
    </row>
    <row r="276" spans="2:8">
      <c r="B276" s="36">
        <v>43496</v>
      </c>
      <c r="C276" s="185">
        <v>1413.2</v>
      </c>
      <c r="D276" s="185">
        <f t="shared" si="11"/>
        <v>-0.54690605963449823</v>
      </c>
      <c r="E276" s="185">
        <v>1.7422606191504712E-2</v>
      </c>
      <c r="F276" s="171"/>
      <c r="G276" s="171">
        <v>273</v>
      </c>
      <c r="H276" s="186">
        <f t="shared" ca="1" si="12"/>
        <v>3.4155308984273165E-2</v>
      </c>
    </row>
    <row r="277" spans="2:8">
      <c r="B277" s="36">
        <v>44865</v>
      </c>
      <c r="C277" s="185">
        <v>3119</v>
      </c>
      <c r="D277" s="185">
        <f t="shared" si="11"/>
        <v>0.78590855735921439</v>
      </c>
      <c r="E277" s="185">
        <v>1.7402508440298111E-2</v>
      </c>
      <c r="F277" s="171"/>
      <c r="G277" s="171">
        <v>274</v>
      </c>
      <c r="H277" s="186">
        <f t="shared" ca="1" si="12"/>
        <v>-3.5216679461979542E-6</v>
      </c>
    </row>
    <row r="278" spans="2:8">
      <c r="B278" s="36">
        <v>43937</v>
      </c>
      <c r="C278" s="185">
        <v>1746.45</v>
      </c>
      <c r="D278" s="185">
        <f t="shared" si="11"/>
        <v>-0.12703688893331994</v>
      </c>
      <c r="E278" s="185">
        <v>1.738902481649781E-2</v>
      </c>
      <c r="F278" s="171"/>
      <c r="G278" s="171">
        <v>275</v>
      </c>
      <c r="H278" s="186">
        <f t="shared" ca="1" si="12"/>
        <v>-1.0096028254121263E-3</v>
      </c>
    </row>
    <row r="279" spans="2:8">
      <c r="B279" s="36">
        <v>44068</v>
      </c>
      <c r="C279" s="185">
        <v>2000.6</v>
      </c>
      <c r="D279" s="185">
        <f t="shared" si="11"/>
        <v>-0.37946650124069481</v>
      </c>
      <c r="E279" s="185">
        <v>1.7366320018307031E-2</v>
      </c>
      <c r="F279" s="171"/>
      <c r="G279" s="171">
        <v>276</v>
      </c>
      <c r="H279" s="186">
        <f t="shared" ca="1" si="12"/>
        <v>-2.4836092393689781E-3</v>
      </c>
    </row>
    <row r="280" spans="2:8">
      <c r="B280" s="36">
        <v>45162</v>
      </c>
      <c r="C280" s="185">
        <v>3224</v>
      </c>
      <c r="D280" s="185">
        <f t="shared" si="11"/>
        <v>2.6283833211411851</v>
      </c>
      <c r="E280" s="185">
        <v>1.7355632691700852E-2</v>
      </c>
      <c r="F280" s="171"/>
      <c r="G280" s="171">
        <v>277</v>
      </c>
      <c r="H280" s="186">
        <f t="shared" ca="1" si="12"/>
        <v>1.2821011153928336E-2</v>
      </c>
    </row>
    <row r="281" spans="2:8">
      <c r="B281" s="36">
        <v>42464</v>
      </c>
      <c r="C281" s="185">
        <v>888.55</v>
      </c>
      <c r="D281" s="185">
        <f t="shared" si="11"/>
        <v>-0.39192472198460226</v>
      </c>
      <c r="E281" s="185">
        <v>1.7346004121822738E-2</v>
      </c>
      <c r="F281" s="171"/>
      <c r="G281" s="171">
        <v>278</v>
      </c>
      <c r="H281" s="186">
        <f t="shared" ca="1" si="12"/>
        <v>2.6092290525854194E-2</v>
      </c>
    </row>
    <row r="282" spans="2:8">
      <c r="B282" s="36">
        <v>43571</v>
      </c>
      <c r="C282" s="185">
        <v>1461.25</v>
      </c>
      <c r="D282" s="185">
        <f t="shared" si="11"/>
        <v>-0.58653424444350133</v>
      </c>
      <c r="E282" s="185">
        <v>1.7335607616528071E-2</v>
      </c>
      <c r="F282" s="171"/>
      <c r="G282" s="171">
        <v>279</v>
      </c>
      <c r="H282" s="186">
        <f t="shared" ca="1" si="12"/>
        <v>1.5593546533004694E-2</v>
      </c>
    </row>
    <row r="283" spans="2:8">
      <c r="B283" s="36">
        <v>44566</v>
      </c>
      <c r="C283" s="185">
        <v>3534.15</v>
      </c>
      <c r="D283" s="185">
        <f t="shared" si="11"/>
        <v>0.44984821135543168</v>
      </c>
      <c r="E283" s="185">
        <v>1.7328977100994625E-2</v>
      </c>
      <c r="F283" s="171"/>
      <c r="G283" s="171">
        <v>280</v>
      </c>
      <c r="H283" s="186">
        <f t="shared" ca="1" si="12"/>
        <v>2.6798301719442627E-2</v>
      </c>
    </row>
    <row r="284" spans="2:8">
      <c r="B284" s="36">
        <v>45870</v>
      </c>
      <c r="C284" s="185">
        <v>2437.6</v>
      </c>
      <c r="D284" s="185">
        <f t="shared" si="11"/>
        <v>0.41482384351964696</v>
      </c>
      <c r="E284" s="185">
        <v>1.7319811360126874E-2</v>
      </c>
      <c r="F284" s="171"/>
      <c r="G284" s="171">
        <v>281</v>
      </c>
      <c r="H284" s="186">
        <f t="shared" ca="1" si="12"/>
        <v>-1.2832843015929702E-2</v>
      </c>
    </row>
    <row r="285" spans="2:8">
      <c r="B285" s="36">
        <v>44029</v>
      </c>
      <c r="C285" s="185">
        <v>1722.9</v>
      </c>
      <c r="D285" s="185">
        <f t="shared" si="11"/>
        <v>-0.37803689397494672</v>
      </c>
      <c r="E285" s="185">
        <v>1.7300425129900911E-2</v>
      </c>
      <c r="F285" s="171"/>
      <c r="G285" s="171">
        <v>282</v>
      </c>
      <c r="H285" s="186">
        <f t="shared" ca="1" si="12"/>
        <v>1.0514108019524626E-2</v>
      </c>
    </row>
    <row r="286" spans="2:8">
      <c r="B286" s="36">
        <v>44960</v>
      </c>
      <c r="C286" s="185">
        <v>2770.1</v>
      </c>
      <c r="D286" s="185">
        <f t="shared" si="11"/>
        <v>-8.8333059075201614E-2</v>
      </c>
      <c r="E286" s="185">
        <v>1.7278419419400937E-2</v>
      </c>
      <c r="F286" s="171"/>
      <c r="G286" s="171">
        <v>283</v>
      </c>
      <c r="H286" s="186">
        <f t="shared" ca="1" si="12"/>
        <v>3.3670134969225108E-5</v>
      </c>
    </row>
    <row r="287" spans="2:8">
      <c r="B287" s="36">
        <v>45236</v>
      </c>
      <c r="C287" s="185">
        <v>3038.5</v>
      </c>
      <c r="D287" s="185">
        <f t="shared" si="11"/>
        <v>1.5380053458068825</v>
      </c>
      <c r="E287" s="185">
        <v>1.7190298445006077E-2</v>
      </c>
      <c r="F287" s="171"/>
      <c r="G287" s="171">
        <v>284</v>
      </c>
      <c r="H287" s="186">
        <f t="shared" ca="1" si="12"/>
        <v>2.3683735304318131E-2</v>
      </c>
    </row>
    <row r="288" spans="2:8">
      <c r="B288" s="36">
        <v>43048</v>
      </c>
      <c r="C288" s="185">
        <v>1197.2</v>
      </c>
      <c r="D288" s="185">
        <f t="shared" si="11"/>
        <v>3.7165381616564235E-2</v>
      </c>
      <c r="E288" s="185">
        <v>1.7162276975361126E-2</v>
      </c>
      <c r="F288" s="171"/>
      <c r="G288" s="171">
        <v>285</v>
      </c>
      <c r="H288" s="186">
        <f t="shared" ca="1" si="12"/>
        <v>-7.2453867646694861E-3</v>
      </c>
    </row>
    <row r="289" spans="2:8">
      <c r="B289" s="36">
        <v>43132</v>
      </c>
      <c r="C289" s="185">
        <v>1154.3</v>
      </c>
      <c r="D289" s="185">
        <f t="shared" si="11"/>
        <v>-0.57305074715194559</v>
      </c>
      <c r="E289" s="185">
        <v>1.7138828920121644E-2</v>
      </c>
      <c r="F289" s="171"/>
      <c r="G289" s="171">
        <v>286</v>
      </c>
      <c r="H289" s="186">
        <f t="shared" ca="1" si="12"/>
        <v>6.9304089937456646E-3</v>
      </c>
    </row>
    <row r="290" spans="2:8">
      <c r="B290" s="36">
        <v>44216</v>
      </c>
      <c r="C290" s="185">
        <v>2703.6</v>
      </c>
      <c r="D290" s="185">
        <f t="shared" si="11"/>
        <v>0.11247814010904224</v>
      </c>
      <c r="E290" s="185">
        <v>1.7136622712138495E-2</v>
      </c>
      <c r="F290" s="171"/>
      <c r="G290" s="171">
        <v>287</v>
      </c>
      <c r="H290" s="186">
        <f t="shared" ca="1" si="12"/>
        <v>-2.3970403196449309E-2</v>
      </c>
    </row>
    <row r="291" spans="2:8">
      <c r="B291" s="36">
        <v>44235</v>
      </c>
      <c r="C291" s="185">
        <v>2430.25</v>
      </c>
      <c r="D291" s="185">
        <f t="shared" si="11"/>
        <v>-0.20142939291875461</v>
      </c>
      <c r="E291" s="185">
        <v>1.7117626132630251E-2</v>
      </c>
      <c r="F291" s="171"/>
      <c r="G291" s="171">
        <v>288</v>
      </c>
      <c r="H291" s="186">
        <f t="shared" ca="1" si="12"/>
        <v>5.5377179360019731E-3</v>
      </c>
    </row>
    <row r="292" spans="2:8">
      <c r="B292" s="36">
        <v>44371</v>
      </c>
      <c r="C292" s="185">
        <v>3043.25</v>
      </c>
      <c r="D292" s="185">
        <f t="shared" si="11"/>
        <v>-0.15008448186781731</v>
      </c>
      <c r="E292" s="185">
        <v>1.7078020821148641E-2</v>
      </c>
      <c r="F292" s="171"/>
      <c r="G292" s="171">
        <v>289</v>
      </c>
      <c r="H292" s="186">
        <f t="shared" ca="1" si="12"/>
        <v>3.5438819321630084E-4</v>
      </c>
    </row>
    <row r="293" spans="2:8">
      <c r="B293" s="36">
        <v>44568</v>
      </c>
      <c r="C293" s="185">
        <v>3580.65</v>
      </c>
      <c r="D293" s="185">
        <f t="shared" si="11"/>
        <v>3.0726228389444947</v>
      </c>
      <c r="E293" s="185">
        <v>1.7056751690052885E-2</v>
      </c>
      <c r="F293" s="171"/>
      <c r="G293" s="171">
        <v>290</v>
      </c>
      <c r="H293" s="186">
        <f t="shared" ca="1" si="12"/>
        <v>-2.5299515389558245E-2</v>
      </c>
    </row>
    <row r="294" spans="2:8">
      <c r="B294" s="36">
        <v>42486</v>
      </c>
      <c r="C294" s="185">
        <v>879.2</v>
      </c>
      <c r="D294" s="185">
        <f t="shared" si="11"/>
        <v>-0.38420591840308171</v>
      </c>
      <c r="E294" s="185">
        <v>1.7004048582996003E-2</v>
      </c>
      <c r="F294" s="171"/>
      <c r="G294" s="171">
        <v>291</v>
      </c>
      <c r="H294" s="186">
        <f t="shared" ca="1" si="12"/>
        <v>-1.384171334469504E-2</v>
      </c>
    </row>
    <row r="295" spans="2:8">
      <c r="B295" s="36">
        <v>43454</v>
      </c>
      <c r="C295" s="185">
        <v>1427.75</v>
      </c>
      <c r="D295" s="185">
        <f t="shared" si="11"/>
        <v>-1.049501486793773E-3</v>
      </c>
      <c r="E295" s="185">
        <v>1.6952170661348305E-2</v>
      </c>
      <c r="F295" s="171"/>
      <c r="G295" s="171">
        <v>292</v>
      </c>
      <c r="H295" s="186">
        <f t="shared" ca="1" si="12"/>
        <v>-7.8113419870897366E-3</v>
      </c>
    </row>
    <row r="296" spans="2:8">
      <c r="B296" s="36">
        <v>43319</v>
      </c>
      <c r="C296" s="185">
        <v>1429.25</v>
      </c>
      <c r="D296" s="185">
        <f t="shared" si="11"/>
        <v>0.23030902987001803</v>
      </c>
      <c r="E296" s="185">
        <v>1.6934078053292508E-2</v>
      </c>
      <c r="F296" s="171"/>
      <c r="G296" s="171">
        <v>293</v>
      </c>
      <c r="H296" s="186">
        <f t="shared" ca="1" si="12"/>
        <v>1.5693004254427366E-3</v>
      </c>
    </row>
    <row r="297" spans="2:8">
      <c r="B297" s="36">
        <v>43174</v>
      </c>
      <c r="C297" s="185">
        <v>1161.7</v>
      </c>
      <c r="D297" s="185">
        <f t="shared" si="11"/>
        <v>-0.65938045183328209</v>
      </c>
      <c r="E297" s="185">
        <v>1.689425770308119E-2</v>
      </c>
      <c r="F297" s="171"/>
      <c r="G297" s="171">
        <v>294</v>
      </c>
      <c r="H297" s="186">
        <f t="shared" ca="1" si="12"/>
        <v>1.643000544853537E-2</v>
      </c>
    </row>
    <row r="298" spans="2:8">
      <c r="B298" s="36">
        <v>44803</v>
      </c>
      <c r="C298" s="185">
        <v>3410.55</v>
      </c>
      <c r="D298" s="185">
        <f t="shared" si="11"/>
        <v>2.5160309278350517</v>
      </c>
      <c r="E298" s="185">
        <v>1.689078386356185E-2</v>
      </c>
      <c r="F298" s="171"/>
      <c r="G298" s="171">
        <v>295</v>
      </c>
      <c r="H298" s="186">
        <f t="shared" ca="1" si="12"/>
        <v>-1.7433603571107566E-2</v>
      </c>
    </row>
    <row r="299" spans="2:8">
      <c r="B299" s="36">
        <v>42507</v>
      </c>
      <c r="C299" s="185">
        <v>970</v>
      </c>
      <c r="D299" s="185">
        <f t="shared" si="11"/>
        <v>-0.67653728157929838</v>
      </c>
      <c r="E299" s="185">
        <v>1.6878079463256132E-2</v>
      </c>
      <c r="F299" s="171"/>
      <c r="G299" s="171">
        <v>296</v>
      </c>
      <c r="H299" s="186">
        <f t="shared" ca="1" si="12"/>
        <v>3.4203893427454482E-3</v>
      </c>
    </row>
    <row r="300" spans="2:8">
      <c r="B300" s="36">
        <v>45320</v>
      </c>
      <c r="C300" s="185">
        <v>2998.8</v>
      </c>
      <c r="D300" s="185">
        <f t="shared" si="11"/>
        <v>-7.4142724745133188E-3</v>
      </c>
      <c r="E300" s="185">
        <v>1.6818120168181325E-2</v>
      </c>
      <c r="F300" s="171"/>
      <c r="G300" s="171">
        <v>297</v>
      </c>
      <c r="H300" s="186">
        <f t="shared" ca="1" si="12"/>
        <v>5.7769403268970176E-4</v>
      </c>
    </row>
    <row r="301" spans="2:8">
      <c r="B301" s="36">
        <v>44425</v>
      </c>
      <c r="C301" s="185">
        <v>3021.2</v>
      </c>
      <c r="D301" s="185">
        <f t="shared" si="11"/>
        <v>1.9297905352986808</v>
      </c>
      <c r="E301" s="185">
        <v>1.6691344730111694E-2</v>
      </c>
      <c r="F301" s="171"/>
      <c r="G301" s="171">
        <v>298</v>
      </c>
      <c r="H301" s="186">
        <f t="shared" ca="1" si="12"/>
        <v>9.0605418554661928E-3</v>
      </c>
    </row>
    <row r="302" spans="2:8">
      <c r="B302" s="36">
        <v>42562</v>
      </c>
      <c r="C302" s="185">
        <v>1031.2</v>
      </c>
      <c r="D302" s="185">
        <f t="shared" si="11"/>
        <v>-0.67476700361124686</v>
      </c>
      <c r="E302" s="185">
        <v>1.6661737158631659E-2</v>
      </c>
      <c r="F302" s="171"/>
      <c r="G302" s="171">
        <v>299</v>
      </c>
      <c r="H302" s="186">
        <f t="shared" ca="1" si="12"/>
        <v>1.2438300203780783E-2</v>
      </c>
    </row>
    <row r="303" spans="2:8">
      <c r="B303" s="36">
        <v>44866</v>
      </c>
      <c r="C303" s="185">
        <v>3170.65</v>
      </c>
      <c r="D303" s="185">
        <f t="shared" si="11"/>
        <v>0.34823744525237077</v>
      </c>
      <c r="E303" s="185">
        <v>1.6559794806027602E-2</v>
      </c>
      <c r="F303" s="171"/>
      <c r="G303" s="171">
        <v>300</v>
      </c>
      <c r="H303" s="186">
        <f t="shared" ca="1" si="12"/>
        <v>4.0136301461363979E-3</v>
      </c>
    </row>
    <row r="304" spans="2:8">
      <c r="B304" s="36">
        <v>45659</v>
      </c>
      <c r="C304" s="185">
        <v>2351.6999999999998</v>
      </c>
      <c r="D304" s="185">
        <f t="shared" si="11"/>
        <v>-0.11058583260844904</v>
      </c>
      <c r="E304" s="185">
        <v>1.65337482979965E-2</v>
      </c>
      <c r="F304" s="171"/>
      <c r="G304" s="171">
        <v>301</v>
      </c>
      <c r="H304" s="186">
        <f t="shared" ca="1" si="12"/>
        <v>-2.1761996461742705E-2</v>
      </c>
    </row>
    <row r="305" spans="2:8">
      <c r="B305" s="36">
        <v>46164</v>
      </c>
      <c r="C305" s="185">
        <v>2644.1</v>
      </c>
      <c r="D305" s="185">
        <f t="shared" si="11"/>
        <v>0.50979272540398557</v>
      </c>
      <c r="E305" s="185">
        <v>1.6531467456076275E-2</v>
      </c>
      <c r="F305" s="171"/>
      <c r="G305" s="171">
        <v>302</v>
      </c>
      <c r="H305" s="186">
        <f t="shared" ca="1" si="12"/>
        <v>2.8198819214694002E-2</v>
      </c>
    </row>
    <row r="306" spans="2:8">
      <c r="B306" s="36">
        <v>44032</v>
      </c>
      <c r="C306" s="185">
        <v>1751.3</v>
      </c>
      <c r="D306" s="185">
        <f t="shared" si="11"/>
        <v>-0.29883492813388313</v>
      </c>
      <c r="E306" s="185">
        <v>1.6483835393812679E-2</v>
      </c>
      <c r="F306" s="171"/>
      <c r="G306" s="171">
        <v>303</v>
      </c>
      <c r="H306" s="186">
        <f t="shared" ca="1" si="12"/>
        <v>-1.271170055450469E-2</v>
      </c>
    </row>
    <row r="307" spans="2:8">
      <c r="B307" s="36">
        <v>45846</v>
      </c>
      <c r="C307" s="185">
        <v>2497.6999999999998</v>
      </c>
      <c r="D307" s="185">
        <f t="shared" si="11"/>
        <v>1.2082044027937406</v>
      </c>
      <c r="E307" s="185">
        <v>1.6482174833143418E-2</v>
      </c>
      <c r="F307" s="171"/>
      <c r="G307" s="171">
        <v>304</v>
      </c>
      <c r="H307" s="186">
        <f t="shared" ca="1" si="12"/>
        <v>-1.067516437599848E-3</v>
      </c>
    </row>
    <row r="308" spans="2:8">
      <c r="B308" s="36">
        <v>42921</v>
      </c>
      <c r="C308" s="185">
        <v>1131.0999999999999</v>
      </c>
      <c r="D308" s="185">
        <f t="shared" si="11"/>
        <v>-0.27063451122001553</v>
      </c>
      <c r="E308" s="185">
        <v>1.6445003594536264E-2</v>
      </c>
      <c r="F308" s="171"/>
      <c r="G308" s="171">
        <v>305</v>
      </c>
      <c r="H308" s="186">
        <f t="shared" ca="1" si="12"/>
        <v>1.9929105403434001E-2</v>
      </c>
    </row>
    <row r="309" spans="2:8">
      <c r="B309" s="36">
        <v>43966</v>
      </c>
      <c r="C309" s="185">
        <v>1550.8</v>
      </c>
      <c r="D309" s="185">
        <f t="shared" si="11"/>
        <v>0.33133021419066838</v>
      </c>
      <c r="E309" s="185">
        <v>1.6418155005734854E-2</v>
      </c>
      <c r="F309" s="171"/>
      <c r="G309" s="171">
        <v>306</v>
      </c>
      <c r="H309" s="186">
        <f t="shared" ca="1" si="12"/>
        <v>1.8607750535532572E-2</v>
      </c>
    </row>
    <row r="310" spans="2:8">
      <c r="B310" s="36">
        <v>43098</v>
      </c>
      <c r="C310" s="185">
        <v>1164.8499999999999</v>
      </c>
      <c r="D310" s="185">
        <f t="shared" si="11"/>
        <v>-0.63223199204382219</v>
      </c>
      <c r="E310" s="185">
        <v>1.6404170847694216E-2</v>
      </c>
      <c r="F310" s="171"/>
      <c r="G310" s="171">
        <v>307</v>
      </c>
      <c r="H310" s="186">
        <f t="shared" ca="1" si="12"/>
        <v>-6.0763677461333253E-3</v>
      </c>
    </row>
    <row r="311" spans="2:8">
      <c r="B311" s="36">
        <v>44704</v>
      </c>
      <c r="C311" s="185">
        <v>3167.35</v>
      </c>
      <c r="D311" s="185">
        <f t="shared" si="11"/>
        <v>2.6965046390850205</v>
      </c>
      <c r="E311" s="185">
        <v>1.6381606392195786E-2</v>
      </c>
      <c r="F311" s="171"/>
      <c r="G311" s="171">
        <v>308</v>
      </c>
      <c r="H311" s="186">
        <f t="shared" ca="1" si="12"/>
        <v>-5.1838483103072526E-3</v>
      </c>
    </row>
    <row r="312" spans="2:8">
      <c r="B312" s="36">
        <v>42417</v>
      </c>
      <c r="C312" s="185">
        <v>856.85</v>
      </c>
      <c r="D312" s="185">
        <f t="shared" si="11"/>
        <v>-0.7282472526601228</v>
      </c>
      <c r="E312" s="185">
        <v>1.6369135875689542E-2</v>
      </c>
      <c r="F312" s="171"/>
      <c r="G312" s="171">
        <v>309</v>
      </c>
      <c r="H312" s="186">
        <f t="shared" ca="1" si="12"/>
        <v>5.585091214647067E-3</v>
      </c>
    </row>
    <row r="313" spans="2:8">
      <c r="B313" s="36">
        <v>45525</v>
      </c>
      <c r="C313" s="185">
        <v>3153.05</v>
      </c>
      <c r="D313" s="185">
        <f t="shared" si="11"/>
        <v>1.260412932826726</v>
      </c>
      <c r="E313" s="185">
        <v>1.6309690728295499E-2</v>
      </c>
      <c r="F313" s="171"/>
      <c r="G313" s="171">
        <v>310</v>
      </c>
      <c r="H313" s="186">
        <f t="shared" ca="1" si="12"/>
        <v>2.1016899278574384E-3</v>
      </c>
    </row>
    <row r="314" spans="2:8">
      <c r="B314" s="36">
        <v>43663</v>
      </c>
      <c r="C314" s="185">
        <v>1394.9</v>
      </c>
      <c r="D314" s="185">
        <f t="shared" si="11"/>
        <v>7.956040554136691E-2</v>
      </c>
      <c r="E314" s="185">
        <v>1.6209521728044293E-2</v>
      </c>
      <c r="F314" s="171"/>
      <c r="G314" s="171">
        <v>311</v>
      </c>
      <c r="H314" s="186">
        <f t="shared" ca="1" si="12"/>
        <v>-9.559018182854373E-3</v>
      </c>
    </row>
    <row r="315" spans="2:8">
      <c r="B315" s="36">
        <v>43368</v>
      </c>
      <c r="C315" s="185">
        <v>1292.0999999999999</v>
      </c>
      <c r="D315" s="185">
        <f t="shared" si="11"/>
        <v>-0.6332803542033264</v>
      </c>
      <c r="E315" s="185">
        <v>1.6161377845936027E-2</v>
      </c>
      <c r="F315" s="171"/>
      <c r="G315" s="171">
        <v>312</v>
      </c>
      <c r="H315" s="186">
        <f t="shared" ca="1" si="12"/>
        <v>-1.7215515689013031E-2</v>
      </c>
    </row>
    <row r="316" spans="2:8">
      <c r="B316" s="36">
        <v>45125</v>
      </c>
      <c r="C316" s="185">
        <v>3523.4</v>
      </c>
      <c r="D316" s="185">
        <f t="shared" si="11"/>
        <v>2.8870318274587672</v>
      </c>
      <c r="E316" s="185">
        <v>1.615042971679068E-2</v>
      </c>
      <c r="F316" s="171"/>
      <c r="G316" s="171">
        <v>313</v>
      </c>
      <c r="H316" s="186">
        <f t="shared" ca="1" si="12"/>
        <v>1.2543504385019093E-2</v>
      </c>
    </row>
    <row r="317" spans="2:8">
      <c r="B317" s="36">
        <v>42737</v>
      </c>
      <c r="C317" s="185">
        <v>906.45</v>
      </c>
      <c r="D317" s="185">
        <f t="shared" si="11"/>
        <v>-0.67413811697882586</v>
      </c>
      <c r="E317" s="185">
        <v>1.6028694726223244E-2</v>
      </c>
      <c r="F317" s="171"/>
      <c r="G317" s="171">
        <v>314</v>
      </c>
      <c r="H317" s="186">
        <f t="shared" ca="1" si="12"/>
        <v>5.8563597721388245E-3</v>
      </c>
    </row>
    <row r="318" spans="2:8">
      <c r="B318" s="36">
        <v>44956</v>
      </c>
      <c r="C318" s="185">
        <v>2781.7</v>
      </c>
      <c r="D318" s="185">
        <f t="shared" si="11"/>
        <v>-0.1299710688873251</v>
      </c>
      <c r="E318" s="185">
        <v>1.5997662442017505E-2</v>
      </c>
      <c r="F318" s="171"/>
      <c r="G318" s="171">
        <v>315</v>
      </c>
      <c r="H318" s="186">
        <f t="shared" ca="1" si="12"/>
        <v>-1.8087923255193549E-2</v>
      </c>
    </row>
    <row r="319" spans="2:8">
      <c r="B319" s="36">
        <v>45077</v>
      </c>
      <c r="C319" s="185">
        <v>3197.25</v>
      </c>
      <c r="D319" s="185">
        <f t="shared" si="11"/>
        <v>2.5773426573426574</v>
      </c>
      <c r="E319" s="185">
        <v>1.5983730278523709E-2</v>
      </c>
      <c r="F319" s="171"/>
      <c r="G319" s="171">
        <v>316</v>
      </c>
      <c r="H319" s="186">
        <f t="shared" ca="1" si="12"/>
        <v>-1.8611350984931309E-2</v>
      </c>
    </row>
    <row r="320" spans="2:8">
      <c r="B320" s="36">
        <v>42439</v>
      </c>
      <c r="C320" s="185">
        <v>893.75</v>
      </c>
      <c r="D320" s="185">
        <f t="shared" si="11"/>
        <v>-0.65801255070023723</v>
      </c>
      <c r="E320" s="185">
        <v>1.5971353870637663E-2</v>
      </c>
      <c r="F320" s="171"/>
      <c r="G320" s="171">
        <v>317</v>
      </c>
      <c r="H320" s="186">
        <f t="shared" ca="1" si="12"/>
        <v>-3.6197402526261559E-2</v>
      </c>
    </row>
    <row r="321" spans="2:8">
      <c r="B321" s="36">
        <v>44314</v>
      </c>
      <c r="C321" s="185">
        <v>2613.4</v>
      </c>
      <c r="D321" s="185">
        <f t="shared" si="11"/>
        <v>1.6727347105747599</v>
      </c>
      <c r="E321" s="185">
        <v>1.5958170544443869E-2</v>
      </c>
      <c r="F321" s="171"/>
      <c r="G321" s="171">
        <v>318</v>
      </c>
      <c r="H321" s="186">
        <f t="shared" ca="1" si="12"/>
        <v>-2.5031085387684091E-2</v>
      </c>
    </row>
    <row r="322" spans="2:8">
      <c r="B322" s="36">
        <v>42786</v>
      </c>
      <c r="C322" s="185">
        <v>977.8</v>
      </c>
      <c r="D322" s="185">
        <f t="shared" si="11"/>
        <v>-0.19545809849014684</v>
      </c>
      <c r="E322" s="185">
        <v>1.5896103896103849E-2</v>
      </c>
      <c r="F322" s="171"/>
      <c r="G322" s="171">
        <v>319</v>
      </c>
      <c r="H322" s="186">
        <f t="shared" ca="1" si="12"/>
        <v>1.8110581531620054E-2</v>
      </c>
    </row>
    <row r="323" spans="2:8">
      <c r="B323" s="36">
        <v>43227</v>
      </c>
      <c r="C323" s="185">
        <v>1215.3499999999999</v>
      </c>
      <c r="D323" s="185">
        <f t="shared" si="11"/>
        <v>-0.29303123727531849</v>
      </c>
      <c r="E323" s="185">
        <v>1.5881639988297742E-2</v>
      </c>
      <c r="F323" s="171"/>
      <c r="G323" s="171">
        <v>320</v>
      </c>
      <c r="H323" s="186">
        <f t="shared" ca="1" si="12"/>
        <v>9.5118718410780109E-4</v>
      </c>
    </row>
    <row r="324" spans="2:8">
      <c r="B324" s="36">
        <v>44021</v>
      </c>
      <c r="C324" s="185">
        <v>1719.1</v>
      </c>
      <c r="D324" s="185">
        <f t="shared" ref="D324:D387" si="13">(C324-C325)/C325</f>
        <v>-0.32557865829737154</v>
      </c>
      <c r="E324" s="185">
        <v>1.586644999261333E-2</v>
      </c>
      <c r="F324" s="171"/>
      <c r="G324" s="171">
        <v>321</v>
      </c>
      <c r="H324" s="186">
        <f t="shared" ca="1" si="12"/>
        <v>-2.8795213921904792E-5</v>
      </c>
    </row>
    <row r="325" spans="2:8">
      <c r="B325" s="36">
        <v>45959</v>
      </c>
      <c r="C325" s="185">
        <v>2549</v>
      </c>
      <c r="D325" s="185">
        <f t="shared" si="13"/>
        <v>4.0875495120258037E-2</v>
      </c>
      <c r="E325" s="185">
        <v>1.5821145339337591E-2</v>
      </c>
      <c r="F325" s="171"/>
      <c r="G325" s="171">
        <v>322</v>
      </c>
      <c r="H325" s="186">
        <f t="shared" ref="H325:H388" ca="1" si="14">_xlfn.NORM.INV(RAND(),N$6,N$7)</f>
        <v>1.99703002566671E-3</v>
      </c>
    </row>
    <row r="326" spans="2:8">
      <c r="B326" s="36">
        <v>45763</v>
      </c>
      <c r="C326" s="185">
        <v>2448.9</v>
      </c>
      <c r="D326" s="185">
        <f t="shared" si="13"/>
        <v>1.3145409007135771</v>
      </c>
      <c r="E326" s="185">
        <v>1.5803882528621166E-2</v>
      </c>
      <c r="F326" s="171"/>
      <c r="G326" s="171">
        <v>323</v>
      </c>
      <c r="H326" s="186">
        <f t="shared" ca="1" si="14"/>
        <v>-1.5730008252928841E-2</v>
      </c>
    </row>
    <row r="327" spans="2:8">
      <c r="B327" s="36">
        <v>42682</v>
      </c>
      <c r="C327" s="185">
        <v>1058.05</v>
      </c>
      <c r="D327" s="185">
        <f t="shared" si="13"/>
        <v>-0.65019093118212024</v>
      </c>
      <c r="E327" s="185">
        <v>1.5744251908030395E-2</v>
      </c>
      <c r="F327" s="171"/>
      <c r="G327" s="171">
        <v>324</v>
      </c>
      <c r="H327" s="186">
        <f t="shared" ca="1" si="14"/>
        <v>1.3659566322509996E-2</v>
      </c>
    </row>
    <row r="328" spans="2:8">
      <c r="B328" s="36">
        <v>45503</v>
      </c>
      <c r="C328" s="185">
        <v>3024.65</v>
      </c>
      <c r="D328" s="185">
        <f t="shared" si="13"/>
        <v>7.2742104236491606E-2</v>
      </c>
      <c r="E328" s="185">
        <v>1.5716036737914999E-2</v>
      </c>
      <c r="F328" s="171"/>
      <c r="G328" s="171">
        <v>325</v>
      </c>
      <c r="H328" s="186">
        <f t="shared" ca="1" si="14"/>
        <v>7.7334394687863014E-3</v>
      </c>
    </row>
    <row r="329" spans="2:8">
      <c r="B329" s="36">
        <v>44966</v>
      </c>
      <c r="C329" s="185">
        <v>2819.55</v>
      </c>
      <c r="D329" s="185">
        <f t="shared" si="13"/>
        <v>6.2137421833798043E-2</v>
      </c>
      <c r="E329" s="185">
        <v>1.5706334768277659E-2</v>
      </c>
      <c r="F329" s="171"/>
      <c r="G329" s="171">
        <v>326</v>
      </c>
      <c r="H329" s="186">
        <f t="shared" ca="1" si="14"/>
        <v>1.9773841165008826E-2</v>
      </c>
    </row>
    <row r="330" spans="2:8">
      <c r="B330" s="36">
        <v>45971</v>
      </c>
      <c r="C330" s="185">
        <v>2654.6</v>
      </c>
      <c r="D330" s="185">
        <f t="shared" si="13"/>
        <v>0.21946849805912214</v>
      </c>
      <c r="E330" s="185">
        <v>1.568717477808387E-2</v>
      </c>
      <c r="F330" s="171"/>
      <c r="G330" s="171">
        <v>327</v>
      </c>
      <c r="H330" s="186">
        <f t="shared" ca="1" si="14"/>
        <v>6.3345775200270536E-3</v>
      </c>
    </row>
    <row r="331" spans="2:8">
      <c r="B331" s="36">
        <v>45721</v>
      </c>
      <c r="C331" s="185">
        <v>2176.85</v>
      </c>
      <c r="D331" s="185">
        <f t="shared" si="13"/>
        <v>-0.23620638234416949</v>
      </c>
      <c r="E331" s="185">
        <v>1.5629738493479834E-2</v>
      </c>
      <c r="F331" s="171"/>
      <c r="G331" s="171">
        <v>328</v>
      </c>
      <c r="H331" s="186">
        <f t="shared" ca="1" si="14"/>
        <v>-2.2446690905186088E-2</v>
      </c>
    </row>
    <row r="332" spans="2:8">
      <c r="B332" s="36">
        <v>44204</v>
      </c>
      <c r="C332" s="185">
        <v>2850.05</v>
      </c>
      <c r="D332" s="185">
        <f t="shared" si="13"/>
        <v>-2.4790419161676583E-2</v>
      </c>
      <c r="E332" s="185">
        <v>1.5626113605587758E-2</v>
      </c>
      <c r="F332" s="171"/>
      <c r="G332" s="171">
        <v>329</v>
      </c>
      <c r="H332" s="186">
        <f t="shared" ca="1" si="14"/>
        <v>1.4386297949663418E-2</v>
      </c>
    </row>
    <row r="333" spans="2:8">
      <c r="B333" s="36">
        <v>45386</v>
      </c>
      <c r="C333" s="185">
        <v>2922.5</v>
      </c>
      <c r="D333" s="185">
        <f t="shared" si="13"/>
        <v>2.4255406434976265</v>
      </c>
      <c r="E333" s="185">
        <v>1.5603280511537424E-2</v>
      </c>
      <c r="F333" s="171"/>
      <c r="G333" s="171">
        <v>330</v>
      </c>
      <c r="H333" s="186">
        <f t="shared" ca="1" si="14"/>
        <v>3.4877263375814151E-3</v>
      </c>
    </row>
    <row r="334" spans="2:8">
      <c r="B334" s="36">
        <v>42241</v>
      </c>
      <c r="C334" s="185">
        <v>853.15</v>
      </c>
      <c r="D334" s="185">
        <f t="shared" si="13"/>
        <v>-0.70839955566948642</v>
      </c>
      <c r="E334" s="185">
        <v>1.5594309862508211E-2</v>
      </c>
      <c r="F334" s="171"/>
      <c r="G334" s="171">
        <v>331</v>
      </c>
      <c r="H334" s="186">
        <f t="shared" ca="1" si="14"/>
        <v>1.7440668134744892E-2</v>
      </c>
    </row>
    <row r="335" spans="2:8">
      <c r="B335" s="36">
        <v>45471</v>
      </c>
      <c r="C335" s="185">
        <v>2925.75</v>
      </c>
      <c r="D335" s="185">
        <f t="shared" si="13"/>
        <v>0.46849198183050172</v>
      </c>
      <c r="E335" s="185">
        <v>1.5585677838138082E-2</v>
      </c>
      <c r="F335" s="171"/>
      <c r="G335" s="171">
        <v>332</v>
      </c>
      <c r="H335" s="186">
        <f t="shared" ca="1" si="14"/>
        <v>-1.3474704975727052E-2</v>
      </c>
    </row>
    <row r="336" spans="2:8">
      <c r="B336" s="36">
        <v>44104</v>
      </c>
      <c r="C336" s="185">
        <v>1992.35</v>
      </c>
      <c r="D336" s="185">
        <f t="shared" si="13"/>
        <v>1.7013083858721443</v>
      </c>
      <c r="E336" s="185">
        <v>1.5572433479457618E-2</v>
      </c>
      <c r="F336" s="171"/>
      <c r="G336" s="171">
        <v>333</v>
      </c>
      <c r="H336" s="186">
        <f t="shared" ca="1" si="14"/>
        <v>4.0698914324763379E-2</v>
      </c>
    </row>
    <row r="337" spans="2:8">
      <c r="B337" s="36">
        <v>42174</v>
      </c>
      <c r="C337" s="185">
        <v>737.55</v>
      </c>
      <c r="D337" s="185">
        <f t="shared" si="13"/>
        <v>-0.56945214675578648</v>
      </c>
      <c r="E337" s="185">
        <v>1.5559380378657424E-2</v>
      </c>
      <c r="F337" s="171"/>
      <c r="G337" s="171">
        <v>334</v>
      </c>
      <c r="H337" s="186">
        <f t="shared" ca="1" si="14"/>
        <v>4.1925426902657704E-3</v>
      </c>
    </row>
    <row r="338" spans="2:8">
      <c r="B338" s="36">
        <v>43794</v>
      </c>
      <c r="C338" s="185">
        <v>1713.05</v>
      </c>
      <c r="D338" s="185">
        <f t="shared" si="13"/>
        <v>-0.23837364396229765</v>
      </c>
      <c r="E338" s="185">
        <v>1.553190858701132E-2</v>
      </c>
      <c r="F338" s="171"/>
      <c r="G338" s="171">
        <v>335</v>
      </c>
      <c r="H338" s="186">
        <f t="shared" ca="1" si="14"/>
        <v>-9.6872838297254755E-3</v>
      </c>
    </row>
    <row r="339" spans="2:8">
      <c r="B339" s="36">
        <v>45824</v>
      </c>
      <c r="C339" s="185">
        <v>2249.1999999999998</v>
      </c>
      <c r="D339" s="185">
        <f t="shared" si="13"/>
        <v>-0.23372796184311392</v>
      </c>
      <c r="E339" s="185">
        <v>1.5531876467400955E-2</v>
      </c>
      <c r="F339" s="171"/>
      <c r="G339" s="171">
        <v>336</v>
      </c>
      <c r="H339" s="186">
        <f t="shared" ca="1" si="14"/>
        <v>-1.4927912205012803E-3</v>
      </c>
    </row>
    <row r="340" spans="2:8">
      <c r="B340" s="36">
        <v>44753</v>
      </c>
      <c r="C340" s="185">
        <v>2935.25</v>
      </c>
      <c r="D340" s="185">
        <f t="shared" si="13"/>
        <v>-4.2911903388853385E-3</v>
      </c>
      <c r="E340" s="185">
        <v>1.5516883476335423E-2</v>
      </c>
      <c r="F340" s="171"/>
      <c r="G340" s="171">
        <v>337</v>
      </c>
      <c r="H340" s="186">
        <f t="shared" ca="1" si="14"/>
        <v>2.0436529889513416E-2</v>
      </c>
    </row>
    <row r="341" spans="2:8">
      <c r="B341" s="36">
        <v>44755</v>
      </c>
      <c r="C341" s="185">
        <v>2947.9</v>
      </c>
      <c r="D341" s="185">
        <f t="shared" si="13"/>
        <v>0.26083702230491218</v>
      </c>
      <c r="E341" s="185">
        <v>1.5466758525663139E-2</v>
      </c>
      <c r="F341" s="171"/>
      <c r="G341" s="171">
        <v>338</v>
      </c>
      <c r="H341" s="186">
        <f t="shared" ca="1" si="14"/>
        <v>5.121675724971954E-3</v>
      </c>
    </row>
    <row r="342" spans="2:8">
      <c r="B342" s="36">
        <v>45665</v>
      </c>
      <c r="C342" s="185">
        <v>2338.0500000000002</v>
      </c>
      <c r="D342" s="185">
        <f t="shared" si="13"/>
        <v>1.6818651066758434</v>
      </c>
      <c r="E342" s="185">
        <v>1.5439739413680861E-2</v>
      </c>
      <c r="F342" s="171"/>
      <c r="G342" s="171">
        <v>339</v>
      </c>
      <c r="H342" s="186">
        <f t="shared" ca="1" si="14"/>
        <v>1.0207880086689127E-3</v>
      </c>
    </row>
    <row r="343" spans="2:8">
      <c r="B343" s="36">
        <v>42398</v>
      </c>
      <c r="C343" s="185">
        <v>871.8</v>
      </c>
      <c r="D343" s="185">
        <f t="shared" si="13"/>
        <v>-0.70861812530289603</v>
      </c>
      <c r="E343" s="185">
        <v>1.5373864430468124E-2</v>
      </c>
      <c r="F343" s="171"/>
      <c r="G343" s="171">
        <v>340</v>
      </c>
      <c r="H343" s="186">
        <f t="shared" ca="1" si="14"/>
        <v>1.9794175490690163E-2</v>
      </c>
    </row>
    <row r="344" spans="2:8">
      <c r="B344" s="36">
        <v>45050</v>
      </c>
      <c r="C344" s="185">
        <v>2991.95</v>
      </c>
      <c r="D344" s="185">
        <f t="shared" si="13"/>
        <v>0.96045604953641495</v>
      </c>
      <c r="E344" s="185">
        <v>1.5338932722490818E-2</v>
      </c>
      <c r="F344" s="171"/>
      <c r="G344" s="171">
        <v>341</v>
      </c>
      <c r="H344" s="186">
        <f t="shared" ca="1" si="14"/>
        <v>9.0788466520867906E-3</v>
      </c>
    </row>
    <row r="345" spans="2:8">
      <c r="B345" s="36">
        <v>43557</v>
      </c>
      <c r="C345" s="185">
        <v>1526.15</v>
      </c>
      <c r="D345" s="185">
        <f t="shared" si="13"/>
        <v>-0.4893428361105534</v>
      </c>
      <c r="E345" s="185">
        <v>1.5334974386268501E-2</v>
      </c>
      <c r="F345" s="171"/>
      <c r="G345" s="171">
        <v>342</v>
      </c>
      <c r="H345" s="186">
        <f t="shared" ca="1" si="14"/>
        <v>1.8942280633252625E-3</v>
      </c>
    </row>
    <row r="346" spans="2:8">
      <c r="B346" s="36">
        <v>44757</v>
      </c>
      <c r="C346" s="185">
        <v>2988.6</v>
      </c>
      <c r="D346" s="185">
        <f t="shared" si="13"/>
        <v>0.10476120065059889</v>
      </c>
      <c r="E346" s="185">
        <v>1.530464914813736E-2</v>
      </c>
      <c r="F346" s="171"/>
      <c r="G346" s="171">
        <v>343</v>
      </c>
      <c r="H346" s="186">
        <f t="shared" ca="1" si="14"/>
        <v>1.0180310421906461E-3</v>
      </c>
    </row>
    <row r="347" spans="2:8">
      <c r="B347" s="36">
        <v>46044</v>
      </c>
      <c r="C347" s="185">
        <v>2705.2</v>
      </c>
      <c r="D347" s="185">
        <f t="shared" si="13"/>
        <v>-0.13487583747741411</v>
      </c>
      <c r="E347" s="185">
        <v>1.5274910865077807E-2</v>
      </c>
      <c r="F347" s="171"/>
      <c r="G347" s="171">
        <v>344</v>
      </c>
      <c r="H347" s="186">
        <f t="shared" ca="1" si="14"/>
        <v>-1.8318295503992776E-2</v>
      </c>
    </row>
    <row r="348" spans="2:8">
      <c r="B348" s="36">
        <v>44652</v>
      </c>
      <c r="C348" s="185">
        <v>3126.95</v>
      </c>
      <c r="D348" s="185">
        <f t="shared" si="13"/>
        <v>2.7298860857637024</v>
      </c>
      <c r="E348" s="185">
        <v>1.5259987986817969E-2</v>
      </c>
      <c r="F348" s="171"/>
      <c r="G348" s="171">
        <v>345</v>
      </c>
      <c r="H348" s="186">
        <f t="shared" ca="1" si="14"/>
        <v>5.49861899031397E-3</v>
      </c>
    </row>
    <row r="349" spans="2:8">
      <c r="B349" s="36">
        <v>42200</v>
      </c>
      <c r="C349" s="185">
        <v>838.35</v>
      </c>
      <c r="D349" s="185">
        <f t="shared" si="13"/>
        <v>6.7553801095122976E-2</v>
      </c>
      <c r="E349" s="185">
        <v>1.525885558583109E-2</v>
      </c>
      <c r="F349" s="171"/>
      <c r="G349" s="171">
        <v>346</v>
      </c>
      <c r="H349" s="186">
        <f t="shared" ca="1" si="14"/>
        <v>-6.9336415993554307E-3</v>
      </c>
    </row>
    <row r="350" spans="2:8">
      <c r="B350" s="36">
        <v>42191</v>
      </c>
      <c r="C350" s="185">
        <v>785.3</v>
      </c>
      <c r="D350" s="185">
        <f t="shared" si="13"/>
        <v>-0.70336374109959021</v>
      </c>
      <c r="E350" s="185">
        <v>1.5255332902391667E-2</v>
      </c>
      <c r="F350" s="171"/>
      <c r="G350" s="171">
        <v>347</v>
      </c>
      <c r="H350" s="186">
        <f t="shared" ca="1" si="14"/>
        <v>2.1314898499993715E-2</v>
      </c>
    </row>
    <row r="351" spans="2:8">
      <c r="B351" s="36">
        <v>44188</v>
      </c>
      <c r="C351" s="185">
        <v>2647.35</v>
      </c>
      <c r="D351" s="185">
        <f t="shared" si="13"/>
        <v>3.6124537680280122E-2</v>
      </c>
      <c r="E351" s="185">
        <v>1.5146576681941063E-2</v>
      </c>
      <c r="F351" s="171"/>
      <c r="G351" s="171">
        <v>348</v>
      </c>
      <c r="H351" s="186">
        <f t="shared" ca="1" si="14"/>
        <v>-1.9178085003411945E-2</v>
      </c>
    </row>
    <row r="352" spans="2:8">
      <c r="B352" s="36">
        <v>44312</v>
      </c>
      <c r="C352" s="185">
        <v>2555.0500000000002</v>
      </c>
      <c r="D352" s="185">
        <f t="shared" si="13"/>
        <v>0.84873919178032653</v>
      </c>
      <c r="E352" s="185">
        <v>1.5137368640616765E-2</v>
      </c>
      <c r="F352" s="171"/>
      <c r="G352" s="171">
        <v>349</v>
      </c>
      <c r="H352" s="186">
        <f t="shared" ca="1" si="14"/>
        <v>-8.6639668361086601E-3</v>
      </c>
    </row>
    <row r="353" spans="2:8">
      <c r="B353" s="36">
        <v>43298</v>
      </c>
      <c r="C353" s="185">
        <v>1382.05</v>
      </c>
      <c r="D353" s="185">
        <f t="shared" si="13"/>
        <v>-0.44609434491603545</v>
      </c>
      <c r="E353" s="185">
        <v>1.5093646713183955E-2</v>
      </c>
      <c r="F353" s="171"/>
      <c r="G353" s="171">
        <v>350</v>
      </c>
      <c r="H353" s="186">
        <f t="shared" ca="1" si="14"/>
        <v>5.9519277488487773E-3</v>
      </c>
    </row>
    <row r="354" spans="2:8">
      <c r="B354" s="36">
        <v>45625</v>
      </c>
      <c r="C354" s="185">
        <v>2495.1</v>
      </c>
      <c r="D354" s="185">
        <f t="shared" si="13"/>
        <v>0.52121692476527248</v>
      </c>
      <c r="E354" s="185">
        <v>1.5072923658997874E-2</v>
      </c>
      <c r="F354" s="171"/>
      <c r="G354" s="171">
        <v>351</v>
      </c>
      <c r="H354" s="186">
        <f t="shared" ca="1" si="14"/>
        <v>6.5917673332610404E-3</v>
      </c>
    </row>
    <row r="355" spans="2:8">
      <c r="B355" s="36">
        <v>43979</v>
      </c>
      <c r="C355" s="185">
        <v>1640.2</v>
      </c>
      <c r="D355" s="185">
        <f t="shared" si="13"/>
        <v>1.0253133296289436</v>
      </c>
      <c r="E355" s="185">
        <v>1.4943844559264931E-2</v>
      </c>
      <c r="F355" s="171"/>
      <c r="G355" s="171">
        <v>352</v>
      </c>
      <c r="H355" s="186">
        <f t="shared" ca="1" si="14"/>
        <v>-1.2320248518937467E-2</v>
      </c>
    </row>
    <row r="356" spans="2:8">
      <c r="B356" s="36">
        <v>42276</v>
      </c>
      <c r="C356" s="185">
        <v>809.85</v>
      </c>
      <c r="D356" s="185">
        <f t="shared" si="13"/>
        <v>-0.71508733662861268</v>
      </c>
      <c r="E356" s="185">
        <v>1.4913215113728902E-2</v>
      </c>
      <c r="F356" s="171"/>
      <c r="G356" s="171">
        <v>353</v>
      </c>
      <c r="H356" s="186">
        <f t="shared" ca="1" si="14"/>
        <v>2.2877681737461567E-3</v>
      </c>
    </row>
    <row r="357" spans="2:8">
      <c r="B357" s="36">
        <v>45404</v>
      </c>
      <c r="C357" s="185">
        <v>2842.45</v>
      </c>
      <c r="D357" s="185">
        <f t="shared" si="13"/>
        <v>1.2433605619352037</v>
      </c>
      <c r="E357" s="185">
        <v>1.490698753882958E-2</v>
      </c>
      <c r="F357" s="171"/>
      <c r="G357" s="171">
        <v>354</v>
      </c>
      <c r="H357" s="186">
        <f t="shared" ca="1" si="14"/>
        <v>9.5686383698403224E-3</v>
      </c>
    </row>
    <row r="358" spans="2:8">
      <c r="B358" s="36">
        <v>43389</v>
      </c>
      <c r="C358" s="185">
        <v>1267.05</v>
      </c>
      <c r="D358" s="185">
        <f t="shared" si="13"/>
        <v>-0.58223152758086327</v>
      </c>
      <c r="E358" s="185">
        <v>1.4898474107893715E-2</v>
      </c>
      <c r="F358" s="171"/>
      <c r="G358" s="171">
        <v>355</v>
      </c>
      <c r="H358" s="186">
        <f t="shared" ca="1" si="14"/>
        <v>3.5683543145788713E-2</v>
      </c>
    </row>
    <row r="359" spans="2:8">
      <c r="B359" s="36">
        <v>44411</v>
      </c>
      <c r="C359" s="185">
        <v>3032.9</v>
      </c>
      <c r="D359" s="185">
        <f t="shared" si="13"/>
        <v>2.5013853613484178</v>
      </c>
      <c r="E359" s="185">
        <v>1.4890911524561639E-2</v>
      </c>
      <c r="F359" s="171"/>
      <c r="G359" s="171">
        <v>356</v>
      </c>
      <c r="H359" s="186">
        <f t="shared" ca="1" si="14"/>
        <v>3.1590637715899011E-2</v>
      </c>
    </row>
    <row r="360" spans="2:8">
      <c r="B360" s="36">
        <v>42284</v>
      </c>
      <c r="C360" s="185">
        <v>866.2</v>
      </c>
      <c r="D360" s="185">
        <f t="shared" si="13"/>
        <v>-0.46322116874264113</v>
      </c>
      <c r="E360" s="185">
        <v>1.4879906268307024E-2</v>
      </c>
      <c r="F360" s="171"/>
      <c r="G360" s="171">
        <v>357</v>
      </c>
      <c r="H360" s="186">
        <f t="shared" ca="1" si="14"/>
        <v>2.3451094389031233E-2</v>
      </c>
    </row>
    <row r="361" spans="2:8">
      <c r="B361" s="36">
        <v>43916</v>
      </c>
      <c r="C361" s="185">
        <v>1613.7</v>
      </c>
      <c r="D361" s="185">
        <f t="shared" si="13"/>
        <v>-3.0490552434738201E-2</v>
      </c>
      <c r="E361" s="185">
        <v>1.4841833846927954E-2</v>
      </c>
      <c r="F361" s="171"/>
      <c r="G361" s="171">
        <v>358</v>
      </c>
      <c r="H361" s="186">
        <f t="shared" ca="1" si="14"/>
        <v>3.0731444951872801E-4</v>
      </c>
    </row>
    <row r="362" spans="2:8">
      <c r="B362" s="36">
        <v>43980</v>
      </c>
      <c r="C362" s="185">
        <v>1664.45</v>
      </c>
      <c r="D362" s="185">
        <f t="shared" si="13"/>
        <v>-0.43002191630710218</v>
      </c>
      <c r="E362" s="185">
        <v>1.4784782343616631E-2</v>
      </c>
      <c r="F362" s="171"/>
      <c r="G362" s="171">
        <v>359</v>
      </c>
      <c r="H362" s="186">
        <f t="shared" ca="1" si="14"/>
        <v>8.7034327061905163E-3</v>
      </c>
    </row>
    <row r="363" spans="2:8">
      <c r="B363" s="36">
        <v>44630</v>
      </c>
      <c r="C363" s="185">
        <v>2920.2</v>
      </c>
      <c r="D363" s="185">
        <f t="shared" si="13"/>
        <v>3.260254596888254E-2</v>
      </c>
      <c r="E363" s="185">
        <v>1.4751107636174031E-2</v>
      </c>
      <c r="F363" s="171"/>
      <c r="G363" s="171">
        <v>360</v>
      </c>
      <c r="H363" s="186">
        <f t="shared" ca="1" si="14"/>
        <v>-1.460822563208701E-2</v>
      </c>
    </row>
    <row r="364" spans="2:8">
      <c r="B364" s="36">
        <v>46027</v>
      </c>
      <c r="C364" s="185">
        <v>2828</v>
      </c>
      <c r="D364" s="185">
        <f t="shared" si="13"/>
        <v>0.14417494386341104</v>
      </c>
      <c r="E364" s="185">
        <v>1.474756898345829E-2</v>
      </c>
      <c r="F364" s="171"/>
      <c r="G364" s="171">
        <v>361</v>
      </c>
      <c r="H364" s="186">
        <f t="shared" ca="1" si="14"/>
        <v>-3.6502329240988623E-3</v>
      </c>
    </row>
    <row r="365" spans="2:8">
      <c r="B365" s="36">
        <v>44172</v>
      </c>
      <c r="C365" s="185">
        <v>2471.65</v>
      </c>
      <c r="D365" s="185">
        <f t="shared" si="13"/>
        <v>-0.22074216533198815</v>
      </c>
      <c r="E365" s="185">
        <v>1.4676300340736482E-2</v>
      </c>
      <c r="F365" s="171"/>
      <c r="G365" s="171">
        <v>362</v>
      </c>
      <c r="H365" s="186">
        <f t="shared" ca="1" si="14"/>
        <v>-3.321786819574222E-3</v>
      </c>
    </row>
    <row r="366" spans="2:8">
      <c r="B366" s="36">
        <v>44620</v>
      </c>
      <c r="C366" s="185">
        <v>3171.8</v>
      </c>
      <c r="D366" s="185">
        <f t="shared" si="13"/>
        <v>0.98672095208268096</v>
      </c>
      <c r="E366" s="185">
        <v>1.4651311580294365E-2</v>
      </c>
      <c r="F366" s="171"/>
      <c r="G366" s="171">
        <v>363</v>
      </c>
      <c r="H366" s="186">
        <f t="shared" ca="1" si="14"/>
        <v>-7.3682451734413514E-3</v>
      </c>
    </row>
    <row r="367" spans="2:8">
      <c r="B367" s="36">
        <v>43693</v>
      </c>
      <c r="C367" s="185">
        <v>1596.5</v>
      </c>
      <c r="D367" s="185">
        <f t="shared" si="13"/>
        <v>0.72268680874022118</v>
      </c>
      <c r="E367" s="185">
        <v>1.4584855899081723E-2</v>
      </c>
      <c r="F367" s="171"/>
      <c r="G367" s="171">
        <v>364</v>
      </c>
      <c r="H367" s="186">
        <f t="shared" ca="1" si="14"/>
        <v>-1.7123862326026387E-2</v>
      </c>
    </row>
    <row r="368" spans="2:8">
      <c r="B368" s="36">
        <v>42745</v>
      </c>
      <c r="C368" s="185">
        <v>926.75</v>
      </c>
      <c r="D368" s="185">
        <f t="shared" si="13"/>
        <v>-0.71067091255346382</v>
      </c>
      <c r="E368" s="185">
        <v>1.4560183918112599E-2</v>
      </c>
      <c r="F368" s="171"/>
      <c r="G368" s="171">
        <v>365</v>
      </c>
      <c r="H368" s="186">
        <f t="shared" ca="1" si="14"/>
        <v>3.3140428737142846E-3</v>
      </c>
    </row>
    <row r="369" spans="2:8">
      <c r="B369" s="36">
        <v>44593</v>
      </c>
      <c r="C369" s="185">
        <v>3203.1</v>
      </c>
      <c r="D369" s="185">
        <f t="shared" si="13"/>
        <v>0.31274590163934424</v>
      </c>
      <c r="E369" s="185">
        <v>1.4554265714330905E-2</v>
      </c>
      <c r="F369" s="171"/>
      <c r="G369" s="171">
        <v>366</v>
      </c>
      <c r="H369" s="186">
        <f t="shared" ca="1" si="14"/>
        <v>1.5696792470744621E-2</v>
      </c>
    </row>
    <row r="370" spans="2:8">
      <c r="B370" s="36">
        <v>46070</v>
      </c>
      <c r="C370" s="185">
        <v>2440</v>
      </c>
      <c r="D370" s="185">
        <f t="shared" si="13"/>
        <v>2.0250433920158692</v>
      </c>
      <c r="E370" s="185">
        <v>1.4553014553014554E-2</v>
      </c>
      <c r="F370" s="171"/>
      <c r="G370" s="171">
        <v>367</v>
      </c>
      <c r="H370" s="186">
        <f t="shared" ca="1" si="14"/>
        <v>-1.6736455554279481E-2</v>
      </c>
    </row>
    <row r="371" spans="2:8">
      <c r="B371" s="36">
        <v>42271</v>
      </c>
      <c r="C371" s="185">
        <v>806.6</v>
      </c>
      <c r="D371" s="185">
        <f t="shared" si="13"/>
        <v>-0.71190284846861329</v>
      </c>
      <c r="E371" s="185">
        <v>1.4527388214577787E-2</v>
      </c>
      <c r="F371" s="171"/>
      <c r="G371" s="171">
        <v>368</v>
      </c>
      <c r="H371" s="186">
        <f t="shared" ca="1" si="14"/>
        <v>4.7772691797353653E-3</v>
      </c>
    </row>
    <row r="372" spans="2:8">
      <c r="B372" s="36">
        <v>45028</v>
      </c>
      <c r="C372" s="185">
        <v>2799.75</v>
      </c>
      <c r="D372" s="185">
        <f t="shared" si="13"/>
        <v>1.1963991527418216</v>
      </c>
      <c r="E372" s="185">
        <v>1.4457307462362118E-2</v>
      </c>
      <c r="F372" s="171"/>
      <c r="G372" s="171">
        <v>369</v>
      </c>
      <c r="H372" s="186">
        <f t="shared" ca="1" si="14"/>
        <v>1.1289344262028059E-2</v>
      </c>
    </row>
    <row r="373" spans="2:8">
      <c r="B373" s="36">
        <v>43277</v>
      </c>
      <c r="C373" s="185">
        <v>1274.7</v>
      </c>
      <c r="D373" s="185">
        <f t="shared" si="13"/>
        <v>0.1344784620861518</v>
      </c>
      <c r="E373" s="185">
        <v>1.4403947159000587E-2</v>
      </c>
      <c r="F373" s="171"/>
      <c r="G373" s="171">
        <v>370</v>
      </c>
      <c r="H373" s="186">
        <f t="shared" ca="1" si="14"/>
        <v>-1.3878781267529184E-2</v>
      </c>
    </row>
    <row r="374" spans="2:8">
      <c r="B374" s="36">
        <v>42919</v>
      </c>
      <c r="C374" s="185">
        <v>1123.5999999999999</v>
      </c>
      <c r="D374" s="185">
        <f t="shared" si="13"/>
        <v>0.36940889701401575</v>
      </c>
      <c r="E374" s="185">
        <v>1.4354066985645808E-2</v>
      </c>
      <c r="F374" s="171"/>
      <c r="G374" s="171">
        <v>371</v>
      </c>
      <c r="H374" s="186">
        <f t="shared" ca="1" si="14"/>
        <v>-7.9476466451816712E-3</v>
      </c>
    </row>
    <row r="375" spans="2:8">
      <c r="B375" s="36">
        <v>42326</v>
      </c>
      <c r="C375" s="185">
        <v>820.5</v>
      </c>
      <c r="D375" s="185">
        <f t="shared" si="13"/>
        <v>-0.54775946646089402</v>
      </c>
      <c r="E375" s="185">
        <v>1.4340462356286342E-2</v>
      </c>
      <c r="F375" s="171"/>
      <c r="G375" s="171">
        <v>372</v>
      </c>
      <c r="H375" s="186">
        <f t="shared" ca="1" si="14"/>
        <v>-1.7713471725180674E-2</v>
      </c>
    </row>
    <row r="376" spans="2:8">
      <c r="B376" s="36">
        <v>43767</v>
      </c>
      <c r="C376" s="185">
        <v>1814.3</v>
      </c>
      <c r="D376" s="185">
        <f t="shared" si="13"/>
        <v>-0.45274937411395655</v>
      </c>
      <c r="E376" s="185">
        <v>1.4312070218594458E-2</v>
      </c>
      <c r="F376" s="171"/>
      <c r="G376" s="171">
        <v>373</v>
      </c>
      <c r="H376" s="186">
        <f t="shared" ca="1" si="14"/>
        <v>8.1607842493563974E-3</v>
      </c>
    </row>
    <row r="377" spans="2:8">
      <c r="B377" s="36">
        <v>45194</v>
      </c>
      <c r="C377" s="185">
        <v>3315.3</v>
      </c>
      <c r="D377" s="185">
        <f t="shared" si="13"/>
        <v>0.17051211891185775</v>
      </c>
      <c r="E377" s="185">
        <v>1.4287462522180834E-2</v>
      </c>
      <c r="F377" s="171"/>
      <c r="G377" s="171">
        <v>374</v>
      </c>
      <c r="H377" s="186">
        <f t="shared" ca="1" si="14"/>
        <v>-1.6830838952819241E-2</v>
      </c>
    </row>
    <row r="378" spans="2:8">
      <c r="B378" s="36">
        <v>44334</v>
      </c>
      <c r="C378" s="185">
        <v>2832.35</v>
      </c>
      <c r="D378" s="185">
        <f t="shared" si="13"/>
        <v>0.50749128456236525</v>
      </c>
      <c r="E378" s="185">
        <v>1.425220676442668E-2</v>
      </c>
      <c r="F378" s="171"/>
      <c r="G378" s="171">
        <v>375</v>
      </c>
      <c r="H378" s="186">
        <f t="shared" ca="1" si="14"/>
        <v>-2.8722696341382803E-2</v>
      </c>
    </row>
    <row r="379" spans="2:8">
      <c r="B379" s="36">
        <v>43895</v>
      </c>
      <c r="C379" s="185">
        <v>1878.85</v>
      </c>
      <c r="D379" s="185">
        <f t="shared" si="13"/>
        <v>-0.40945451116594117</v>
      </c>
      <c r="E379" s="185">
        <v>1.4251396798833903E-2</v>
      </c>
      <c r="F379" s="171"/>
      <c r="G379" s="171">
        <v>376</v>
      </c>
      <c r="H379" s="186">
        <f t="shared" ca="1" si="14"/>
        <v>-4.0598380310173628E-3</v>
      </c>
    </row>
    <row r="380" spans="2:8">
      <c r="B380" s="36">
        <v>45247</v>
      </c>
      <c r="C380" s="185">
        <v>3181.55</v>
      </c>
      <c r="D380" s="185">
        <f t="shared" si="13"/>
        <v>0.29901600522619648</v>
      </c>
      <c r="E380" s="185">
        <v>1.4233797698364655E-2</v>
      </c>
      <c r="F380" s="171"/>
      <c r="G380" s="171">
        <v>377</v>
      </c>
      <c r="H380" s="186">
        <f t="shared" ca="1" si="14"/>
        <v>9.756318448044126E-3</v>
      </c>
    </row>
    <row r="381" spans="2:8">
      <c r="B381" s="36">
        <v>45782</v>
      </c>
      <c r="C381" s="185">
        <v>2449.1999999999998</v>
      </c>
      <c r="D381" s="185">
        <f t="shared" si="13"/>
        <v>1.1361475731542452</v>
      </c>
      <c r="E381" s="185">
        <v>1.4203486686819216E-2</v>
      </c>
      <c r="F381" s="171"/>
      <c r="G381" s="171">
        <v>378</v>
      </c>
      <c r="H381" s="186">
        <f t="shared" ca="1" si="14"/>
        <v>-4.8682934492241849E-3</v>
      </c>
    </row>
    <row r="382" spans="2:8">
      <c r="B382" s="36">
        <v>42585</v>
      </c>
      <c r="C382" s="185">
        <v>1146.55</v>
      </c>
      <c r="D382" s="185">
        <f t="shared" si="13"/>
        <v>0.1562626058894715</v>
      </c>
      <c r="E382" s="185">
        <v>1.4152403697315467E-2</v>
      </c>
      <c r="F382" s="171"/>
      <c r="G382" s="171">
        <v>379</v>
      </c>
      <c r="H382" s="186">
        <f t="shared" ca="1" si="14"/>
        <v>-1.7270032078095604E-2</v>
      </c>
    </row>
    <row r="383" spans="2:8">
      <c r="B383" s="36">
        <v>42787</v>
      </c>
      <c r="C383" s="185">
        <v>991.6</v>
      </c>
      <c r="D383" s="185">
        <f t="shared" si="13"/>
        <v>-0.67927030436329527</v>
      </c>
      <c r="E383" s="185">
        <v>1.4113315606463559E-2</v>
      </c>
      <c r="F383" s="171"/>
      <c r="G383" s="171">
        <v>380</v>
      </c>
      <c r="H383" s="186">
        <f t="shared" ca="1" si="14"/>
        <v>3.3704709187120183E-3</v>
      </c>
    </row>
    <row r="384" spans="2:8">
      <c r="B384" s="36">
        <v>44699</v>
      </c>
      <c r="C384" s="185">
        <v>3091.7</v>
      </c>
      <c r="D384" s="185">
        <f t="shared" si="13"/>
        <v>0.68802380497392912</v>
      </c>
      <c r="E384" s="185">
        <v>1.4071109944896232E-2</v>
      </c>
      <c r="F384" s="171"/>
      <c r="G384" s="171">
        <v>381</v>
      </c>
      <c r="H384" s="186">
        <f t="shared" ca="1" si="14"/>
        <v>-5.1189338431235493E-3</v>
      </c>
    </row>
    <row r="385" spans="2:8">
      <c r="B385" s="36">
        <v>43776</v>
      </c>
      <c r="C385" s="185">
        <v>1831.55</v>
      </c>
      <c r="D385" s="185">
        <f t="shared" si="13"/>
        <v>0.33431683240447296</v>
      </c>
      <c r="E385" s="185">
        <v>1.4063062314868566E-2</v>
      </c>
      <c r="F385" s="171"/>
      <c r="G385" s="171">
        <v>382</v>
      </c>
      <c r="H385" s="186">
        <f t="shared" ca="1" si="14"/>
        <v>-1.958580691197195E-2</v>
      </c>
    </row>
    <row r="386" spans="2:8">
      <c r="B386" s="36">
        <v>43662</v>
      </c>
      <c r="C386" s="185">
        <v>1372.65</v>
      </c>
      <c r="D386" s="185">
        <f t="shared" si="13"/>
        <v>0.68000734349183056</v>
      </c>
      <c r="E386" s="185">
        <v>1.4036124552136814E-2</v>
      </c>
      <c r="F386" s="171"/>
      <c r="G386" s="171">
        <v>383</v>
      </c>
      <c r="H386" s="186">
        <f t="shared" ca="1" si="14"/>
        <v>-1.8305933041031616E-2</v>
      </c>
    </row>
    <row r="387" spans="2:8">
      <c r="B387" s="36">
        <v>42317</v>
      </c>
      <c r="C387" s="185">
        <v>817.05</v>
      </c>
      <c r="D387" s="185">
        <f t="shared" si="13"/>
        <v>-0.72683049147442325</v>
      </c>
      <c r="E387" s="185">
        <v>1.4024201054917721E-2</v>
      </c>
      <c r="F387" s="171"/>
      <c r="G387" s="171">
        <v>384</v>
      </c>
      <c r="H387" s="186">
        <f t="shared" ca="1" si="14"/>
        <v>3.1184984740256768E-2</v>
      </c>
    </row>
    <row r="388" spans="2:8">
      <c r="B388" s="36">
        <v>45329</v>
      </c>
      <c r="C388" s="185">
        <v>2991</v>
      </c>
      <c r="D388" s="185">
        <f t="shared" ref="D388:D451" si="15">(C388-C389)/C389</f>
        <v>2.6232586311326469</v>
      </c>
      <c r="E388" s="185">
        <v>1.4001423873614329E-2</v>
      </c>
      <c r="F388" s="171"/>
      <c r="G388" s="171">
        <v>385</v>
      </c>
      <c r="H388" s="186">
        <f t="shared" ca="1" si="14"/>
        <v>1.11821053683317E-2</v>
      </c>
    </row>
    <row r="389" spans="2:8">
      <c r="B389" s="36">
        <v>42304</v>
      </c>
      <c r="C389" s="185">
        <v>825.5</v>
      </c>
      <c r="D389" s="185">
        <f t="shared" si="15"/>
        <v>-0.7089825847846013</v>
      </c>
      <c r="E389" s="185">
        <v>1.394091997789108E-2</v>
      </c>
      <c r="F389" s="171"/>
      <c r="G389" s="171">
        <v>386</v>
      </c>
      <c r="H389" s="186">
        <f t="shared" ref="H389:H452" ca="1" si="16">_xlfn.NORM.INV(RAND(),N$6,N$7)</f>
        <v>-1.2584066122400824E-2</v>
      </c>
    </row>
    <row r="390" spans="2:8">
      <c r="B390" s="36">
        <v>46031</v>
      </c>
      <c r="C390" s="185">
        <v>2836.6</v>
      </c>
      <c r="D390" s="185">
        <f t="shared" si="15"/>
        <v>0.53528902359818142</v>
      </c>
      <c r="E390" s="185">
        <v>1.3940520446096654E-2</v>
      </c>
      <c r="F390" s="171"/>
      <c r="G390" s="171">
        <v>387</v>
      </c>
      <c r="H390" s="186">
        <f t="shared" ca="1" si="16"/>
        <v>2.3016500554303007E-3</v>
      </c>
    </row>
    <row r="391" spans="2:8">
      <c r="B391" s="36">
        <v>43948</v>
      </c>
      <c r="C391" s="185">
        <v>1847.6</v>
      </c>
      <c r="D391" s="185">
        <f t="shared" si="15"/>
        <v>-0.35788138391228042</v>
      </c>
      <c r="E391" s="185">
        <v>1.3939194380419198E-2</v>
      </c>
      <c r="F391" s="171"/>
      <c r="G391" s="171">
        <v>388</v>
      </c>
      <c r="H391" s="186">
        <f t="shared" ca="1" si="16"/>
        <v>-1.0976822766718656E-2</v>
      </c>
    </row>
    <row r="392" spans="2:8">
      <c r="B392" s="36">
        <v>45358</v>
      </c>
      <c r="C392" s="185">
        <v>2877.35</v>
      </c>
      <c r="D392" s="185">
        <f t="shared" si="15"/>
        <v>0.75952424631566073</v>
      </c>
      <c r="E392" s="185">
        <v>1.3936852491366454E-2</v>
      </c>
      <c r="F392" s="171"/>
      <c r="G392" s="171">
        <v>389</v>
      </c>
      <c r="H392" s="186">
        <f t="shared" ca="1" si="16"/>
        <v>1.4780073690634608E-2</v>
      </c>
    </row>
    <row r="393" spans="2:8">
      <c r="B393" s="36">
        <v>43994</v>
      </c>
      <c r="C393" s="185">
        <v>1635.3</v>
      </c>
      <c r="D393" s="185">
        <f t="shared" si="15"/>
        <v>-0.48878503212091845</v>
      </c>
      <c r="E393" s="185">
        <v>1.3919459342158319E-2</v>
      </c>
      <c r="F393" s="171"/>
      <c r="G393" s="171">
        <v>390</v>
      </c>
      <c r="H393" s="186">
        <f t="shared" ca="1" si="16"/>
        <v>8.6265194428805365E-4</v>
      </c>
    </row>
    <row r="394" spans="2:8">
      <c r="B394" s="36">
        <v>44895</v>
      </c>
      <c r="C394" s="185">
        <v>3198.85</v>
      </c>
      <c r="D394" s="185">
        <f t="shared" si="15"/>
        <v>0.32298688944952225</v>
      </c>
      <c r="E394" s="185">
        <v>1.3882505823996362E-2</v>
      </c>
      <c r="F394" s="171"/>
      <c r="G394" s="171">
        <v>391</v>
      </c>
      <c r="H394" s="186">
        <f t="shared" ca="1" si="16"/>
        <v>5.7009584741372372E-3</v>
      </c>
    </row>
    <row r="395" spans="2:8">
      <c r="B395" s="36">
        <v>45946</v>
      </c>
      <c r="C395" s="185">
        <v>2417.9</v>
      </c>
      <c r="D395" s="185">
        <f t="shared" si="15"/>
        <v>0.69546315125166558</v>
      </c>
      <c r="E395" s="185">
        <v>1.3837058157574741E-2</v>
      </c>
      <c r="F395" s="171"/>
      <c r="G395" s="171">
        <v>392</v>
      </c>
      <c r="H395" s="186">
        <f t="shared" ca="1" si="16"/>
        <v>-5.7378328840344143E-3</v>
      </c>
    </row>
    <row r="396" spans="2:8">
      <c r="B396" s="36">
        <v>43486</v>
      </c>
      <c r="C396" s="185">
        <v>1426.1</v>
      </c>
      <c r="D396" s="185">
        <f t="shared" si="15"/>
        <v>-0.58251730850861405</v>
      </c>
      <c r="E396" s="185">
        <v>1.382717804713313E-2</v>
      </c>
      <c r="F396" s="171"/>
      <c r="G396" s="171">
        <v>393</v>
      </c>
      <c r="H396" s="186">
        <f t="shared" ca="1" si="16"/>
        <v>2.792831793231516E-2</v>
      </c>
    </row>
    <row r="397" spans="2:8">
      <c r="B397" s="36">
        <v>45135</v>
      </c>
      <c r="C397" s="185">
        <v>3415.95</v>
      </c>
      <c r="D397" s="185">
        <f t="shared" si="15"/>
        <v>7.6652746040501082E-2</v>
      </c>
      <c r="E397" s="185">
        <v>1.3815516115628814E-2</v>
      </c>
      <c r="F397" s="171"/>
      <c r="G397" s="171">
        <v>394</v>
      </c>
      <c r="H397" s="186">
        <f t="shared" ca="1" si="16"/>
        <v>-1.0417175035355702E-3</v>
      </c>
    </row>
    <row r="398" spans="2:8">
      <c r="B398" s="36">
        <v>44893</v>
      </c>
      <c r="C398" s="185">
        <v>3172.75</v>
      </c>
      <c r="D398" s="185">
        <f t="shared" si="15"/>
        <v>1.6941366280303993</v>
      </c>
      <c r="E398" s="185">
        <v>1.3803901519387712E-2</v>
      </c>
      <c r="F398" s="171"/>
      <c r="G398" s="171">
        <v>395</v>
      </c>
      <c r="H398" s="186">
        <f t="shared" ca="1" si="16"/>
        <v>-8.5824732195843526E-3</v>
      </c>
    </row>
    <row r="399" spans="2:8">
      <c r="B399" s="36">
        <v>43021</v>
      </c>
      <c r="C399" s="185">
        <v>1177.6500000000001</v>
      </c>
      <c r="D399" s="185">
        <f t="shared" si="15"/>
        <v>-0.58566276717389387</v>
      </c>
      <c r="E399" s="185">
        <v>1.3773511815090603E-2</v>
      </c>
      <c r="F399" s="171"/>
      <c r="G399" s="171">
        <v>396</v>
      </c>
      <c r="H399" s="186">
        <f t="shared" ca="1" si="16"/>
        <v>2.5250941933476823E-3</v>
      </c>
    </row>
    <row r="400" spans="2:8">
      <c r="B400" s="36">
        <v>44337</v>
      </c>
      <c r="C400" s="185">
        <v>2842.25</v>
      </c>
      <c r="D400" s="185">
        <f t="shared" si="15"/>
        <v>0.95585604183870077</v>
      </c>
      <c r="E400" s="185">
        <v>1.3713531635637283E-2</v>
      </c>
      <c r="F400" s="171"/>
      <c r="G400" s="171">
        <v>397</v>
      </c>
      <c r="H400" s="186">
        <f t="shared" ca="1" si="16"/>
        <v>-8.5790693908784198E-3</v>
      </c>
    </row>
    <row r="401" spans="2:8">
      <c r="B401" s="36">
        <v>43579</v>
      </c>
      <c r="C401" s="185">
        <v>1453.2</v>
      </c>
      <c r="D401" s="185">
        <f t="shared" si="15"/>
        <v>5.5759381016382725E-2</v>
      </c>
      <c r="E401" s="185">
        <v>1.3707230302396213E-2</v>
      </c>
      <c r="F401" s="171"/>
      <c r="G401" s="171">
        <v>398</v>
      </c>
      <c r="H401" s="186">
        <f t="shared" ca="1" si="16"/>
        <v>1.1995675228690909E-2</v>
      </c>
    </row>
    <row r="402" spans="2:8">
      <c r="B402" s="36">
        <v>43615</v>
      </c>
      <c r="C402" s="185">
        <v>1376.45</v>
      </c>
      <c r="D402" s="185">
        <f t="shared" si="15"/>
        <v>-9.5274089654265828E-2</v>
      </c>
      <c r="E402" s="185">
        <v>1.3698125713444149E-2</v>
      </c>
      <c r="F402" s="171"/>
      <c r="G402" s="171">
        <v>399</v>
      </c>
      <c r="H402" s="186">
        <f t="shared" ca="1" si="16"/>
        <v>-4.01031796614513E-4</v>
      </c>
    </row>
    <row r="403" spans="2:8">
      <c r="B403" s="36">
        <v>43675</v>
      </c>
      <c r="C403" s="185">
        <v>1521.4</v>
      </c>
      <c r="D403" s="185">
        <f t="shared" si="15"/>
        <v>0.28779414254274588</v>
      </c>
      <c r="E403" s="185">
        <v>1.3692241063397529E-2</v>
      </c>
      <c r="F403" s="171"/>
      <c r="G403" s="171">
        <v>400</v>
      </c>
      <c r="H403" s="186">
        <f t="shared" ca="1" si="16"/>
        <v>-3.3918059780399953E-2</v>
      </c>
    </row>
    <row r="404" spans="2:8">
      <c r="B404" s="36">
        <v>43206</v>
      </c>
      <c r="C404" s="185">
        <v>1181.4000000000001</v>
      </c>
      <c r="D404" s="185">
        <f t="shared" si="15"/>
        <v>-0.31137794357659121</v>
      </c>
      <c r="E404" s="185">
        <v>1.3685700802265258E-2</v>
      </c>
      <c r="F404" s="171"/>
      <c r="G404" s="171">
        <v>401</v>
      </c>
      <c r="H404" s="186">
        <f t="shared" ca="1" si="16"/>
        <v>-7.397340830147754E-3</v>
      </c>
    </row>
    <row r="405" spans="2:8">
      <c r="B405" s="36">
        <v>43985</v>
      </c>
      <c r="C405" s="185">
        <v>1715.6</v>
      </c>
      <c r="D405" s="185">
        <f t="shared" si="15"/>
        <v>0.2620737852650164</v>
      </c>
      <c r="E405" s="185">
        <v>1.3678395225855927E-2</v>
      </c>
      <c r="F405" s="171"/>
      <c r="G405" s="171">
        <v>402</v>
      </c>
      <c r="H405" s="186">
        <f t="shared" ca="1" si="16"/>
        <v>3.3945411615280769E-4</v>
      </c>
    </row>
    <row r="406" spans="2:8">
      <c r="B406" s="36">
        <v>43452</v>
      </c>
      <c r="C406" s="185">
        <v>1359.35</v>
      </c>
      <c r="D406" s="185">
        <f t="shared" si="15"/>
        <v>0.15669673247106863</v>
      </c>
      <c r="E406" s="185">
        <v>1.364602363819392E-2</v>
      </c>
      <c r="F406" s="171"/>
      <c r="G406" s="171">
        <v>403</v>
      </c>
      <c r="H406" s="186">
        <f t="shared" ca="1" si="16"/>
        <v>-6.1253875064446149E-3</v>
      </c>
    </row>
    <row r="407" spans="2:8">
      <c r="B407" s="36">
        <v>43213</v>
      </c>
      <c r="C407" s="185">
        <v>1175.2</v>
      </c>
      <c r="D407" s="185">
        <f t="shared" si="15"/>
        <v>3.2008781558726711E-2</v>
      </c>
      <c r="E407" s="185">
        <v>1.3627738485423455E-2</v>
      </c>
      <c r="F407" s="171"/>
      <c r="G407" s="171">
        <v>404</v>
      </c>
      <c r="H407" s="186">
        <f t="shared" ca="1" si="16"/>
        <v>-6.8586483580956436E-3</v>
      </c>
    </row>
    <row r="408" spans="2:8">
      <c r="B408" s="36">
        <v>43087</v>
      </c>
      <c r="C408" s="185">
        <v>1138.75</v>
      </c>
      <c r="D408" s="185">
        <f t="shared" si="15"/>
        <v>-0.23788649444518808</v>
      </c>
      <c r="E408" s="185">
        <v>1.361876362989003E-2</v>
      </c>
      <c r="F408" s="171"/>
      <c r="G408" s="171">
        <v>405</v>
      </c>
      <c r="H408" s="186">
        <f t="shared" ca="1" si="16"/>
        <v>1.3345065933250237E-2</v>
      </c>
    </row>
    <row r="409" spans="2:8">
      <c r="B409" s="36">
        <v>43552</v>
      </c>
      <c r="C409" s="185">
        <v>1494.2</v>
      </c>
      <c r="D409" s="185">
        <f t="shared" si="15"/>
        <v>0.6049409237379163</v>
      </c>
      <c r="E409" s="185">
        <v>1.3601058236950075E-2</v>
      </c>
      <c r="F409" s="171"/>
      <c r="G409" s="171">
        <v>406</v>
      </c>
      <c r="H409" s="186">
        <f t="shared" ca="1" si="16"/>
        <v>-5.3303469693635232E-3</v>
      </c>
    </row>
    <row r="410" spans="2:8">
      <c r="B410" s="36">
        <v>42741</v>
      </c>
      <c r="C410" s="185">
        <v>931</v>
      </c>
      <c r="D410" s="185">
        <f t="shared" si="15"/>
        <v>-1.3562195380377151E-2</v>
      </c>
      <c r="E410" s="185">
        <v>1.355397093244793E-2</v>
      </c>
      <c r="F410" s="171"/>
      <c r="G410" s="171">
        <v>407</v>
      </c>
      <c r="H410" s="186">
        <f t="shared" ca="1" si="16"/>
        <v>1.5585109942743862E-2</v>
      </c>
    </row>
    <row r="411" spans="2:8">
      <c r="B411" s="36">
        <v>42503</v>
      </c>
      <c r="C411" s="185">
        <v>943.8</v>
      </c>
      <c r="D411" s="185">
        <f t="shared" si="15"/>
        <v>-0.14938488576449913</v>
      </c>
      <c r="E411" s="185">
        <v>1.3530927835051448E-2</v>
      </c>
      <c r="F411" s="171"/>
      <c r="G411" s="171">
        <v>408</v>
      </c>
      <c r="H411" s="186">
        <f t="shared" ca="1" si="16"/>
        <v>2.6304856541664961E-2</v>
      </c>
    </row>
    <row r="412" spans="2:8">
      <c r="B412" s="36">
        <v>42880</v>
      </c>
      <c r="C412" s="185">
        <v>1109.55</v>
      </c>
      <c r="D412" s="185">
        <f t="shared" si="15"/>
        <v>-0.31562066306861991</v>
      </c>
      <c r="E412" s="185">
        <v>1.3519068280429281E-2</v>
      </c>
      <c r="F412" s="171"/>
      <c r="G412" s="171">
        <v>409</v>
      </c>
      <c r="H412" s="186">
        <f t="shared" ca="1" si="16"/>
        <v>2.4660798385776977E-2</v>
      </c>
    </row>
    <row r="413" spans="2:8">
      <c r="B413" s="36">
        <v>44001</v>
      </c>
      <c r="C413" s="185">
        <v>1621.25</v>
      </c>
      <c r="D413" s="185">
        <f t="shared" si="15"/>
        <v>-0.463774826770742</v>
      </c>
      <c r="E413" s="185">
        <v>1.3471275864224513E-2</v>
      </c>
      <c r="F413" s="171"/>
      <c r="G413" s="171">
        <v>410</v>
      </c>
      <c r="H413" s="186">
        <f t="shared" ca="1" si="16"/>
        <v>-8.6534220117234027E-3</v>
      </c>
    </row>
    <row r="414" spans="2:8">
      <c r="B414" s="36">
        <v>45337</v>
      </c>
      <c r="C414" s="185">
        <v>3023.45</v>
      </c>
      <c r="D414" s="185">
        <f t="shared" si="15"/>
        <v>-5.4004161386711831E-2</v>
      </c>
      <c r="E414" s="185">
        <v>1.3458250930177868E-2</v>
      </c>
      <c r="F414" s="171"/>
      <c r="G414" s="171">
        <v>411</v>
      </c>
      <c r="H414" s="186">
        <f t="shared" ca="1" si="16"/>
        <v>1.804137741122042E-2</v>
      </c>
    </row>
    <row r="415" spans="2:8">
      <c r="B415" s="36">
        <v>44532</v>
      </c>
      <c r="C415" s="185">
        <v>3196.05</v>
      </c>
      <c r="D415" s="185">
        <f t="shared" si="15"/>
        <v>-7.5283905967450215E-2</v>
      </c>
      <c r="E415" s="185">
        <v>1.3444738636183498E-2</v>
      </c>
      <c r="F415" s="171"/>
      <c r="G415" s="171">
        <v>412</v>
      </c>
      <c r="H415" s="186">
        <f t="shared" ca="1" si="16"/>
        <v>-2.7365304761228062E-3</v>
      </c>
    </row>
    <row r="416" spans="2:8">
      <c r="B416" s="36">
        <v>44805</v>
      </c>
      <c r="C416" s="185">
        <v>3456.25</v>
      </c>
      <c r="D416" s="185">
        <f t="shared" si="15"/>
        <v>0.19890039370761575</v>
      </c>
      <c r="E416" s="185">
        <v>1.3399598305258628E-2</v>
      </c>
      <c r="F416" s="171"/>
      <c r="G416" s="171">
        <v>413</v>
      </c>
      <c r="H416" s="186">
        <f t="shared" ca="1" si="16"/>
        <v>-2.4069879111620987E-3</v>
      </c>
    </row>
    <row r="417" spans="2:8">
      <c r="B417" s="36">
        <v>45037</v>
      </c>
      <c r="C417" s="185">
        <v>2882.85</v>
      </c>
      <c r="D417" s="185">
        <f t="shared" si="15"/>
        <v>-0.10400932400932404</v>
      </c>
      <c r="E417" s="185">
        <v>1.3375281214848047E-2</v>
      </c>
      <c r="F417" s="171"/>
      <c r="G417" s="171">
        <v>414</v>
      </c>
      <c r="H417" s="186">
        <f t="shared" ca="1" si="16"/>
        <v>-1.7347942522891582E-2</v>
      </c>
    </row>
    <row r="418" spans="2:8">
      <c r="B418" s="36">
        <v>44600</v>
      </c>
      <c r="C418" s="185">
        <v>3217.5</v>
      </c>
      <c r="D418" s="185">
        <f t="shared" si="15"/>
        <v>0.33783783783783783</v>
      </c>
      <c r="E418" s="185">
        <v>1.3337952537675356E-2</v>
      </c>
      <c r="F418" s="171"/>
      <c r="G418" s="171">
        <v>415</v>
      </c>
      <c r="H418" s="186">
        <f t="shared" ca="1" si="16"/>
        <v>-2.2593654702446459E-3</v>
      </c>
    </row>
    <row r="419" spans="2:8">
      <c r="B419" s="36">
        <v>46069</v>
      </c>
      <c r="C419" s="185">
        <v>2405</v>
      </c>
      <c r="D419" s="185">
        <f t="shared" si="15"/>
        <v>1.6996688555873605</v>
      </c>
      <c r="E419" s="185">
        <v>1.3271539919949442E-2</v>
      </c>
      <c r="F419" s="171"/>
      <c r="G419" s="171">
        <v>416</v>
      </c>
      <c r="H419" s="186">
        <f t="shared" ca="1" si="16"/>
        <v>3.1344589045613118E-3</v>
      </c>
    </row>
    <row r="420" spans="2:8">
      <c r="B420" s="36">
        <v>42487</v>
      </c>
      <c r="C420" s="185">
        <v>890.85</v>
      </c>
      <c r="D420" s="185">
        <f t="shared" si="15"/>
        <v>-0.68239509429926204</v>
      </c>
      <c r="E420" s="185">
        <v>1.3250682438580502E-2</v>
      </c>
      <c r="F420" s="171"/>
      <c r="G420" s="171">
        <v>417</v>
      </c>
      <c r="H420" s="186">
        <f t="shared" ca="1" si="16"/>
        <v>7.5038056071748153E-3</v>
      </c>
    </row>
    <row r="421" spans="2:8">
      <c r="B421" s="36">
        <v>44201</v>
      </c>
      <c r="C421" s="185">
        <v>2804.9</v>
      </c>
      <c r="D421" s="185">
        <f t="shared" si="15"/>
        <v>1.6468811927904123</v>
      </c>
      <c r="E421" s="185">
        <v>1.3166212140367454E-2</v>
      </c>
      <c r="F421" s="171"/>
      <c r="G421" s="171">
        <v>418</v>
      </c>
      <c r="H421" s="186">
        <f t="shared" ca="1" si="16"/>
        <v>-1.4773228441428815E-2</v>
      </c>
    </row>
    <row r="422" spans="2:8">
      <c r="B422" s="36">
        <v>42822</v>
      </c>
      <c r="C422" s="185">
        <v>1059.7</v>
      </c>
      <c r="D422" s="185">
        <f t="shared" si="15"/>
        <v>-1.7568256617067672E-2</v>
      </c>
      <c r="E422" s="185">
        <v>1.3145943878770496E-2</v>
      </c>
      <c r="F422" s="171"/>
      <c r="G422" s="171">
        <v>419</v>
      </c>
      <c r="H422" s="186">
        <f t="shared" ca="1" si="16"/>
        <v>2.7910756202075247E-3</v>
      </c>
    </row>
    <row r="423" spans="2:8">
      <c r="B423" s="36">
        <v>42836</v>
      </c>
      <c r="C423" s="185">
        <v>1078.6500000000001</v>
      </c>
      <c r="D423" s="185">
        <f t="shared" si="15"/>
        <v>-0.48269908639666209</v>
      </c>
      <c r="E423" s="185">
        <v>1.3102282333051605E-2</v>
      </c>
      <c r="F423" s="171"/>
      <c r="G423" s="171">
        <v>420</v>
      </c>
      <c r="H423" s="186">
        <f t="shared" ca="1" si="16"/>
        <v>1.6489769542573831E-3</v>
      </c>
    </row>
    <row r="424" spans="2:8">
      <c r="B424" s="36">
        <v>44116</v>
      </c>
      <c r="C424" s="185">
        <v>2085.15</v>
      </c>
      <c r="D424" s="185">
        <f t="shared" si="15"/>
        <v>-0.23780019739006461</v>
      </c>
      <c r="E424" s="185">
        <v>1.3093965601010725E-2</v>
      </c>
      <c r="F424" s="171"/>
      <c r="G424" s="171">
        <v>421</v>
      </c>
      <c r="H424" s="186">
        <f t="shared" ca="1" si="16"/>
        <v>3.8092385576655769E-3</v>
      </c>
    </row>
    <row r="425" spans="2:8">
      <c r="B425" s="36">
        <v>44195</v>
      </c>
      <c r="C425" s="185">
        <v>2735.7</v>
      </c>
      <c r="D425" s="185">
        <f t="shared" si="15"/>
        <v>-0.19249671620644365</v>
      </c>
      <c r="E425" s="185">
        <v>1.3090895624641217E-2</v>
      </c>
      <c r="F425" s="171"/>
      <c r="G425" s="171">
        <v>422</v>
      </c>
      <c r="H425" s="186">
        <f t="shared" ca="1" si="16"/>
        <v>1.1121228023640685E-2</v>
      </c>
    </row>
    <row r="426" spans="2:8">
      <c r="B426" s="36">
        <v>45286</v>
      </c>
      <c r="C426" s="185">
        <v>3387.85</v>
      </c>
      <c r="D426" s="185">
        <f t="shared" si="15"/>
        <v>0.4713789359391965</v>
      </c>
      <c r="E426" s="185">
        <v>1.3067595652108853E-2</v>
      </c>
      <c r="F426" s="171"/>
      <c r="G426" s="171">
        <v>423</v>
      </c>
      <c r="H426" s="186">
        <f t="shared" ca="1" si="16"/>
        <v>-1.0682696090285739E-2</v>
      </c>
    </row>
    <row r="427" spans="2:8">
      <c r="B427" s="36">
        <v>45664</v>
      </c>
      <c r="C427" s="185">
        <v>2302.5</v>
      </c>
      <c r="D427" s="185">
        <f t="shared" si="15"/>
        <v>1</v>
      </c>
      <c r="E427" s="185">
        <v>1.3045295554040123E-2</v>
      </c>
      <c r="F427" s="171"/>
      <c r="G427" s="171">
        <v>424</v>
      </c>
      <c r="H427" s="186">
        <f t="shared" ca="1" si="16"/>
        <v>-1.3169976377006603E-2</v>
      </c>
    </row>
    <row r="428" spans="2:8">
      <c r="B428" s="36">
        <v>43011</v>
      </c>
      <c r="C428" s="185">
        <v>1151.25</v>
      </c>
      <c r="D428" s="185">
        <f t="shared" si="15"/>
        <v>0.11512010848508321</v>
      </c>
      <c r="E428" s="185">
        <v>1.3023010251220867E-2</v>
      </c>
      <c r="F428" s="171"/>
      <c r="G428" s="171">
        <v>425</v>
      </c>
      <c r="H428" s="186">
        <f t="shared" ca="1" si="16"/>
        <v>-2.3565273374622314E-2</v>
      </c>
    </row>
    <row r="429" spans="2:8">
      <c r="B429" s="36">
        <v>42800</v>
      </c>
      <c r="C429" s="185">
        <v>1032.4000000000001</v>
      </c>
      <c r="D429" s="185">
        <f t="shared" si="15"/>
        <v>-0.40680303378533667</v>
      </c>
      <c r="E429" s="185">
        <v>1.2951334379905852E-2</v>
      </c>
      <c r="F429" s="171"/>
      <c r="G429" s="171">
        <v>426</v>
      </c>
      <c r="H429" s="186">
        <f t="shared" ca="1" si="16"/>
        <v>-8.646482900018973E-3</v>
      </c>
    </row>
    <row r="430" spans="2:8">
      <c r="B430" s="36">
        <v>43810</v>
      </c>
      <c r="C430" s="185">
        <v>1740.4</v>
      </c>
      <c r="D430" s="185">
        <f t="shared" si="15"/>
        <v>0.5943569072920486</v>
      </c>
      <c r="E430" s="185">
        <v>1.2949975264092192E-2</v>
      </c>
      <c r="F430" s="171"/>
      <c r="G430" s="171">
        <v>427</v>
      </c>
      <c r="H430" s="186">
        <f t="shared" ca="1" si="16"/>
        <v>8.8223677893608382E-3</v>
      </c>
    </row>
    <row r="431" spans="2:8">
      <c r="B431" s="36">
        <v>42828</v>
      </c>
      <c r="C431" s="185">
        <v>1091.5999999999999</v>
      </c>
      <c r="D431" s="185">
        <f t="shared" si="15"/>
        <v>-0.63630911725999106</v>
      </c>
      <c r="E431" s="185">
        <v>1.2897837988308307E-2</v>
      </c>
      <c r="F431" s="171"/>
      <c r="G431" s="171">
        <v>428</v>
      </c>
      <c r="H431" s="186">
        <f t="shared" ca="1" si="16"/>
        <v>2.3847507552933207E-2</v>
      </c>
    </row>
    <row r="432" spans="2:8">
      <c r="B432" s="36">
        <v>45593</v>
      </c>
      <c r="C432" s="185">
        <v>3001.45</v>
      </c>
      <c r="D432" s="185">
        <f t="shared" si="15"/>
        <v>2.3642885165050718</v>
      </c>
      <c r="E432" s="185">
        <v>1.2839981102787246E-2</v>
      </c>
      <c r="F432" s="171"/>
      <c r="G432" s="171">
        <v>429</v>
      </c>
      <c r="H432" s="186">
        <f t="shared" ca="1" si="16"/>
        <v>-2.8311767407694678E-2</v>
      </c>
    </row>
    <row r="433" spans="2:8">
      <c r="B433" s="36">
        <v>42734</v>
      </c>
      <c r="C433" s="185">
        <v>892.15</v>
      </c>
      <c r="D433" s="185">
        <f t="shared" si="15"/>
        <v>-0.52853670136870479</v>
      </c>
      <c r="E433" s="185">
        <v>1.2828517908838002E-2</v>
      </c>
      <c r="F433" s="171"/>
      <c r="G433" s="171">
        <v>430</v>
      </c>
      <c r="H433" s="186">
        <f t="shared" ca="1" si="16"/>
        <v>-4.7195097315269399E-3</v>
      </c>
    </row>
    <row r="434" spans="2:8">
      <c r="B434" s="36">
        <v>43865</v>
      </c>
      <c r="C434" s="185">
        <v>1892.3</v>
      </c>
      <c r="D434" s="185">
        <f t="shared" si="15"/>
        <v>0.57122099057582931</v>
      </c>
      <c r="E434" s="185">
        <v>1.2791693427531505E-2</v>
      </c>
      <c r="F434" s="171"/>
      <c r="G434" s="171">
        <v>431</v>
      </c>
      <c r="H434" s="186">
        <f t="shared" ca="1" si="16"/>
        <v>5.390008919160855E-3</v>
      </c>
    </row>
    <row r="435" spans="2:8">
      <c r="B435" s="36">
        <v>43115</v>
      </c>
      <c r="C435" s="185">
        <v>1204.3499999999999</v>
      </c>
      <c r="D435" s="185">
        <f t="shared" si="15"/>
        <v>-0.60573224428330585</v>
      </c>
      <c r="E435" s="185">
        <v>1.2782239414707831E-2</v>
      </c>
      <c r="F435" s="171"/>
      <c r="G435" s="171">
        <v>432</v>
      </c>
      <c r="H435" s="186">
        <f t="shared" ca="1" si="16"/>
        <v>-7.5532776112546855E-3</v>
      </c>
    </row>
    <row r="436" spans="2:8">
      <c r="B436" s="36">
        <v>45513</v>
      </c>
      <c r="C436" s="185">
        <v>3054.65</v>
      </c>
      <c r="D436" s="185">
        <f t="shared" si="15"/>
        <v>2.6040941537372433</v>
      </c>
      <c r="E436" s="185">
        <v>1.2764617144372792E-2</v>
      </c>
      <c r="F436" s="171"/>
      <c r="G436" s="171">
        <v>433</v>
      </c>
      <c r="H436" s="186">
        <f t="shared" ca="1" si="16"/>
        <v>-1.8733034305804572E-2</v>
      </c>
    </row>
    <row r="437" spans="2:8">
      <c r="B437" s="36">
        <v>42214</v>
      </c>
      <c r="C437" s="185">
        <v>847.55</v>
      </c>
      <c r="D437" s="185">
        <f t="shared" si="15"/>
        <v>-0.57213892675046696</v>
      </c>
      <c r="E437" s="185">
        <v>1.2725534711435031E-2</v>
      </c>
      <c r="F437" s="171"/>
      <c r="G437" s="171">
        <v>434</v>
      </c>
      <c r="H437" s="186">
        <f t="shared" ca="1" si="16"/>
        <v>1.401330758430777E-2</v>
      </c>
    </row>
    <row r="438" spans="2:8">
      <c r="B438" s="36">
        <v>44077</v>
      </c>
      <c r="C438" s="185">
        <v>1980.9</v>
      </c>
      <c r="D438" s="185">
        <f t="shared" si="15"/>
        <v>-0.26323619660424374</v>
      </c>
      <c r="E438" s="185">
        <v>1.2704174228675206E-2</v>
      </c>
      <c r="F438" s="171"/>
      <c r="G438" s="171">
        <v>435</v>
      </c>
      <c r="H438" s="186">
        <f t="shared" ca="1" si="16"/>
        <v>9.3308422992158958E-3</v>
      </c>
    </row>
    <row r="439" spans="2:8">
      <c r="B439" s="36">
        <v>44193</v>
      </c>
      <c r="C439" s="185">
        <v>2688.65</v>
      </c>
      <c r="D439" s="185">
        <f t="shared" si="15"/>
        <v>9.4459822518928677E-2</v>
      </c>
      <c r="E439" s="185">
        <v>1.2693271059718743E-2</v>
      </c>
      <c r="F439" s="171"/>
      <c r="G439" s="171">
        <v>436</v>
      </c>
      <c r="H439" s="186">
        <f t="shared" ca="1" si="16"/>
        <v>-4.735631854689561E-3</v>
      </c>
    </row>
    <row r="440" spans="2:8">
      <c r="B440" s="36">
        <v>45775</v>
      </c>
      <c r="C440" s="185">
        <v>2456.6</v>
      </c>
      <c r="D440" s="185">
        <f t="shared" si="15"/>
        <v>0.23363547342255256</v>
      </c>
      <c r="E440" s="185">
        <v>1.2613355317394851E-2</v>
      </c>
      <c r="F440" s="171"/>
      <c r="G440" s="171">
        <v>437</v>
      </c>
      <c r="H440" s="186">
        <f t="shared" ca="1" si="16"/>
        <v>-3.6507467227506481E-2</v>
      </c>
    </row>
    <row r="441" spans="2:8">
      <c r="B441" s="36">
        <v>44081</v>
      </c>
      <c r="C441" s="185">
        <v>1991.35</v>
      </c>
      <c r="D441" s="185">
        <f t="shared" si="15"/>
        <v>7.6696404433630655E-2</v>
      </c>
      <c r="E441" s="185">
        <v>1.2610917596806567E-2</v>
      </c>
      <c r="F441" s="171"/>
      <c r="G441" s="171">
        <v>438</v>
      </c>
      <c r="H441" s="186">
        <f t="shared" ca="1" si="16"/>
        <v>1.9899592620351611E-2</v>
      </c>
    </row>
    <row r="442" spans="2:8">
      <c r="B442" s="36">
        <v>43845</v>
      </c>
      <c r="C442" s="185">
        <v>1849.5</v>
      </c>
      <c r="D442" s="185">
        <f t="shared" si="15"/>
        <v>0.37678192578255865</v>
      </c>
      <c r="E442" s="185">
        <v>1.2592389816589104E-2</v>
      </c>
      <c r="F442" s="171"/>
      <c r="G442" s="171">
        <v>439</v>
      </c>
      <c r="H442" s="186">
        <f t="shared" ca="1" si="16"/>
        <v>7.4465059163875552E-3</v>
      </c>
    </row>
    <row r="443" spans="2:8">
      <c r="B443" s="36">
        <v>43448</v>
      </c>
      <c r="C443" s="185">
        <v>1343.35</v>
      </c>
      <c r="D443" s="185">
        <f t="shared" si="15"/>
        <v>-0.49880610379435147</v>
      </c>
      <c r="E443" s="185">
        <v>1.2588097840424993E-2</v>
      </c>
      <c r="F443" s="171"/>
      <c r="G443" s="171">
        <v>440</v>
      </c>
      <c r="H443" s="186">
        <f t="shared" ca="1" si="16"/>
        <v>2.6543822133465761E-2</v>
      </c>
    </row>
    <row r="444" spans="2:8">
      <c r="B444" s="36">
        <v>46169</v>
      </c>
      <c r="C444" s="185">
        <v>2680.3</v>
      </c>
      <c r="D444" s="185">
        <f t="shared" si="15"/>
        <v>0.71539200000000014</v>
      </c>
      <c r="E444" s="185">
        <v>1.2580279561768107E-2</v>
      </c>
      <c r="F444" s="171"/>
      <c r="G444" s="171">
        <v>441</v>
      </c>
      <c r="H444" s="186">
        <f t="shared" ca="1" si="16"/>
        <v>9.5742527674061353E-5</v>
      </c>
    </row>
    <row r="445" spans="2:8">
      <c r="B445" s="36">
        <v>43719</v>
      </c>
      <c r="C445" s="185">
        <v>1562.5</v>
      </c>
      <c r="D445" s="185">
        <f t="shared" si="15"/>
        <v>0.11750822486053494</v>
      </c>
      <c r="E445" s="185">
        <v>1.2539286524317083E-2</v>
      </c>
      <c r="F445" s="171"/>
      <c r="G445" s="171">
        <v>442</v>
      </c>
      <c r="H445" s="186">
        <f t="shared" ca="1" si="16"/>
        <v>3.9419128629912467E-3</v>
      </c>
    </row>
    <row r="446" spans="2:8">
      <c r="B446" s="36">
        <v>43516</v>
      </c>
      <c r="C446" s="185">
        <v>1398.2</v>
      </c>
      <c r="D446" s="185">
        <f t="shared" si="15"/>
        <v>-0.5045182323966122</v>
      </c>
      <c r="E446" s="185">
        <v>1.249140084724284E-2</v>
      </c>
      <c r="F446" s="171"/>
      <c r="G446" s="171">
        <v>443</v>
      </c>
      <c r="H446" s="186">
        <f t="shared" ca="1" si="16"/>
        <v>-2.9444340486079685E-3</v>
      </c>
    </row>
    <row r="447" spans="2:8">
      <c r="B447" s="36">
        <v>45351</v>
      </c>
      <c r="C447" s="185">
        <v>2821.9</v>
      </c>
      <c r="D447" s="185">
        <f t="shared" si="15"/>
        <v>0.99547431319166979</v>
      </c>
      <c r="E447" s="185">
        <v>1.2486096659610414E-2</v>
      </c>
      <c r="F447" s="171"/>
      <c r="G447" s="171">
        <v>444</v>
      </c>
      <c r="H447" s="186">
        <f t="shared" ca="1" si="16"/>
        <v>6.1979182566741257E-3</v>
      </c>
    </row>
    <row r="448" spans="2:8">
      <c r="B448" s="36">
        <v>43480</v>
      </c>
      <c r="C448" s="185">
        <v>1414.15</v>
      </c>
      <c r="D448" s="185">
        <f t="shared" si="15"/>
        <v>-0.37144698535457915</v>
      </c>
      <c r="E448" s="185">
        <v>1.2457490603186032E-2</v>
      </c>
      <c r="F448" s="171"/>
      <c r="G448" s="171">
        <v>445</v>
      </c>
      <c r="H448" s="186">
        <f t="shared" ca="1" si="16"/>
        <v>7.0987003954139699E-4</v>
      </c>
    </row>
    <row r="449" spans="2:8">
      <c r="B449" s="36">
        <v>45687</v>
      </c>
      <c r="C449" s="185">
        <v>2249.85</v>
      </c>
      <c r="D449" s="185">
        <f t="shared" si="15"/>
        <v>0.86717291173907618</v>
      </c>
      <c r="E449" s="185">
        <v>1.2397066102686281E-2</v>
      </c>
      <c r="F449" s="171"/>
      <c r="G449" s="171">
        <v>446</v>
      </c>
      <c r="H449" s="186">
        <f t="shared" ca="1" si="16"/>
        <v>4.9340611571144803E-3</v>
      </c>
    </row>
    <row r="450" spans="2:8">
      <c r="B450" s="36">
        <v>43220</v>
      </c>
      <c r="C450" s="185">
        <v>1204.95</v>
      </c>
      <c r="D450" s="185">
        <f t="shared" si="15"/>
        <v>-1.7329962485728264E-2</v>
      </c>
      <c r="E450" s="185">
        <v>1.2392875147034112E-2</v>
      </c>
      <c r="F450" s="171"/>
      <c r="G450" s="171">
        <v>447</v>
      </c>
      <c r="H450" s="186">
        <f t="shared" ca="1" si="16"/>
        <v>3.6180236009242785E-2</v>
      </c>
    </row>
    <row r="451" spans="2:8">
      <c r="B451" s="36">
        <v>43229</v>
      </c>
      <c r="C451" s="185">
        <v>1226.2</v>
      </c>
      <c r="D451" s="185">
        <f t="shared" si="15"/>
        <v>-0.57453157529493404</v>
      </c>
      <c r="E451" s="185">
        <v>1.2384412153236459E-2</v>
      </c>
      <c r="F451" s="171"/>
      <c r="G451" s="171">
        <v>448</v>
      </c>
      <c r="H451" s="186">
        <f t="shared" ca="1" si="16"/>
        <v>-2.4536603178052414E-2</v>
      </c>
    </row>
    <row r="452" spans="2:8">
      <c r="B452" s="36">
        <v>45383</v>
      </c>
      <c r="C452" s="185">
        <v>2882</v>
      </c>
      <c r="D452" s="185">
        <f t="shared" ref="D452:D515" si="17">(C452-C453)/C453</f>
        <v>6.8649885583524344E-3</v>
      </c>
      <c r="E452" s="185">
        <v>1.2382541494686924E-2</v>
      </c>
      <c r="F452" s="171"/>
      <c r="G452" s="171">
        <v>449</v>
      </c>
      <c r="H452" s="186">
        <f t="shared" ca="1" si="16"/>
        <v>2.0130792536239825E-2</v>
      </c>
    </row>
    <row r="453" spans="2:8">
      <c r="B453" s="36">
        <v>45433</v>
      </c>
      <c r="C453" s="185">
        <v>2862.35</v>
      </c>
      <c r="D453" s="185">
        <f t="shared" si="17"/>
        <v>1.878324702096636</v>
      </c>
      <c r="E453" s="185">
        <v>1.237908288680213E-2</v>
      </c>
      <c r="F453" s="171"/>
      <c r="G453" s="171">
        <v>450</v>
      </c>
      <c r="H453" s="186">
        <f t="shared" ref="H453:H516" ca="1" si="18">_xlfn.NORM.INV(RAND(),N$6,N$7)</f>
        <v>2.1755327754220516E-3</v>
      </c>
    </row>
    <row r="454" spans="2:8">
      <c r="B454" s="36">
        <v>42550</v>
      </c>
      <c r="C454" s="185">
        <v>994.45</v>
      </c>
      <c r="D454" s="185">
        <f t="shared" si="17"/>
        <v>-0.70723916627414041</v>
      </c>
      <c r="E454" s="185">
        <v>1.2368930062099248E-2</v>
      </c>
      <c r="F454" s="171"/>
      <c r="G454" s="171">
        <v>451</v>
      </c>
      <c r="H454" s="186">
        <f t="shared" ca="1" si="18"/>
        <v>2.9047386791873842E-2</v>
      </c>
    </row>
    <row r="455" spans="2:8">
      <c r="B455" s="36">
        <v>45118</v>
      </c>
      <c r="C455" s="185">
        <v>3396.8</v>
      </c>
      <c r="D455" s="185">
        <f t="shared" si="17"/>
        <v>2.3348296327538938E-2</v>
      </c>
      <c r="E455" s="185">
        <v>1.2368491640091794E-2</v>
      </c>
      <c r="F455" s="171"/>
      <c r="G455" s="171">
        <v>452</v>
      </c>
      <c r="H455" s="186">
        <f t="shared" ca="1" si="18"/>
        <v>2.0542458352824509E-2</v>
      </c>
    </row>
    <row r="456" spans="2:8">
      <c r="B456" s="36">
        <v>44460</v>
      </c>
      <c r="C456" s="185">
        <v>3319.3</v>
      </c>
      <c r="D456" s="185">
        <f t="shared" si="17"/>
        <v>-3.7074642453076422E-2</v>
      </c>
      <c r="E456" s="185">
        <v>1.2367518109035511E-2</v>
      </c>
      <c r="F456" s="171"/>
      <c r="G456" s="171">
        <v>453</v>
      </c>
      <c r="H456" s="186">
        <f t="shared" ca="1" si="18"/>
        <v>8.8477540169961105E-3</v>
      </c>
    </row>
    <row r="457" spans="2:8">
      <c r="B457" s="36">
        <v>44776</v>
      </c>
      <c r="C457" s="185">
        <v>3447.1</v>
      </c>
      <c r="D457" s="185">
        <f t="shared" si="17"/>
        <v>2.0020465926409754</v>
      </c>
      <c r="E457" s="185">
        <v>1.234930470918187E-2</v>
      </c>
      <c r="F457" s="171"/>
      <c r="G457" s="171">
        <v>454</v>
      </c>
      <c r="H457" s="186">
        <f t="shared" ca="1" si="18"/>
        <v>-3.0868360910809665E-3</v>
      </c>
    </row>
    <row r="458" spans="2:8">
      <c r="B458" s="36">
        <v>42870</v>
      </c>
      <c r="C458" s="185">
        <v>1148.25</v>
      </c>
      <c r="D458" s="185">
        <f t="shared" si="17"/>
        <v>0.18108413906603574</v>
      </c>
      <c r="E458" s="185">
        <v>1.2342957901697156E-2</v>
      </c>
      <c r="F458" s="171"/>
      <c r="G458" s="171">
        <v>455</v>
      </c>
      <c r="H458" s="186">
        <f t="shared" ca="1" si="18"/>
        <v>4.2800330567399444E-2</v>
      </c>
    </row>
    <row r="459" spans="2:8">
      <c r="B459" s="36">
        <v>42704</v>
      </c>
      <c r="C459" s="185">
        <v>972.2</v>
      </c>
      <c r="D459" s="185">
        <f t="shared" si="17"/>
        <v>-0.72014565552181242</v>
      </c>
      <c r="E459" s="185">
        <v>1.23392513146249E-2</v>
      </c>
      <c r="F459" s="171"/>
      <c r="G459" s="171">
        <v>456</v>
      </c>
      <c r="H459" s="186">
        <f t="shared" ca="1" si="18"/>
        <v>1.1736661795085463E-2</v>
      </c>
    </row>
    <row r="460" spans="2:8">
      <c r="B460" s="36">
        <v>44565</v>
      </c>
      <c r="C460" s="185">
        <v>3473.95</v>
      </c>
      <c r="D460" s="185">
        <f t="shared" si="17"/>
        <v>1.84820037714192</v>
      </c>
      <c r="E460" s="185">
        <v>1.2267435931057566E-2</v>
      </c>
      <c r="F460" s="171"/>
      <c r="G460" s="171">
        <v>457</v>
      </c>
      <c r="H460" s="186">
        <f t="shared" ca="1" si="18"/>
        <v>1.3161492015161614E-2</v>
      </c>
    </row>
    <row r="461" spans="2:8">
      <c r="B461" s="36">
        <v>43222</v>
      </c>
      <c r="C461" s="185">
        <v>1219.7</v>
      </c>
      <c r="D461" s="185">
        <f t="shared" si="17"/>
        <v>-0.32379764379764375</v>
      </c>
      <c r="E461" s="185">
        <v>1.2241171832856135E-2</v>
      </c>
      <c r="F461" s="171"/>
      <c r="G461" s="171">
        <v>458</v>
      </c>
      <c r="H461" s="186">
        <f t="shared" ca="1" si="18"/>
        <v>-1.5498919677654838E-2</v>
      </c>
    </row>
    <row r="462" spans="2:8">
      <c r="B462" s="36">
        <v>43818</v>
      </c>
      <c r="C462" s="185">
        <v>1803.75</v>
      </c>
      <c r="D462" s="185">
        <f t="shared" si="17"/>
        <v>0.57450244413407836</v>
      </c>
      <c r="E462" s="185">
        <v>1.2205387205387205E-2</v>
      </c>
      <c r="F462" s="171"/>
      <c r="G462" s="171">
        <v>459</v>
      </c>
      <c r="H462" s="186">
        <f t="shared" ca="1" si="18"/>
        <v>-1.7128459846403599E-2</v>
      </c>
    </row>
    <row r="463" spans="2:8">
      <c r="B463" s="36">
        <v>42884</v>
      </c>
      <c r="C463" s="185">
        <v>1145.5999999999999</v>
      </c>
      <c r="D463" s="185">
        <f t="shared" si="17"/>
        <v>-0.66889694937788124</v>
      </c>
      <c r="E463" s="185">
        <v>1.2192966955292414E-2</v>
      </c>
      <c r="F463" s="171"/>
      <c r="G463" s="171">
        <v>460</v>
      </c>
      <c r="H463" s="186">
        <f t="shared" ca="1" si="18"/>
        <v>-7.8937972659323518E-3</v>
      </c>
    </row>
    <row r="464" spans="2:8">
      <c r="B464" s="36">
        <v>44812</v>
      </c>
      <c r="C464" s="185">
        <v>3459.95</v>
      </c>
      <c r="D464" s="185">
        <f t="shared" si="17"/>
        <v>2.0175736961451247</v>
      </c>
      <c r="E464" s="185">
        <v>1.2169613995056068E-2</v>
      </c>
      <c r="F464" s="171"/>
      <c r="G464" s="171">
        <v>461</v>
      </c>
      <c r="H464" s="186">
        <f t="shared" ca="1" si="18"/>
        <v>4.1147811537675738E-3</v>
      </c>
    </row>
    <row r="465" spans="2:8">
      <c r="B465" s="36">
        <v>42587</v>
      </c>
      <c r="C465" s="185">
        <v>1146.5999999999999</v>
      </c>
      <c r="D465" s="185">
        <f t="shared" si="17"/>
        <v>0.48235294117647048</v>
      </c>
      <c r="E465" s="185">
        <v>1.2137529240411353E-2</v>
      </c>
      <c r="F465" s="171"/>
      <c r="G465" s="171">
        <v>462</v>
      </c>
      <c r="H465" s="186">
        <f t="shared" ca="1" si="18"/>
        <v>2.1661705748143429E-2</v>
      </c>
    </row>
    <row r="466" spans="2:8">
      <c r="B466" s="36">
        <v>42188</v>
      </c>
      <c r="C466" s="185">
        <v>773.5</v>
      </c>
      <c r="D466" s="185">
        <f t="shared" si="17"/>
        <v>-0.22769706954220953</v>
      </c>
      <c r="E466" s="185">
        <v>1.2103369316323193E-2</v>
      </c>
      <c r="F466" s="171"/>
      <c r="G466" s="171">
        <v>463</v>
      </c>
      <c r="H466" s="186">
        <f t="shared" ca="1" si="18"/>
        <v>1.3150794440082329E-2</v>
      </c>
    </row>
    <row r="467" spans="2:8">
      <c r="B467" s="36">
        <v>42517</v>
      </c>
      <c r="C467" s="185">
        <v>1001.55</v>
      </c>
      <c r="D467" s="185">
        <f t="shared" si="17"/>
        <v>-0.27826619586365936</v>
      </c>
      <c r="E467" s="185">
        <v>1.2075586095392008E-2</v>
      </c>
      <c r="F467" s="171"/>
      <c r="G467" s="171">
        <v>464</v>
      </c>
      <c r="H467" s="186">
        <f t="shared" ca="1" si="18"/>
        <v>3.7853007186231225E-3</v>
      </c>
    </row>
    <row r="468" spans="2:8">
      <c r="B468" s="36">
        <v>43609</v>
      </c>
      <c r="C468" s="185">
        <v>1387.7</v>
      </c>
      <c r="D468" s="185">
        <f t="shared" si="17"/>
        <v>9.1173579712993946E-2</v>
      </c>
      <c r="E468" s="185">
        <v>1.2070160084600485E-2</v>
      </c>
      <c r="F468" s="171"/>
      <c r="G468" s="171">
        <v>465</v>
      </c>
      <c r="H468" s="186">
        <f t="shared" ca="1" si="18"/>
        <v>-6.1116627338166927E-3</v>
      </c>
    </row>
    <row r="469" spans="2:8">
      <c r="B469" s="36">
        <v>43273</v>
      </c>
      <c r="C469" s="185">
        <v>1271.75</v>
      </c>
      <c r="D469" s="185">
        <f t="shared" si="17"/>
        <v>-0.60919134028855459</v>
      </c>
      <c r="E469" s="185">
        <v>1.2056342511539147E-2</v>
      </c>
      <c r="F469" s="171"/>
      <c r="G469" s="171">
        <v>466</v>
      </c>
      <c r="H469" s="186">
        <f t="shared" ca="1" si="18"/>
        <v>-9.2553176473703907E-3</v>
      </c>
    </row>
    <row r="470" spans="2:8">
      <c r="B470" s="36">
        <v>44474</v>
      </c>
      <c r="C470" s="185">
        <v>3254.15</v>
      </c>
      <c r="D470" s="185">
        <f t="shared" si="17"/>
        <v>2.5882315852524363E-2</v>
      </c>
      <c r="E470" s="185">
        <v>1.2051377744604092E-2</v>
      </c>
      <c r="F470" s="171"/>
      <c r="G470" s="171">
        <v>467</v>
      </c>
      <c r="H470" s="186">
        <f t="shared" ca="1" si="18"/>
        <v>-1.6314113805063216E-2</v>
      </c>
    </row>
    <row r="471" spans="2:8">
      <c r="B471" s="36">
        <v>44515</v>
      </c>
      <c r="C471" s="185">
        <v>3172.05</v>
      </c>
      <c r="D471" s="185">
        <f t="shared" si="17"/>
        <v>0.30220862925407449</v>
      </c>
      <c r="E471" s="185">
        <v>1.2044156589988194E-2</v>
      </c>
      <c r="F471" s="171"/>
      <c r="G471" s="171">
        <v>468</v>
      </c>
      <c r="H471" s="186">
        <f t="shared" ca="1" si="18"/>
        <v>1.2861948682734171E-2</v>
      </c>
    </row>
    <row r="472" spans="2:8">
      <c r="B472" s="36">
        <v>44169</v>
      </c>
      <c r="C472" s="185">
        <v>2435.9</v>
      </c>
      <c r="D472" s="185">
        <f t="shared" si="17"/>
        <v>1.8711692597831213</v>
      </c>
      <c r="E472" s="185">
        <v>1.2006647278770292E-2</v>
      </c>
      <c r="F472" s="171"/>
      <c r="G472" s="171">
        <v>469</v>
      </c>
      <c r="H472" s="186">
        <f t="shared" ca="1" si="18"/>
        <v>3.814767382645605E-3</v>
      </c>
    </row>
    <row r="473" spans="2:8">
      <c r="B473" s="36">
        <v>42201</v>
      </c>
      <c r="C473" s="185">
        <v>848.4</v>
      </c>
      <c r="D473" s="185">
        <f t="shared" si="17"/>
        <v>-9.5329494561740225E-2</v>
      </c>
      <c r="E473" s="185">
        <v>1.1987833243871837E-2</v>
      </c>
      <c r="F473" s="171"/>
      <c r="G473" s="171">
        <v>470</v>
      </c>
      <c r="H473" s="186">
        <f t="shared" ca="1" si="18"/>
        <v>-3.6263814811306038E-3</v>
      </c>
    </row>
    <row r="474" spans="2:8">
      <c r="B474" s="36">
        <v>42746</v>
      </c>
      <c r="C474" s="185">
        <v>937.8</v>
      </c>
      <c r="D474" s="185">
        <f t="shared" si="17"/>
        <v>-0.60575104048429818</v>
      </c>
      <c r="E474" s="185">
        <v>1.1923388184515733E-2</v>
      </c>
      <c r="F474" s="171"/>
      <c r="G474" s="171">
        <v>471</v>
      </c>
      <c r="H474" s="186">
        <f t="shared" ca="1" si="18"/>
        <v>5.8812292641511211E-3</v>
      </c>
    </row>
    <row r="475" spans="2:8">
      <c r="B475" s="36">
        <v>45839</v>
      </c>
      <c r="C475" s="185">
        <v>2378.6999999999998</v>
      </c>
      <c r="D475" s="185">
        <f t="shared" si="17"/>
        <v>-0.25592379999061582</v>
      </c>
      <c r="E475" s="185">
        <v>1.1911345556642703E-2</v>
      </c>
      <c r="F475" s="171"/>
      <c r="G475" s="171">
        <v>472</v>
      </c>
      <c r="H475" s="186">
        <f t="shared" ca="1" si="18"/>
        <v>1.5911013128398505E-2</v>
      </c>
    </row>
    <row r="476" spans="2:8">
      <c r="B476" s="36">
        <v>44869</v>
      </c>
      <c r="C476" s="185">
        <v>3196.85</v>
      </c>
      <c r="D476" s="185">
        <f t="shared" si="17"/>
        <v>0.10135565776101142</v>
      </c>
      <c r="E476" s="185">
        <v>1.190155891429925E-2</v>
      </c>
      <c r="F476" s="171"/>
      <c r="G476" s="171">
        <v>473</v>
      </c>
      <c r="H476" s="186">
        <f t="shared" ca="1" si="18"/>
        <v>-1.1870645399446511E-2</v>
      </c>
    </row>
    <row r="477" spans="2:8">
      <c r="B477" s="36">
        <v>45392</v>
      </c>
      <c r="C477" s="185">
        <v>2902.65</v>
      </c>
      <c r="D477" s="185">
        <f t="shared" si="17"/>
        <v>-8.0610677351408699E-2</v>
      </c>
      <c r="E477" s="185">
        <v>1.188753900054031E-2</v>
      </c>
      <c r="F477" s="171"/>
      <c r="G477" s="171">
        <v>474</v>
      </c>
      <c r="H477" s="186">
        <f t="shared" ca="1" si="18"/>
        <v>-4.5498480325793693E-3</v>
      </c>
    </row>
    <row r="478" spans="2:8">
      <c r="B478" s="36">
        <v>44592</v>
      </c>
      <c r="C478" s="185">
        <v>3157.15</v>
      </c>
      <c r="D478" s="185">
        <f t="shared" si="17"/>
        <v>6.338941376580956E-2</v>
      </c>
      <c r="E478" s="185">
        <v>1.1825975482733784E-2</v>
      </c>
      <c r="F478" s="171"/>
      <c r="G478" s="171">
        <v>475</v>
      </c>
      <c r="H478" s="186">
        <f t="shared" ca="1" si="18"/>
        <v>2.2235720995450223E-2</v>
      </c>
    </row>
    <row r="479" spans="2:8">
      <c r="B479" s="36">
        <v>44347</v>
      </c>
      <c r="C479" s="185">
        <v>2968.95</v>
      </c>
      <c r="D479" s="185">
        <f t="shared" si="17"/>
        <v>1.9774356917214058</v>
      </c>
      <c r="E479" s="185">
        <v>1.1825849876458999E-2</v>
      </c>
      <c r="F479" s="171"/>
      <c r="G479" s="171">
        <v>476</v>
      </c>
      <c r="H479" s="186">
        <f t="shared" ca="1" si="18"/>
        <v>-1.4719175348836593E-2</v>
      </c>
    </row>
    <row r="480" spans="2:8">
      <c r="B480" s="36">
        <v>42536</v>
      </c>
      <c r="C480" s="185">
        <v>997.15</v>
      </c>
      <c r="D480" s="185">
        <f t="shared" si="17"/>
        <v>-0.35727867478810149</v>
      </c>
      <c r="E480" s="185">
        <v>1.1821410451547415E-2</v>
      </c>
      <c r="F480" s="171"/>
      <c r="G480" s="171">
        <v>477</v>
      </c>
      <c r="H480" s="186">
        <f t="shared" ca="1" si="18"/>
        <v>-9.4309002487137257E-3</v>
      </c>
    </row>
    <row r="481" spans="2:8">
      <c r="B481" s="36">
        <v>43726</v>
      </c>
      <c r="C481" s="185">
        <v>1551.45</v>
      </c>
      <c r="D481" s="185">
        <f t="shared" si="17"/>
        <v>-0.45502924284735757</v>
      </c>
      <c r="E481" s="185">
        <v>1.180421951935314E-2</v>
      </c>
      <c r="F481" s="171"/>
      <c r="G481" s="171">
        <v>478</v>
      </c>
      <c r="H481" s="186">
        <f t="shared" ca="1" si="18"/>
        <v>1.9529474785806866E-2</v>
      </c>
    </row>
    <row r="482" spans="2:8">
      <c r="B482" s="36">
        <v>45033</v>
      </c>
      <c r="C482" s="185">
        <v>2846.85</v>
      </c>
      <c r="D482" s="185">
        <f t="shared" si="17"/>
        <v>0.16552373544042076</v>
      </c>
      <c r="E482" s="185">
        <v>1.1799619711051416E-2</v>
      </c>
      <c r="F482" s="171"/>
      <c r="G482" s="171">
        <v>479</v>
      </c>
      <c r="H482" s="186">
        <f t="shared" ca="1" si="18"/>
        <v>1.4329344205503212E-2</v>
      </c>
    </row>
    <row r="483" spans="2:8">
      <c r="B483" s="36">
        <v>44279</v>
      </c>
      <c r="C483" s="185">
        <v>2442.5500000000002</v>
      </c>
      <c r="D483" s="185">
        <f t="shared" si="17"/>
        <v>0.28491017649070211</v>
      </c>
      <c r="E483" s="185">
        <v>1.1763974897997262E-2</v>
      </c>
      <c r="F483" s="171"/>
      <c r="G483" s="171">
        <v>480</v>
      </c>
      <c r="H483" s="186">
        <f t="shared" ca="1" si="18"/>
        <v>-1.032868849153306E-2</v>
      </c>
    </row>
    <row r="484" spans="2:8">
      <c r="B484" s="36">
        <v>43873</v>
      </c>
      <c r="C484" s="185">
        <v>1900.95</v>
      </c>
      <c r="D484" s="185">
        <f t="shared" si="17"/>
        <v>-0.38757067607403467</v>
      </c>
      <c r="E484" s="185">
        <v>1.1735589972856434E-2</v>
      </c>
      <c r="F484" s="171"/>
      <c r="G484" s="171">
        <v>481</v>
      </c>
      <c r="H484" s="186">
        <f t="shared" ca="1" si="18"/>
        <v>-3.6549121585673474E-3</v>
      </c>
    </row>
    <row r="485" spans="2:8">
      <c r="B485" s="36">
        <v>44767</v>
      </c>
      <c r="C485" s="185">
        <v>3103.95</v>
      </c>
      <c r="D485" s="185">
        <f t="shared" si="17"/>
        <v>0.73235663457513589</v>
      </c>
      <c r="E485" s="185">
        <v>1.1734219918838313E-2</v>
      </c>
      <c r="F485" s="171"/>
      <c r="G485" s="171">
        <v>482</v>
      </c>
      <c r="H485" s="186">
        <f t="shared" ca="1" si="18"/>
        <v>-6.6435608653631992E-3</v>
      </c>
    </row>
    <row r="486" spans="2:8">
      <c r="B486" s="36">
        <v>43762</v>
      </c>
      <c r="C486" s="185">
        <v>1791.75</v>
      </c>
      <c r="D486" s="185">
        <f t="shared" si="17"/>
        <v>0.23148561806247633</v>
      </c>
      <c r="E486" s="185">
        <v>1.1687981705767791E-2</v>
      </c>
      <c r="F486" s="171"/>
      <c r="G486" s="171">
        <v>483</v>
      </c>
      <c r="H486" s="186">
        <f t="shared" ca="1" si="18"/>
        <v>5.7355023658244991E-3</v>
      </c>
    </row>
    <row r="487" spans="2:8">
      <c r="B487" s="36">
        <v>43312</v>
      </c>
      <c r="C487" s="185">
        <v>1454.95</v>
      </c>
      <c r="D487" s="185">
        <f t="shared" si="17"/>
        <v>-0.39329052166298317</v>
      </c>
      <c r="E487" s="185">
        <v>1.1646502572660269E-2</v>
      </c>
      <c r="F487" s="171"/>
      <c r="G487" s="171">
        <v>484</v>
      </c>
      <c r="H487" s="186">
        <f t="shared" ca="1" si="18"/>
        <v>9.8564241258047251E-4</v>
      </c>
    </row>
    <row r="488" spans="2:8">
      <c r="B488" s="36">
        <v>44257</v>
      </c>
      <c r="C488" s="185">
        <v>2398.1</v>
      </c>
      <c r="D488" s="185">
        <f t="shared" si="17"/>
        <v>-0.20679390070452824</v>
      </c>
      <c r="E488" s="185">
        <v>1.1621775537322446E-2</v>
      </c>
      <c r="F488" s="171"/>
      <c r="G488" s="171">
        <v>485</v>
      </c>
      <c r="H488" s="186">
        <f t="shared" ca="1" si="18"/>
        <v>5.2792910085478493E-3</v>
      </c>
    </row>
    <row r="489" spans="2:8">
      <c r="B489" s="36">
        <v>44760</v>
      </c>
      <c r="C489" s="185">
        <v>3023.3</v>
      </c>
      <c r="D489" s="185">
        <f t="shared" si="17"/>
        <v>1.6347989019129374</v>
      </c>
      <c r="E489" s="185">
        <v>1.16107876597739E-2</v>
      </c>
      <c r="F489" s="171"/>
      <c r="G489" s="171">
        <v>486</v>
      </c>
      <c r="H489" s="186">
        <f t="shared" ca="1" si="18"/>
        <v>1.0551862267830276E-2</v>
      </c>
    </row>
    <row r="490" spans="2:8">
      <c r="B490" s="36">
        <v>42860</v>
      </c>
      <c r="C490" s="185">
        <v>1147.45</v>
      </c>
      <c r="D490" s="185">
        <f t="shared" si="17"/>
        <v>-0.6667489544609666</v>
      </c>
      <c r="E490" s="185">
        <v>1.1593052984219422E-2</v>
      </c>
      <c r="F490" s="171"/>
      <c r="G490" s="171">
        <v>487</v>
      </c>
      <c r="H490" s="186">
        <f t="shared" ca="1" si="18"/>
        <v>1.9674199197594049E-2</v>
      </c>
    </row>
    <row r="491" spans="2:8">
      <c r="B491" s="36">
        <v>44830</v>
      </c>
      <c r="C491" s="185">
        <v>3443.2</v>
      </c>
      <c r="D491" s="185">
        <f t="shared" si="17"/>
        <v>1.3344520153225532</v>
      </c>
      <c r="E491" s="185">
        <v>1.1560438914758261E-2</v>
      </c>
      <c r="F491" s="171"/>
      <c r="G491" s="171">
        <v>488</v>
      </c>
      <c r="H491" s="186">
        <f t="shared" ca="1" si="18"/>
        <v>-6.9106823022048181E-3</v>
      </c>
    </row>
    <row r="492" spans="2:8">
      <c r="B492" s="36">
        <v>43502</v>
      </c>
      <c r="C492" s="185">
        <v>1474.95</v>
      </c>
      <c r="D492" s="185">
        <f t="shared" si="17"/>
        <v>-0.4013758675270912</v>
      </c>
      <c r="E492" s="185">
        <v>1.1556134695837142E-2</v>
      </c>
      <c r="F492" s="171"/>
      <c r="G492" s="171">
        <v>489</v>
      </c>
      <c r="H492" s="186">
        <f t="shared" ca="1" si="18"/>
        <v>1.9435176339318468E-2</v>
      </c>
    </row>
    <row r="493" spans="2:8">
      <c r="B493" s="36">
        <v>46057</v>
      </c>
      <c r="C493" s="185">
        <v>2463.9</v>
      </c>
      <c r="D493" s="185">
        <f t="shared" si="17"/>
        <v>-0.15011555310268698</v>
      </c>
      <c r="E493" s="185">
        <v>1.1536250923721122E-2</v>
      </c>
      <c r="F493" s="171"/>
      <c r="G493" s="171">
        <v>490</v>
      </c>
      <c r="H493" s="186">
        <f t="shared" ca="1" si="18"/>
        <v>-8.2917454465166688E-3</v>
      </c>
    </row>
    <row r="494" spans="2:8">
      <c r="B494" s="36">
        <v>45365</v>
      </c>
      <c r="C494" s="185">
        <v>2899.1</v>
      </c>
      <c r="D494" s="185">
        <f t="shared" si="17"/>
        <v>1.560250805846249</v>
      </c>
      <c r="E494" s="185">
        <v>1.1531550391653923E-2</v>
      </c>
      <c r="F494" s="171"/>
      <c r="G494" s="171">
        <v>491</v>
      </c>
      <c r="H494" s="186">
        <f t="shared" ca="1" si="18"/>
        <v>2.4595779219666779E-2</v>
      </c>
    </row>
    <row r="495" spans="2:8">
      <c r="B495" s="36">
        <v>42926</v>
      </c>
      <c r="C495" s="185">
        <v>1132.3499999999999</v>
      </c>
      <c r="D495" s="185">
        <f t="shared" si="17"/>
        <v>-1.7191219254165965E-3</v>
      </c>
      <c r="E495" s="185">
        <v>1.1523516012327361E-2</v>
      </c>
      <c r="F495" s="171"/>
      <c r="G495" s="171">
        <v>492</v>
      </c>
      <c r="H495" s="186">
        <f t="shared" ca="1" si="18"/>
        <v>-1.0395147978501676E-2</v>
      </c>
    </row>
    <row r="496" spans="2:8">
      <c r="B496" s="36">
        <v>42859</v>
      </c>
      <c r="C496" s="185">
        <v>1134.3</v>
      </c>
      <c r="D496" s="185">
        <f t="shared" si="17"/>
        <v>-0.37180516711433559</v>
      </c>
      <c r="E496" s="185">
        <v>1.1503477795612504E-2</v>
      </c>
      <c r="F496" s="171"/>
      <c r="G496" s="171">
        <v>493</v>
      </c>
      <c r="H496" s="186">
        <f t="shared" ca="1" si="18"/>
        <v>2.4396637820418435E-3</v>
      </c>
    </row>
    <row r="497" spans="2:8">
      <c r="B497" s="36">
        <v>43893</v>
      </c>
      <c r="C497" s="185">
        <v>1805.65</v>
      </c>
      <c r="D497" s="185">
        <f t="shared" si="17"/>
        <v>0.60110840168477064</v>
      </c>
      <c r="E497" s="185">
        <v>1.148362882670924E-2</v>
      </c>
      <c r="F497" s="171"/>
      <c r="G497" s="171">
        <v>494</v>
      </c>
      <c r="H497" s="186">
        <f t="shared" ca="1" si="18"/>
        <v>-7.151025836987953E-3</v>
      </c>
    </row>
    <row r="498" spans="2:8">
      <c r="B498" s="36">
        <v>42605</v>
      </c>
      <c r="C498" s="185">
        <v>1127.75</v>
      </c>
      <c r="D498" s="185">
        <f t="shared" si="17"/>
        <v>0.30466219342896811</v>
      </c>
      <c r="E498" s="185">
        <v>1.1480335441051127E-2</v>
      </c>
      <c r="F498" s="171"/>
      <c r="G498" s="171">
        <v>495</v>
      </c>
      <c r="H498" s="186">
        <f t="shared" ca="1" si="18"/>
        <v>2.291949872163961E-3</v>
      </c>
    </row>
    <row r="499" spans="2:8">
      <c r="B499" s="36">
        <v>42471</v>
      </c>
      <c r="C499" s="185">
        <v>864.4</v>
      </c>
      <c r="D499" s="185">
        <f t="shared" si="17"/>
        <v>-0.70326124270511492</v>
      </c>
      <c r="E499" s="185">
        <v>1.1467353147671371E-2</v>
      </c>
      <c r="F499" s="171"/>
      <c r="G499" s="171">
        <v>496</v>
      </c>
      <c r="H499" s="186">
        <f t="shared" ca="1" si="18"/>
        <v>1.9627510829835305E-2</v>
      </c>
    </row>
    <row r="500" spans="2:8">
      <c r="B500" s="36">
        <v>45440</v>
      </c>
      <c r="C500" s="185">
        <v>2913</v>
      </c>
      <c r="D500" s="185">
        <f t="shared" si="17"/>
        <v>0.90678798193362564</v>
      </c>
      <c r="E500" s="185">
        <v>1.1458333333333333E-2</v>
      </c>
      <c r="F500" s="171"/>
      <c r="G500" s="171">
        <v>497</v>
      </c>
      <c r="H500" s="186">
        <f t="shared" ca="1" si="18"/>
        <v>-1.7903665354829141E-2</v>
      </c>
    </row>
    <row r="501" spans="2:8">
      <c r="B501" s="36">
        <v>43559</v>
      </c>
      <c r="C501" s="185">
        <v>1527.7</v>
      </c>
      <c r="D501" s="185">
        <f t="shared" si="17"/>
        <v>0.66316477056229939</v>
      </c>
      <c r="E501" s="185">
        <v>1.1453919491525393E-2</v>
      </c>
      <c r="F501" s="171"/>
      <c r="G501" s="171">
        <v>498</v>
      </c>
      <c r="H501" s="186">
        <f t="shared" ca="1" si="18"/>
        <v>-2.9541414021701812E-2</v>
      </c>
    </row>
    <row r="502" spans="2:8">
      <c r="B502" s="36">
        <v>42740</v>
      </c>
      <c r="C502" s="185">
        <v>918.55</v>
      </c>
      <c r="D502" s="185">
        <f t="shared" si="17"/>
        <v>-0.21103714837878468</v>
      </c>
      <c r="E502" s="185">
        <v>1.1396168244879882E-2</v>
      </c>
      <c r="F502" s="171"/>
      <c r="G502" s="171">
        <v>499</v>
      </c>
      <c r="H502" s="186">
        <f t="shared" ca="1" si="18"/>
        <v>-2.1536271155200332E-3</v>
      </c>
    </row>
    <row r="503" spans="2:8">
      <c r="B503" s="36">
        <v>42613</v>
      </c>
      <c r="C503" s="185">
        <v>1164.25</v>
      </c>
      <c r="D503" s="185">
        <f t="shared" si="17"/>
        <v>-0.65617293976935454</v>
      </c>
      <c r="E503" s="185">
        <v>1.1379924423402604E-2</v>
      </c>
      <c r="F503" s="171"/>
      <c r="G503" s="171">
        <v>500</v>
      </c>
      <c r="H503" s="186">
        <f t="shared" ca="1" si="18"/>
        <v>-4.121409680171292E-3</v>
      </c>
    </row>
    <row r="504" spans="2:8">
      <c r="B504" s="36">
        <v>45107</v>
      </c>
      <c r="C504" s="185">
        <v>3386.15</v>
      </c>
      <c r="D504" s="185">
        <f t="shared" si="17"/>
        <v>1.554042842057626</v>
      </c>
      <c r="E504" s="185">
        <v>1.1319345926976806E-2</v>
      </c>
      <c r="F504" s="171"/>
      <c r="G504" s="171">
        <v>501</v>
      </c>
      <c r="H504" s="186">
        <f t="shared" ca="1" si="18"/>
        <v>2.13698542736298E-2</v>
      </c>
    </row>
    <row r="505" spans="2:8">
      <c r="B505" s="36">
        <v>43425</v>
      </c>
      <c r="C505" s="185">
        <v>1325.8</v>
      </c>
      <c r="D505" s="185">
        <f t="shared" si="17"/>
        <v>-0.45358254167782885</v>
      </c>
      <c r="E505" s="185">
        <v>1.1289092295957251E-2</v>
      </c>
      <c r="F505" s="171"/>
      <c r="G505" s="171">
        <v>502</v>
      </c>
      <c r="H505" s="186">
        <f t="shared" ca="1" si="18"/>
        <v>-4.0004209065678413E-2</v>
      </c>
    </row>
    <row r="506" spans="2:8">
      <c r="B506" s="36">
        <v>45637</v>
      </c>
      <c r="C506" s="185">
        <v>2426.35</v>
      </c>
      <c r="D506" s="185">
        <f t="shared" si="17"/>
        <v>0.31473855323760491</v>
      </c>
      <c r="E506" s="185">
        <v>1.127412161880537E-2</v>
      </c>
      <c r="F506" s="171"/>
      <c r="G506" s="171">
        <v>503</v>
      </c>
      <c r="H506" s="186">
        <f t="shared" ca="1" si="18"/>
        <v>-1.842296876800549E-2</v>
      </c>
    </row>
    <row r="507" spans="2:8">
      <c r="B507" s="36">
        <v>43888</v>
      </c>
      <c r="C507" s="185">
        <v>1845.5</v>
      </c>
      <c r="D507" s="185">
        <f t="shared" si="17"/>
        <v>0.46911319853526501</v>
      </c>
      <c r="E507" s="185">
        <v>1.1260582481711802E-2</v>
      </c>
      <c r="F507" s="171"/>
      <c r="G507" s="171">
        <v>504</v>
      </c>
      <c r="H507" s="186">
        <f t="shared" ca="1" si="18"/>
        <v>-5.9927399294995088E-4</v>
      </c>
    </row>
    <row r="508" spans="2:8">
      <c r="B508" s="36">
        <v>42990</v>
      </c>
      <c r="C508" s="185">
        <v>1256.2</v>
      </c>
      <c r="D508" s="185">
        <f t="shared" si="17"/>
        <v>-0.61872097611315136</v>
      </c>
      <c r="E508" s="185">
        <v>1.1229623666733786E-2</v>
      </c>
      <c r="F508" s="171"/>
      <c r="G508" s="171">
        <v>505</v>
      </c>
      <c r="H508" s="186">
        <f t="shared" ca="1" si="18"/>
        <v>-1.7034842827286172E-2</v>
      </c>
    </row>
    <row r="509" spans="2:8">
      <c r="B509" s="36">
        <v>45100</v>
      </c>
      <c r="C509" s="185">
        <v>3294.7</v>
      </c>
      <c r="D509" s="185">
        <f t="shared" si="17"/>
        <v>0.11807923984050218</v>
      </c>
      <c r="E509" s="185">
        <v>1.1202504450309987E-2</v>
      </c>
      <c r="F509" s="171"/>
      <c r="G509" s="171">
        <v>506</v>
      </c>
      <c r="H509" s="186">
        <f t="shared" ca="1" si="18"/>
        <v>3.8962376041807363E-2</v>
      </c>
    </row>
    <row r="510" spans="2:8">
      <c r="B510" s="36">
        <v>45049</v>
      </c>
      <c r="C510" s="185">
        <v>2946.75</v>
      </c>
      <c r="D510" s="185">
        <f t="shared" si="17"/>
        <v>-3.4485583224115338E-2</v>
      </c>
      <c r="E510" s="185">
        <v>1.11867954635142E-2</v>
      </c>
      <c r="F510" s="171"/>
      <c r="G510" s="171">
        <v>507</v>
      </c>
      <c r="H510" s="186">
        <f t="shared" ca="1" si="18"/>
        <v>-2.7055048157401292E-2</v>
      </c>
    </row>
    <row r="511" spans="2:8">
      <c r="B511" s="36">
        <v>44384</v>
      </c>
      <c r="C511" s="185">
        <v>3052</v>
      </c>
      <c r="D511" s="185">
        <f t="shared" si="17"/>
        <v>0.35110009296560268</v>
      </c>
      <c r="E511" s="185">
        <v>1.1148475160269714E-2</v>
      </c>
      <c r="F511" s="171"/>
      <c r="G511" s="171">
        <v>508</v>
      </c>
      <c r="H511" s="186">
        <f t="shared" ca="1" si="18"/>
        <v>3.1642564098708433E-3</v>
      </c>
    </row>
    <row r="512" spans="2:8">
      <c r="B512" s="36">
        <v>45705</v>
      </c>
      <c r="C512" s="185">
        <v>2258.9</v>
      </c>
      <c r="D512" s="185">
        <f t="shared" si="17"/>
        <v>-3.6609033168664997E-3</v>
      </c>
      <c r="E512" s="185">
        <v>1.1123296255679106E-2</v>
      </c>
      <c r="F512" s="171"/>
      <c r="G512" s="171">
        <v>509</v>
      </c>
      <c r="H512" s="186">
        <f t="shared" ca="1" si="18"/>
        <v>7.7963122980349697E-3</v>
      </c>
    </row>
    <row r="513" spans="2:8">
      <c r="B513" s="36">
        <v>46099</v>
      </c>
      <c r="C513" s="185">
        <v>2267.1999999999998</v>
      </c>
      <c r="D513" s="185">
        <f t="shared" si="17"/>
        <v>-0.29867759647359066</v>
      </c>
      <c r="E513" s="185">
        <v>1.1104669312759058E-2</v>
      </c>
      <c r="F513" s="171"/>
      <c r="G513" s="171">
        <v>510</v>
      </c>
      <c r="H513" s="186">
        <f t="shared" ca="1" si="18"/>
        <v>1.2471863821301122E-2</v>
      </c>
    </row>
    <row r="514" spans="2:8">
      <c r="B514" s="36">
        <v>45078</v>
      </c>
      <c r="C514" s="185">
        <v>3232.75</v>
      </c>
      <c r="D514" s="185">
        <f t="shared" si="17"/>
        <v>1.7243805831788306</v>
      </c>
      <c r="E514" s="185">
        <v>1.1103291891469231E-2</v>
      </c>
      <c r="F514" s="171"/>
      <c r="G514" s="171">
        <v>511</v>
      </c>
      <c r="H514" s="186">
        <f t="shared" ca="1" si="18"/>
        <v>-1.5798005890126587E-2</v>
      </c>
    </row>
    <row r="515" spans="2:8">
      <c r="B515" s="36">
        <v>43105</v>
      </c>
      <c r="C515" s="185">
        <v>1186.5999999999999</v>
      </c>
      <c r="D515" s="185">
        <f t="shared" si="17"/>
        <v>-0.33912559175717077</v>
      </c>
      <c r="E515" s="185">
        <v>1.1077027948193593E-2</v>
      </c>
      <c r="F515" s="171"/>
      <c r="G515" s="171">
        <v>512</v>
      </c>
      <c r="H515" s="186">
        <f t="shared" ca="1" si="18"/>
        <v>7.5605315249815323E-4</v>
      </c>
    </row>
    <row r="516" spans="2:8">
      <c r="B516" s="36">
        <v>43840</v>
      </c>
      <c r="C516" s="185">
        <v>1795.5</v>
      </c>
      <c r="D516" s="185">
        <f t="shared" ref="D516:D579" si="19">(C516-C517)/C517</f>
        <v>-0.19925968871248279</v>
      </c>
      <c r="E516" s="185">
        <v>1.1065123743559474E-2</v>
      </c>
      <c r="F516" s="171"/>
      <c r="G516" s="171">
        <v>513</v>
      </c>
      <c r="H516" s="186">
        <f t="shared" ca="1" si="18"/>
        <v>5.6924855290801327E-3</v>
      </c>
    </row>
    <row r="517" spans="2:8">
      <c r="B517" s="36">
        <v>46098</v>
      </c>
      <c r="C517" s="185">
        <v>2242.3000000000002</v>
      </c>
      <c r="D517" s="185">
        <f t="shared" si="19"/>
        <v>-0.22517666165621372</v>
      </c>
      <c r="E517" s="185">
        <v>1.1046983497159346E-2</v>
      </c>
      <c r="F517" s="171"/>
      <c r="G517" s="171">
        <v>514</v>
      </c>
      <c r="H517" s="186">
        <f t="shared" ref="H517:H580" ca="1" si="20">_xlfn.NORM.INV(RAND(),N$6,N$7)</f>
        <v>4.7776274583506285E-2</v>
      </c>
    </row>
    <row r="518" spans="2:8">
      <c r="B518" s="36">
        <v>45434</v>
      </c>
      <c r="C518" s="185">
        <v>2893.95</v>
      </c>
      <c r="D518" s="185">
        <f t="shared" si="19"/>
        <v>-9.5317954685469105E-3</v>
      </c>
      <c r="E518" s="185">
        <v>1.1039879819029787E-2</v>
      </c>
      <c r="F518" s="171"/>
      <c r="G518" s="171">
        <v>515</v>
      </c>
      <c r="H518" s="186">
        <f t="shared" ca="1" si="20"/>
        <v>3.1143980133539369E-3</v>
      </c>
    </row>
    <row r="519" spans="2:8">
      <c r="B519" s="36">
        <v>45463</v>
      </c>
      <c r="C519" s="185">
        <v>2921.8</v>
      </c>
      <c r="D519" s="185">
        <f t="shared" si="19"/>
        <v>0.20521387617044093</v>
      </c>
      <c r="E519" s="185">
        <v>1.1038444236824835E-2</v>
      </c>
      <c r="F519" s="171"/>
      <c r="G519" s="171">
        <v>516</v>
      </c>
      <c r="H519" s="186">
        <f t="shared" ca="1" si="20"/>
        <v>1.2766476278039398E-2</v>
      </c>
    </row>
    <row r="520" spans="2:8">
      <c r="B520" s="36">
        <v>46073</v>
      </c>
      <c r="C520" s="185">
        <v>2424.3000000000002</v>
      </c>
      <c r="D520" s="185">
        <f t="shared" si="19"/>
        <v>1.0793378505875288</v>
      </c>
      <c r="E520" s="185">
        <v>1.1009633429250631E-2</v>
      </c>
      <c r="F520" s="171"/>
      <c r="G520" s="171">
        <v>517</v>
      </c>
      <c r="H520" s="186">
        <f t="shared" ca="1" si="20"/>
        <v>-1.7572565061534047E-2</v>
      </c>
    </row>
    <row r="521" spans="2:8">
      <c r="B521" s="36">
        <v>42978</v>
      </c>
      <c r="C521" s="185">
        <v>1165.9000000000001</v>
      </c>
      <c r="D521" s="185">
        <f t="shared" si="19"/>
        <v>-0.62159618318133125</v>
      </c>
      <c r="E521" s="185">
        <v>1.0969000650336087E-2</v>
      </c>
      <c r="F521" s="171"/>
      <c r="G521" s="171">
        <v>518</v>
      </c>
      <c r="H521" s="186">
        <f t="shared" ca="1" si="20"/>
        <v>9.6638554792203187E-3</v>
      </c>
    </row>
    <row r="522" spans="2:8">
      <c r="B522" s="36">
        <v>44650</v>
      </c>
      <c r="C522" s="185">
        <v>3081.1</v>
      </c>
      <c r="D522" s="185">
        <f t="shared" si="19"/>
        <v>1.209703446050131</v>
      </c>
      <c r="E522" s="185">
        <v>1.0959083899333954E-2</v>
      </c>
      <c r="F522" s="171"/>
      <c r="G522" s="171">
        <v>519</v>
      </c>
      <c r="H522" s="186">
        <f t="shared" ca="1" si="20"/>
        <v>-1.9268959460747065E-3</v>
      </c>
    </row>
    <row r="523" spans="2:8">
      <c r="B523" s="36">
        <v>43494</v>
      </c>
      <c r="C523" s="185">
        <v>1394.35</v>
      </c>
      <c r="D523" s="185">
        <f t="shared" si="19"/>
        <v>0.18976918810529447</v>
      </c>
      <c r="E523" s="185">
        <v>1.094797897408005E-2</v>
      </c>
      <c r="F523" s="171"/>
      <c r="G523" s="171">
        <v>520</v>
      </c>
      <c r="H523" s="186">
        <f t="shared" ca="1" si="20"/>
        <v>6.7265023535872954E-3</v>
      </c>
    </row>
    <row r="524" spans="2:8">
      <c r="B524" s="36">
        <v>43067</v>
      </c>
      <c r="C524" s="185">
        <v>1171.95</v>
      </c>
      <c r="D524" s="185">
        <f t="shared" si="19"/>
        <v>0.12314916862331687</v>
      </c>
      <c r="E524" s="185">
        <v>1.0911757094798665E-2</v>
      </c>
      <c r="F524" s="171"/>
      <c r="G524" s="171">
        <v>521</v>
      </c>
      <c r="H524" s="186">
        <f t="shared" ca="1" si="20"/>
        <v>-7.5069184422417593E-3</v>
      </c>
    </row>
    <row r="525" spans="2:8">
      <c r="B525" s="36">
        <v>42572</v>
      </c>
      <c r="C525" s="185">
        <v>1043.45</v>
      </c>
      <c r="D525" s="185">
        <f t="shared" si="19"/>
        <v>-0.57659065086836547</v>
      </c>
      <c r="E525" s="185">
        <v>1.0899050571594652E-2</v>
      </c>
      <c r="F525" s="171"/>
      <c r="G525" s="171">
        <v>522</v>
      </c>
      <c r="H525" s="186">
        <f t="shared" ca="1" si="20"/>
        <v>-1.6991161661633978E-2</v>
      </c>
    </row>
    <row r="526" spans="2:8">
      <c r="B526" s="36">
        <v>45771</v>
      </c>
      <c r="C526" s="185">
        <v>2464.4</v>
      </c>
      <c r="D526" s="185">
        <f t="shared" si="19"/>
        <v>1.8004545454545455</v>
      </c>
      <c r="E526" s="185">
        <v>1.0870011075105624E-2</v>
      </c>
      <c r="F526" s="171"/>
      <c r="G526" s="171">
        <v>523</v>
      </c>
      <c r="H526" s="186">
        <f t="shared" ca="1" si="20"/>
        <v>-5.7028181766511964E-3</v>
      </c>
    </row>
    <row r="527" spans="2:8">
      <c r="B527" s="36">
        <v>42293</v>
      </c>
      <c r="C527" s="185">
        <v>880</v>
      </c>
      <c r="D527" s="185">
        <f t="shared" si="19"/>
        <v>-0.72669109882601401</v>
      </c>
      <c r="E527" s="185">
        <v>1.0855206478662968E-2</v>
      </c>
      <c r="F527" s="171"/>
      <c r="G527" s="171">
        <v>524</v>
      </c>
      <c r="H527" s="186">
        <f t="shared" ca="1" si="20"/>
        <v>-1.444506434321609E-2</v>
      </c>
    </row>
    <row r="528" spans="2:8">
      <c r="B528" s="36">
        <v>45204</v>
      </c>
      <c r="C528" s="185">
        <v>3219.8</v>
      </c>
      <c r="D528" s="185">
        <f t="shared" si="19"/>
        <v>5.2686642799928102E-2</v>
      </c>
      <c r="E528" s="185">
        <v>1.0846872302017167E-2</v>
      </c>
      <c r="F528" s="171"/>
      <c r="G528" s="171">
        <v>525</v>
      </c>
      <c r="H528" s="186">
        <f t="shared" ca="1" si="20"/>
        <v>-1.6455078468774458E-2</v>
      </c>
    </row>
    <row r="529" spans="2:8">
      <c r="B529" s="36">
        <v>44364</v>
      </c>
      <c r="C529" s="185">
        <v>3058.65</v>
      </c>
      <c r="D529" s="185">
        <f t="shared" si="19"/>
        <v>7.2852908679563053E-2</v>
      </c>
      <c r="E529" s="185">
        <v>1.0806523571109989E-2</v>
      </c>
      <c r="F529" s="171"/>
      <c r="G529" s="171">
        <v>526</v>
      </c>
      <c r="H529" s="186">
        <f t="shared" ca="1" si="20"/>
        <v>8.0617723723331106E-3</v>
      </c>
    </row>
    <row r="530" spans="2:8">
      <c r="B530" s="36">
        <v>45373</v>
      </c>
      <c r="C530" s="185">
        <v>2850.95</v>
      </c>
      <c r="D530" s="185">
        <f t="shared" si="19"/>
        <v>0.12171466792571606</v>
      </c>
      <c r="E530" s="185">
        <v>1.0760121959866663E-2</v>
      </c>
      <c r="F530" s="171"/>
      <c r="G530" s="171">
        <v>527</v>
      </c>
      <c r="H530" s="186">
        <f t="shared" ca="1" si="20"/>
        <v>-2.2881729140880866E-2</v>
      </c>
    </row>
    <row r="531" spans="2:8">
      <c r="B531" s="36">
        <v>46133</v>
      </c>
      <c r="C531" s="185">
        <v>2541.6</v>
      </c>
      <c r="D531" s="185">
        <f t="shared" si="19"/>
        <v>1.6644302337771253</v>
      </c>
      <c r="E531" s="185">
        <v>1.0737294201861132E-2</v>
      </c>
      <c r="F531" s="171"/>
      <c r="G531" s="171">
        <v>528</v>
      </c>
      <c r="H531" s="186">
        <f t="shared" ca="1" si="20"/>
        <v>2.6486029502928343E-2</v>
      </c>
    </row>
    <row r="532" spans="2:8">
      <c r="B532" s="36">
        <v>42506</v>
      </c>
      <c r="C532" s="185">
        <v>953.9</v>
      </c>
      <c r="D532" s="185">
        <f t="shared" si="19"/>
        <v>-0.17614544198298565</v>
      </c>
      <c r="E532" s="185">
        <v>1.0701419792328908E-2</v>
      </c>
      <c r="F532" s="171"/>
      <c r="G532" s="171">
        <v>529</v>
      </c>
      <c r="H532" s="186">
        <f t="shared" ca="1" si="20"/>
        <v>2.4471638415407716E-2</v>
      </c>
    </row>
    <row r="533" spans="2:8">
      <c r="B533" s="36">
        <v>42885</v>
      </c>
      <c r="C533" s="185">
        <v>1157.8499999999999</v>
      </c>
      <c r="D533" s="185">
        <f t="shared" si="19"/>
        <v>0.35168106467429355</v>
      </c>
      <c r="E533" s="185">
        <v>1.0693086592178772E-2</v>
      </c>
      <c r="F533" s="171"/>
      <c r="G533" s="171">
        <v>530</v>
      </c>
      <c r="H533" s="186">
        <f t="shared" ca="1" si="20"/>
        <v>-1.0333947408105134E-2</v>
      </c>
    </row>
    <row r="534" spans="2:8">
      <c r="B534" s="36">
        <v>42215</v>
      </c>
      <c r="C534" s="185">
        <v>856.6</v>
      </c>
      <c r="D534" s="185">
        <f t="shared" si="19"/>
        <v>-0.14998759612999255</v>
      </c>
      <c r="E534" s="185">
        <v>1.0677836115863452E-2</v>
      </c>
      <c r="F534" s="171"/>
      <c r="G534" s="171">
        <v>531</v>
      </c>
      <c r="H534" s="186">
        <f t="shared" ca="1" si="20"/>
        <v>-2.4357986344595624E-2</v>
      </c>
    </row>
    <row r="535" spans="2:8">
      <c r="B535" s="36">
        <v>42537</v>
      </c>
      <c r="C535" s="185">
        <v>1007.75</v>
      </c>
      <c r="D535" s="185">
        <f t="shared" si="19"/>
        <v>-0.58627555628540939</v>
      </c>
      <c r="E535" s="185">
        <v>1.0630296344582083E-2</v>
      </c>
      <c r="F535" s="171"/>
      <c r="G535" s="171">
        <v>532</v>
      </c>
      <c r="H535" s="186">
        <f t="shared" ca="1" si="20"/>
        <v>4.4511261773108341E-3</v>
      </c>
    </row>
    <row r="536" spans="2:8">
      <c r="B536" s="36">
        <v>46056</v>
      </c>
      <c r="C536" s="185">
        <v>2435.8000000000002</v>
      </c>
      <c r="D536" s="185">
        <f t="shared" si="19"/>
        <v>-0.13544402640732586</v>
      </c>
      <c r="E536" s="185">
        <v>1.0621525184632132E-2</v>
      </c>
      <c r="F536" s="171"/>
      <c r="G536" s="171">
        <v>533</v>
      </c>
      <c r="H536" s="186">
        <f t="shared" ca="1" si="20"/>
        <v>1.0007351021373706E-2</v>
      </c>
    </row>
    <row r="537" spans="2:8">
      <c r="B537" s="36">
        <v>45021</v>
      </c>
      <c r="C537" s="185">
        <v>2817.4</v>
      </c>
      <c r="D537" s="185">
        <f t="shared" si="19"/>
        <v>1.4558926080892607</v>
      </c>
      <c r="E537" s="185">
        <v>1.0581441228164568E-2</v>
      </c>
      <c r="F537" s="171"/>
      <c r="G537" s="171">
        <v>534</v>
      </c>
      <c r="H537" s="186">
        <f t="shared" ca="1" si="20"/>
        <v>1.59712738815352E-2</v>
      </c>
    </row>
    <row r="538" spans="2:8">
      <c r="B538" s="36">
        <v>42593</v>
      </c>
      <c r="C538" s="185">
        <v>1147.2</v>
      </c>
      <c r="D538" s="185">
        <f t="shared" si="19"/>
        <v>-0.60091838864537672</v>
      </c>
      <c r="E538" s="185">
        <v>1.0570824524312896E-2</v>
      </c>
      <c r="F538" s="171"/>
      <c r="G538" s="171">
        <v>535</v>
      </c>
      <c r="H538" s="186">
        <f t="shared" ca="1" si="20"/>
        <v>2.3665066982325508E-2</v>
      </c>
    </row>
    <row r="539" spans="2:8">
      <c r="B539" s="36">
        <v>44991</v>
      </c>
      <c r="C539" s="185">
        <v>2874.6</v>
      </c>
      <c r="D539" s="185">
        <f t="shared" si="19"/>
        <v>2.3536720527328936</v>
      </c>
      <c r="E539" s="185">
        <v>1.0564061099295047E-2</v>
      </c>
      <c r="F539" s="171"/>
      <c r="G539" s="171">
        <v>536</v>
      </c>
      <c r="H539" s="186">
        <f t="shared" ca="1" si="20"/>
        <v>3.3829342057188857E-3</v>
      </c>
    </row>
    <row r="540" spans="2:8">
      <c r="B540" s="36">
        <v>42458</v>
      </c>
      <c r="C540" s="185">
        <v>857.15</v>
      </c>
      <c r="D540" s="185">
        <f t="shared" si="19"/>
        <v>-0.56169462057680497</v>
      </c>
      <c r="E540" s="185">
        <v>1.0551756661164738E-2</v>
      </c>
      <c r="F540" s="171"/>
      <c r="G540" s="171">
        <v>537</v>
      </c>
      <c r="H540" s="186">
        <f t="shared" ca="1" si="20"/>
        <v>-1.0786728887642275E-2</v>
      </c>
    </row>
    <row r="541" spans="2:8">
      <c r="B541" s="36">
        <v>44102</v>
      </c>
      <c r="C541" s="185">
        <v>1955.6</v>
      </c>
      <c r="D541" s="185">
        <f t="shared" si="19"/>
        <v>0.48760079111516813</v>
      </c>
      <c r="E541" s="185">
        <v>1.0541546093426965E-2</v>
      </c>
      <c r="F541" s="171"/>
      <c r="G541" s="171">
        <v>538</v>
      </c>
      <c r="H541" s="186">
        <f t="shared" ca="1" si="20"/>
        <v>2.2520293007549804E-4</v>
      </c>
    </row>
    <row r="542" spans="2:8">
      <c r="B542" s="36">
        <v>43235</v>
      </c>
      <c r="C542" s="185">
        <v>1314.6</v>
      </c>
      <c r="D542" s="185">
        <f t="shared" si="19"/>
        <v>-0.52447097124253939</v>
      </c>
      <c r="E542" s="185">
        <v>1.0531170727957428E-2</v>
      </c>
      <c r="F542" s="171"/>
      <c r="G542" s="171">
        <v>539</v>
      </c>
      <c r="H542" s="186">
        <f t="shared" ca="1" si="20"/>
        <v>2.1026601406921547E-3</v>
      </c>
    </row>
    <row r="543" spans="2:8">
      <c r="B543" s="36">
        <v>44196</v>
      </c>
      <c r="C543" s="185">
        <v>2764.5</v>
      </c>
      <c r="D543" s="185">
        <f t="shared" si="19"/>
        <v>1.4089403973509935</v>
      </c>
      <c r="E543" s="185">
        <v>1.0527470117337494E-2</v>
      </c>
      <c r="F543" s="171"/>
      <c r="G543" s="171">
        <v>540</v>
      </c>
      <c r="H543" s="186">
        <f t="shared" ca="1" si="20"/>
        <v>-3.0812855540364188E-4</v>
      </c>
    </row>
    <row r="544" spans="2:8">
      <c r="B544" s="36">
        <v>42943</v>
      </c>
      <c r="C544" s="185">
        <v>1147.5999999999999</v>
      </c>
      <c r="D544" s="185">
        <f t="shared" si="19"/>
        <v>-0.64569311515899974</v>
      </c>
      <c r="E544" s="185">
        <v>1.052260819794815E-2</v>
      </c>
      <c r="F544" s="171"/>
      <c r="G544" s="171">
        <v>541</v>
      </c>
      <c r="H544" s="186">
        <f t="shared" ca="1" si="20"/>
        <v>-9.1340965417104746E-3</v>
      </c>
    </row>
    <row r="545" spans="2:8">
      <c r="B545" s="36">
        <v>44596</v>
      </c>
      <c r="C545" s="185">
        <v>3239</v>
      </c>
      <c r="D545" s="185">
        <f t="shared" si="19"/>
        <v>-6.587068120205343E-2</v>
      </c>
      <c r="E545" s="185">
        <v>1.0513836458365775E-2</v>
      </c>
      <c r="F545" s="171"/>
      <c r="G545" s="171">
        <v>542</v>
      </c>
      <c r="H545" s="186">
        <f t="shared" ca="1" si="20"/>
        <v>3.1404542489769864E-2</v>
      </c>
    </row>
    <row r="546" spans="2:8">
      <c r="B546" s="36">
        <v>45124</v>
      </c>
      <c r="C546" s="185">
        <v>3467.4</v>
      </c>
      <c r="D546" s="185">
        <f t="shared" si="19"/>
        <v>0.83552579338821109</v>
      </c>
      <c r="E546" s="185">
        <v>1.0491344640671446E-2</v>
      </c>
      <c r="F546" s="171"/>
      <c r="G546" s="171">
        <v>543</v>
      </c>
      <c r="H546" s="186">
        <f t="shared" ca="1" si="20"/>
        <v>1.5791251874773825E-2</v>
      </c>
    </row>
    <row r="547" spans="2:8">
      <c r="B547" s="36">
        <v>43880</v>
      </c>
      <c r="C547" s="185">
        <v>1889.05</v>
      </c>
      <c r="D547" s="185">
        <f t="shared" si="19"/>
        <v>-0.4192095432814254</v>
      </c>
      <c r="E547" s="185">
        <v>1.0484367059830383E-2</v>
      </c>
      <c r="F547" s="171"/>
      <c r="G547" s="171">
        <v>544</v>
      </c>
      <c r="H547" s="186">
        <f t="shared" ca="1" si="20"/>
        <v>5.0367193999475918E-3</v>
      </c>
    </row>
    <row r="548" spans="2:8">
      <c r="B548" s="36">
        <v>45190</v>
      </c>
      <c r="C548" s="185">
        <v>3252.55</v>
      </c>
      <c r="D548" s="185">
        <f t="shared" si="19"/>
        <v>1.8487409678125686</v>
      </c>
      <c r="E548" s="185">
        <v>1.0453881760850008E-2</v>
      </c>
      <c r="F548" s="171"/>
      <c r="G548" s="171">
        <v>545</v>
      </c>
      <c r="H548" s="186">
        <f t="shared" ca="1" si="20"/>
        <v>3.6354870321112921E-3</v>
      </c>
    </row>
    <row r="549" spans="2:8">
      <c r="B549" s="36">
        <v>42970</v>
      </c>
      <c r="C549" s="185">
        <v>1141.75</v>
      </c>
      <c r="D549" s="185">
        <f t="shared" si="19"/>
        <v>-0.59865368391451068</v>
      </c>
      <c r="E549" s="185">
        <v>1.044293995309523E-2</v>
      </c>
      <c r="F549" s="171"/>
      <c r="G549" s="171">
        <v>546</v>
      </c>
      <c r="H549" s="186">
        <f t="shared" ca="1" si="20"/>
        <v>-4.9187798590246638E-3</v>
      </c>
    </row>
    <row r="550" spans="2:8">
      <c r="B550" s="36">
        <v>45036</v>
      </c>
      <c r="C550" s="185">
        <v>2844.8</v>
      </c>
      <c r="D550" s="185">
        <f t="shared" si="19"/>
        <v>1.4871481028151778</v>
      </c>
      <c r="E550" s="185">
        <v>1.0424621286117802E-2</v>
      </c>
      <c r="F550" s="171"/>
      <c r="G550" s="171">
        <v>547</v>
      </c>
      <c r="H550" s="186">
        <f t="shared" ca="1" si="20"/>
        <v>-2.3743307886253391E-4</v>
      </c>
    </row>
    <row r="551" spans="2:8">
      <c r="B551" s="36">
        <v>43143</v>
      </c>
      <c r="C551" s="185">
        <v>1143.8</v>
      </c>
      <c r="D551" s="185">
        <f t="shared" si="19"/>
        <v>-0.6144472721756864</v>
      </c>
      <c r="E551" s="185">
        <v>1.0424028268551197E-2</v>
      </c>
      <c r="F551" s="171"/>
      <c r="G551" s="171">
        <v>548</v>
      </c>
      <c r="H551" s="186">
        <f t="shared" ca="1" si="20"/>
        <v>1.6687158830114266E-2</v>
      </c>
    </row>
    <row r="552" spans="2:8">
      <c r="B552" s="36">
        <v>44634</v>
      </c>
      <c r="C552" s="185">
        <v>2966.65</v>
      </c>
      <c r="D552" s="185">
        <f t="shared" si="19"/>
        <v>-4.924206005832775E-2</v>
      </c>
      <c r="E552" s="185">
        <v>1.0422165835050462E-2</v>
      </c>
      <c r="F552" s="171"/>
      <c r="G552" s="171">
        <v>549</v>
      </c>
      <c r="H552" s="186">
        <f t="shared" ca="1" si="20"/>
        <v>2.5473325369335758E-2</v>
      </c>
    </row>
    <row r="553" spans="2:8">
      <c r="B553" s="36">
        <v>45245</v>
      </c>
      <c r="C553" s="185">
        <v>3120.3</v>
      </c>
      <c r="D553" s="185">
        <f t="shared" si="19"/>
        <v>-8.2440121741431754E-2</v>
      </c>
      <c r="E553" s="185">
        <v>1.0394404507480203E-2</v>
      </c>
      <c r="F553" s="171"/>
      <c r="G553" s="171">
        <v>550</v>
      </c>
      <c r="H553" s="186">
        <f t="shared" ca="1" si="20"/>
        <v>-1.0635522735210694E-2</v>
      </c>
    </row>
    <row r="554" spans="2:8">
      <c r="B554" s="36">
        <v>44561</v>
      </c>
      <c r="C554" s="185">
        <v>3400.65</v>
      </c>
      <c r="D554" s="185">
        <f t="shared" si="19"/>
        <v>1.5672064318876684</v>
      </c>
      <c r="E554" s="185">
        <v>1.0384169712095635E-2</v>
      </c>
      <c r="F554" s="171"/>
      <c r="G554" s="171">
        <v>551</v>
      </c>
      <c r="H554" s="186">
        <f t="shared" ca="1" si="20"/>
        <v>-5.4298224893933548E-3</v>
      </c>
    </row>
    <row r="555" spans="2:8">
      <c r="B555" s="36">
        <v>43602</v>
      </c>
      <c r="C555" s="185">
        <v>1324.65</v>
      </c>
      <c r="D555" s="185">
        <f t="shared" si="19"/>
        <v>0.15252099012485335</v>
      </c>
      <c r="E555" s="185">
        <v>1.029630477062121E-2</v>
      </c>
      <c r="F555" s="171"/>
      <c r="G555" s="171">
        <v>552</v>
      </c>
      <c r="H555" s="186">
        <f t="shared" ca="1" si="20"/>
        <v>-1.0380843834611594E-2</v>
      </c>
    </row>
    <row r="556" spans="2:8">
      <c r="B556" s="36">
        <v>43195</v>
      </c>
      <c r="C556" s="185">
        <v>1149.3499999999999</v>
      </c>
      <c r="D556" s="185">
        <f t="shared" si="19"/>
        <v>-0.60377488580539518</v>
      </c>
      <c r="E556" s="185">
        <v>1.0284358106623141E-2</v>
      </c>
      <c r="F556" s="171"/>
      <c r="G556" s="171">
        <v>553</v>
      </c>
      <c r="H556" s="186">
        <f t="shared" ca="1" si="20"/>
        <v>-1.2936831803041152E-2</v>
      </c>
    </row>
    <row r="557" spans="2:8">
      <c r="B557" s="36">
        <v>44749</v>
      </c>
      <c r="C557" s="185">
        <v>2900.75</v>
      </c>
      <c r="D557" s="185">
        <f t="shared" si="19"/>
        <v>3.8801747600630251E-2</v>
      </c>
      <c r="E557" s="185">
        <v>1.025667815971853E-2</v>
      </c>
      <c r="F557" s="171"/>
      <c r="G557" s="171">
        <v>554</v>
      </c>
      <c r="H557" s="186">
        <f t="shared" ca="1" si="20"/>
        <v>2.7773959651516732E-3</v>
      </c>
    </row>
    <row r="558" spans="2:8">
      <c r="B558" s="36">
        <v>46010</v>
      </c>
      <c r="C558" s="185">
        <v>2792.4</v>
      </c>
      <c r="D558" s="185">
        <f t="shared" si="19"/>
        <v>0.18734586274343051</v>
      </c>
      <c r="E558" s="185">
        <v>1.0238413950291301E-2</v>
      </c>
      <c r="F558" s="171"/>
      <c r="G558" s="171">
        <v>555</v>
      </c>
      <c r="H558" s="186">
        <f t="shared" ca="1" si="20"/>
        <v>9.5878618634800752E-3</v>
      </c>
    </row>
    <row r="559" spans="2:8">
      <c r="B559" s="36">
        <v>45793</v>
      </c>
      <c r="C559" s="185">
        <v>2351.8000000000002</v>
      </c>
      <c r="D559" s="185">
        <f t="shared" si="19"/>
        <v>1.6876178504085484</v>
      </c>
      <c r="E559" s="185">
        <v>1.022336769759458E-2</v>
      </c>
      <c r="F559" s="171"/>
      <c r="G559" s="171">
        <v>556</v>
      </c>
      <c r="H559" s="186">
        <f t="shared" ca="1" si="20"/>
        <v>1.4980626664318129E-2</v>
      </c>
    </row>
    <row r="560" spans="2:8">
      <c r="B560" s="36">
        <v>42285</v>
      </c>
      <c r="C560" s="185">
        <v>875.05</v>
      </c>
      <c r="D560" s="185">
        <f t="shared" si="19"/>
        <v>-0.2534976966387989</v>
      </c>
      <c r="E560" s="185">
        <v>1.021703994458544E-2</v>
      </c>
      <c r="F560" s="171"/>
      <c r="G560" s="171">
        <v>557</v>
      </c>
      <c r="H560" s="186">
        <f t="shared" ca="1" si="20"/>
        <v>1.5746757747241692E-2</v>
      </c>
    </row>
    <row r="561" spans="2:8">
      <c r="B561" s="36">
        <v>42866</v>
      </c>
      <c r="C561" s="185">
        <v>1172.2</v>
      </c>
      <c r="D561" s="185">
        <f t="shared" si="19"/>
        <v>-0.62759519006242748</v>
      </c>
      <c r="E561" s="185">
        <v>1.0212435902960433E-2</v>
      </c>
      <c r="F561" s="171"/>
      <c r="G561" s="171">
        <v>558</v>
      </c>
      <c r="H561" s="186">
        <f t="shared" ca="1" si="20"/>
        <v>9.2839366976985877E-3</v>
      </c>
    </row>
    <row r="562" spans="2:8">
      <c r="B562" s="36">
        <v>45534</v>
      </c>
      <c r="C562" s="185">
        <v>3147.65</v>
      </c>
      <c r="D562" s="185">
        <f t="shared" si="19"/>
        <v>-3.9222868305785752E-2</v>
      </c>
      <c r="E562" s="185">
        <v>1.0205882824911399E-2</v>
      </c>
      <c r="F562" s="171"/>
      <c r="G562" s="171">
        <v>559</v>
      </c>
      <c r="H562" s="186">
        <f t="shared" ca="1" si="20"/>
        <v>2.8769662521280267E-3</v>
      </c>
    </row>
    <row r="563" spans="2:8">
      <c r="B563" s="36">
        <v>44551</v>
      </c>
      <c r="C563" s="185">
        <v>3276.15</v>
      </c>
      <c r="D563" s="185">
        <f t="shared" si="19"/>
        <v>2.7241673297715128</v>
      </c>
      <c r="E563" s="185">
        <v>1.0175292539660515E-2</v>
      </c>
      <c r="F563" s="171"/>
      <c r="G563" s="171">
        <v>560</v>
      </c>
      <c r="H563" s="186">
        <f t="shared" ca="1" si="20"/>
        <v>1.0334354776192749E-2</v>
      </c>
    </row>
    <row r="564" spans="2:8">
      <c r="B564" s="36">
        <v>42438</v>
      </c>
      <c r="C564" s="185">
        <v>879.7</v>
      </c>
      <c r="D564" s="185">
        <f t="shared" si="19"/>
        <v>-0.73705762792922036</v>
      </c>
      <c r="E564" s="185">
        <v>1.016248492851814E-2</v>
      </c>
      <c r="F564" s="171"/>
      <c r="G564" s="171">
        <v>561</v>
      </c>
      <c r="H564" s="186">
        <f t="shared" ca="1" si="20"/>
        <v>-1.083697247628468E-2</v>
      </c>
    </row>
    <row r="565" spans="2:8">
      <c r="B565" s="36">
        <v>44838</v>
      </c>
      <c r="C565" s="185">
        <v>3345.6</v>
      </c>
      <c r="D565" s="185">
        <f t="shared" si="19"/>
        <v>1.9621497188897248</v>
      </c>
      <c r="E565" s="185">
        <v>1.0068684429013482E-2</v>
      </c>
      <c r="F565" s="171"/>
      <c r="G565" s="171">
        <v>562</v>
      </c>
      <c r="H565" s="186">
        <f t="shared" ca="1" si="20"/>
        <v>-1.8253467005312392E-2</v>
      </c>
    </row>
    <row r="566" spans="2:8">
      <c r="B566" s="36">
        <v>43186</v>
      </c>
      <c r="C566" s="185">
        <v>1129.45</v>
      </c>
      <c r="D566" s="185">
        <f t="shared" si="19"/>
        <v>-0.43162317892459051</v>
      </c>
      <c r="E566" s="185">
        <v>1.0060812019316759E-2</v>
      </c>
      <c r="F566" s="171"/>
      <c r="G566" s="171">
        <v>563</v>
      </c>
      <c r="H566" s="186">
        <f t="shared" ca="1" si="20"/>
        <v>1.3730139552754928E-3</v>
      </c>
    </row>
    <row r="567" spans="2:8">
      <c r="B567" s="36">
        <v>44083</v>
      </c>
      <c r="C567" s="185">
        <v>1987.15</v>
      </c>
      <c r="D567" s="185">
        <f t="shared" si="19"/>
        <v>1.1006924256038904</v>
      </c>
      <c r="E567" s="185">
        <v>1.0038629663515299E-2</v>
      </c>
      <c r="F567" s="171"/>
      <c r="G567" s="171">
        <v>564</v>
      </c>
      <c r="H567" s="186">
        <f t="shared" ca="1" si="20"/>
        <v>2.917257723668E-2</v>
      </c>
    </row>
    <row r="568" spans="2:8">
      <c r="B568" s="36">
        <v>42699</v>
      </c>
      <c r="C568" s="185">
        <v>945.95</v>
      </c>
      <c r="D568" s="185">
        <f t="shared" si="19"/>
        <v>-0.59910578064078657</v>
      </c>
      <c r="E568" s="185">
        <v>1.0036837328492971E-2</v>
      </c>
      <c r="F568" s="171"/>
      <c r="G568" s="171">
        <v>565</v>
      </c>
      <c r="H568" s="186">
        <f t="shared" ca="1" si="20"/>
        <v>-2.4680721850903913E-2</v>
      </c>
    </row>
    <row r="569" spans="2:8">
      <c r="B569" s="36">
        <v>45866</v>
      </c>
      <c r="C569" s="185">
        <v>2359.6</v>
      </c>
      <c r="D569" s="185">
        <f t="shared" si="19"/>
        <v>1.4627909404028807</v>
      </c>
      <c r="E569" s="185">
        <v>1.0016265730673784E-2</v>
      </c>
      <c r="F569" s="171"/>
      <c r="G569" s="171">
        <v>566</v>
      </c>
      <c r="H569" s="186">
        <f t="shared" ca="1" si="20"/>
        <v>-1.3383948645430278E-2</v>
      </c>
    </row>
    <row r="570" spans="2:8">
      <c r="B570" s="36">
        <v>42514</v>
      </c>
      <c r="C570" s="185">
        <v>958.1</v>
      </c>
      <c r="D570" s="185">
        <f t="shared" si="19"/>
        <v>-0.68648047252082001</v>
      </c>
      <c r="E570" s="185">
        <v>1.0014758591608686E-2</v>
      </c>
      <c r="F570" s="171"/>
      <c r="G570" s="171">
        <v>567</v>
      </c>
      <c r="H570" s="186">
        <f t="shared" ca="1" si="20"/>
        <v>2.0712029547432006E-2</v>
      </c>
    </row>
    <row r="571" spans="2:8">
      <c r="B571" s="36">
        <v>44645</v>
      </c>
      <c r="C571" s="185">
        <v>3055.95</v>
      </c>
      <c r="D571" s="185">
        <f t="shared" si="19"/>
        <v>0.1011638800807149</v>
      </c>
      <c r="E571" s="185">
        <v>1.0014377076000109E-2</v>
      </c>
      <c r="F571" s="171"/>
      <c r="G571" s="171">
        <v>568</v>
      </c>
      <c r="H571" s="186">
        <f t="shared" ca="1" si="20"/>
        <v>-5.1832954726580428E-4</v>
      </c>
    </row>
    <row r="572" spans="2:8">
      <c r="B572" s="36">
        <v>46020</v>
      </c>
      <c r="C572" s="185">
        <v>2775.2</v>
      </c>
      <c r="D572" s="185">
        <f t="shared" si="19"/>
        <v>1.3141129872837189</v>
      </c>
      <c r="E572" s="185">
        <v>9.9716136545598792E-3</v>
      </c>
      <c r="F572" s="171"/>
      <c r="G572" s="171">
        <v>569</v>
      </c>
      <c r="H572" s="186">
        <f t="shared" ca="1" si="20"/>
        <v>-4.765181993506346E-3</v>
      </c>
    </row>
    <row r="573" spans="2:8">
      <c r="B573" s="36">
        <v>43398</v>
      </c>
      <c r="C573" s="185">
        <v>1199.25</v>
      </c>
      <c r="D573" s="185">
        <f t="shared" si="19"/>
        <v>0.36565507031828282</v>
      </c>
      <c r="E573" s="185">
        <v>9.8947368421052635E-3</v>
      </c>
      <c r="F573" s="171"/>
      <c r="G573" s="171">
        <v>570</v>
      </c>
      <c r="H573" s="186">
        <f t="shared" ca="1" si="20"/>
        <v>-4.9523003620416516E-3</v>
      </c>
    </row>
    <row r="574" spans="2:8">
      <c r="B574" s="36">
        <v>42394</v>
      </c>
      <c r="C574" s="185">
        <v>878.15</v>
      </c>
      <c r="D574" s="185">
        <f t="shared" si="19"/>
        <v>0.16930758988015976</v>
      </c>
      <c r="E574" s="185">
        <v>9.8901730780288927E-3</v>
      </c>
      <c r="F574" s="171"/>
      <c r="G574" s="171">
        <v>571</v>
      </c>
      <c r="H574" s="186">
        <f t="shared" ca="1" si="20"/>
        <v>-1.5196575516449047E-2</v>
      </c>
    </row>
    <row r="575" spans="2:8">
      <c r="B575" s="36">
        <v>42178</v>
      </c>
      <c r="C575" s="185">
        <v>751</v>
      </c>
      <c r="D575" s="185">
        <f t="shared" si="19"/>
        <v>-0.28818539405715365</v>
      </c>
      <c r="E575" s="185">
        <v>9.8836818395751005E-3</v>
      </c>
      <c r="F575" s="171"/>
      <c r="G575" s="171">
        <v>572</v>
      </c>
      <c r="H575" s="186">
        <f t="shared" ca="1" si="20"/>
        <v>4.244289661430636E-3</v>
      </c>
    </row>
    <row r="576" spans="2:8">
      <c r="B576" s="36">
        <v>42844</v>
      </c>
      <c r="C576" s="185">
        <v>1055.05</v>
      </c>
      <c r="D576" s="185">
        <f t="shared" si="19"/>
        <v>-0.11748222501045591</v>
      </c>
      <c r="E576" s="185">
        <v>9.85881789901886E-3</v>
      </c>
      <c r="F576" s="171"/>
      <c r="G576" s="171">
        <v>573</v>
      </c>
      <c r="H576" s="186">
        <f t="shared" ca="1" si="20"/>
        <v>8.6656330433105243E-4</v>
      </c>
    </row>
    <row r="577" spans="2:8">
      <c r="B577" s="36">
        <v>43109</v>
      </c>
      <c r="C577" s="185">
        <v>1195.5</v>
      </c>
      <c r="D577" s="185">
        <f t="shared" si="19"/>
        <v>-0.29410722720831362</v>
      </c>
      <c r="E577" s="185">
        <v>9.7981248416250596E-3</v>
      </c>
      <c r="F577" s="171"/>
      <c r="G577" s="171">
        <v>574</v>
      </c>
      <c r="H577" s="186">
        <f t="shared" ca="1" si="20"/>
        <v>-1.06659452892853E-2</v>
      </c>
    </row>
    <row r="578" spans="2:8">
      <c r="B578" s="36">
        <v>44028</v>
      </c>
      <c r="C578" s="185">
        <v>1693.6</v>
      </c>
      <c r="D578" s="185">
        <f t="shared" si="19"/>
        <v>-0.46804868472712996</v>
      </c>
      <c r="E578" s="185">
        <v>9.7480995677447658E-3</v>
      </c>
      <c r="F578" s="171"/>
      <c r="G578" s="171">
        <v>575</v>
      </c>
      <c r="H578" s="186">
        <f t="shared" ca="1" si="20"/>
        <v>3.2579009500652428E-2</v>
      </c>
    </row>
    <row r="579" spans="2:8">
      <c r="B579" s="36">
        <v>45526</v>
      </c>
      <c r="C579" s="185">
        <v>3183.75</v>
      </c>
      <c r="D579" s="185">
        <f t="shared" si="19"/>
        <v>1.7603173226981097</v>
      </c>
      <c r="E579" s="185">
        <v>9.7366042403386616E-3</v>
      </c>
      <c r="F579" s="171"/>
      <c r="G579" s="171">
        <v>576</v>
      </c>
      <c r="H579" s="186">
        <f t="shared" ca="1" si="20"/>
        <v>-1.7306307117639606E-2</v>
      </c>
    </row>
    <row r="580" spans="2:8">
      <c r="B580" s="36">
        <v>42895</v>
      </c>
      <c r="C580" s="185">
        <v>1153.4000000000001</v>
      </c>
      <c r="D580" s="185">
        <f t="shared" ref="D580:D643" si="21">(C580-C581)/C581</f>
        <v>-0.59812546819741819</v>
      </c>
      <c r="E580" s="185">
        <v>9.7172371531122625E-3</v>
      </c>
      <c r="F580" s="171"/>
      <c r="G580" s="171">
        <v>577</v>
      </c>
      <c r="H580" s="186">
        <f t="shared" ca="1" si="20"/>
        <v>-1.0611710576236694E-2</v>
      </c>
    </row>
    <row r="581" spans="2:8">
      <c r="B581" s="36">
        <v>45405</v>
      </c>
      <c r="C581" s="185">
        <v>2870.05</v>
      </c>
      <c r="D581" s="185">
        <f t="shared" si="21"/>
        <v>-4.9935449700420374E-2</v>
      </c>
      <c r="E581" s="185">
        <v>9.7099333321607646E-3</v>
      </c>
      <c r="F581" s="171"/>
      <c r="G581" s="171">
        <v>578</v>
      </c>
      <c r="H581" s="186">
        <f t="shared" ref="H581:H644" ca="1" si="22">_xlfn.NORM.INV(RAND(),N$6,N$7)</f>
        <v>-8.4949634304607186E-3</v>
      </c>
    </row>
    <row r="582" spans="2:8">
      <c r="B582" s="36">
        <v>45051</v>
      </c>
      <c r="C582" s="185">
        <v>3020.9</v>
      </c>
      <c r="D582" s="185">
        <f t="shared" si="21"/>
        <v>2.3262497247302352</v>
      </c>
      <c r="E582" s="185">
        <v>9.6759638362941477E-3</v>
      </c>
      <c r="F582" s="171"/>
      <c r="G582" s="171">
        <v>579</v>
      </c>
      <c r="H582" s="186">
        <f t="shared" ca="1" si="22"/>
        <v>-1.9546404322469572E-2</v>
      </c>
    </row>
    <row r="583" spans="2:8">
      <c r="B583" s="36">
        <v>42739</v>
      </c>
      <c r="C583" s="185">
        <v>908.2</v>
      </c>
      <c r="D583" s="185">
        <f t="shared" si="21"/>
        <v>-0.25001032247409061</v>
      </c>
      <c r="E583" s="185">
        <v>9.6720400222346254E-3</v>
      </c>
      <c r="F583" s="171"/>
      <c r="G583" s="171">
        <v>580</v>
      </c>
      <c r="H583" s="186">
        <f t="shared" ca="1" si="22"/>
        <v>-2.3828906807087817E-2</v>
      </c>
    </row>
    <row r="584" spans="2:8">
      <c r="B584" s="36">
        <v>42983</v>
      </c>
      <c r="C584" s="185">
        <v>1210.95</v>
      </c>
      <c r="D584" s="185">
        <f t="shared" si="21"/>
        <v>-0.64695849914724279</v>
      </c>
      <c r="E584" s="185">
        <v>9.6719056155418655E-3</v>
      </c>
      <c r="F584" s="171"/>
      <c r="G584" s="171">
        <v>581</v>
      </c>
      <c r="H584" s="186">
        <f t="shared" ca="1" si="22"/>
        <v>1.9853024235611805E-2</v>
      </c>
    </row>
    <row r="585" spans="2:8">
      <c r="B585" s="36">
        <v>45289</v>
      </c>
      <c r="C585" s="185">
        <v>3430.05</v>
      </c>
      <c r="D585" s="185">
        <f t="shared" si="21"/>
        <v>4.6257320644216719E-2</v>
      </c>
      <c r="E585" s="185">
        <v>9.6697280113035335E-3</v>
      </c>
      <c r="F585" s="171"/>
      <c r="G585" s="171">
        <v>582</v>
      </c>
      <c r="H585" s="186">
        <f t="shared" ca="1" si="22"/>
        <v>-1.648889502847305E-2</v>
      </c>
    </row>
    <row r="586" spans="2:8">
      <c r="B586" s="36">
        <v>45541</v>
      </c>
      <c r="C586" s="185">
        <v>3278.4</v>
      </c>
      <c r="D586" s="185">
        <f t="shared" si="21"/>
        <v>1.1909312660807967</v>
      </c>
      <c r="E586" s="185">
        <v>9.6549175405367671E-3</v>
      </c>
      <c r="F586" s="171"/>
      <c r="G586" s="171">
        <v>583</v>
      </c>
      <c r="H586" s="186">
        <f t="shared" ca="1" si="22"/>
        <v>8.8261185945355206E-3</v>
      </c>
    </row>
    <row r="587" spans="2:8">
      <c r="B587" s="36">
        <v>43671</v>
      </c>
      <c r="C587" s="185">
        <v>1496.35</v>
      </c>
      <c r="D587" s="185">
        <f t="shared" si="21"/>
        <v>-0.55254698503356614</v>
      </c>
      <c r="E587" s="185">
        <v>9.6487972740460538E-3</v>
      </c>
      <c r="F587" s="171"/>
      <c r="G587" s="171">
        <v>584</v>
      </c>
      <c r="H587" s="186">
        <f t="shared" ca="1" si="22"/>
        <v>9.2957727796105522E-3</v>
      </c>
    </row>
    <row r="588" spans="2:8">
      <c r="B588" s="36">
        <v>45282</v>
      </c>
      <c r="C588" s="185">
        <v>3344.15</v>
      </c>
      <c r="D588" s="185">
        <f t="shared" si="21"/>
        <v>1.0921204917263598</v>
      </c>
      <c r="E588" s="185">
        <v>9.5699557729174104E-3</v>
      </c>
      <c r="F588" s="171"/>
      <c r="G588" s="171">
        <v>585</v>
      </c>
      <c r="H588" s="186">
        <f t="shared" ca="1" si="22"/>
        <v>1.1612198538165849E-2</v>
      </c>
    </row>
    <row r="589" spans="2:8">
      <c r="B589" s="36">
        <v>43703</v>
      </c>
      <c r="C589" s="185">
        <v>1598.45</v>
      </c>
      <c r="D589" s="185">
        <f t="shared" si="21"/>
        <v>-0.27926323383533236</v>
      </c>
      <c r="E589" s="185">
        <v>9.5686224973157898E-3</v>
      </c>
      <c r="F589" s="171"/>
      <c r="G589" s="171">
        <v>586</v>
      </c>
      <c r="H589" s="186">
        <f t="shared" ca="1" si="22"/>
        <v>-2.9392756628521381E-3</v>
      </c>
    </row>
    <row r="590" spans="2:8">
      <c r="B590" s="36">
        <v>46097</v>
      </c>
      <c r="C590" s="185">
        <v>2217.8000000000002</v>
      </c>
      <c r="D590" s="185">
        <f t="shared" si="21"/>
        <v>-2.3296780728409582E-2</v>
      </c>
      <c r="E590" s="185">
        <v>9.5593590677348871E-3</v>
      </c>
      <c r="F590" s="171"/>
      <c r="G590" s="171">
        <v>587</v>
      </c>
      <c r="H590" s="186">
        <f t="shared" ca="1" si="22"/>
        <v>-7.8511072690046011E-3</v>
      </c>
    </row>
    <row r="591" spans="2:8">
      <c r="B591" s="36">
        <v>45825</v>
      </c>
      <c r="C591" s="185">
        <v>2270.6999999999998</v>
      </c>
      <c r="D591" s="185">
        <f t="shared" si="21"/>
        <v>1.5896105377202485</v>
      </c>
      <c r="E591" s="185">
        <v>9.5589542948603962E-3</v>
      </c>
      <c r="F591" s="171"/>
      <c r="G591" s="171">
        <v>588</v>
      </c>
      <c r="H591" s="186">
        <f t="shared" ca="1" si="22"/>
        <v>1.0243086668512943E-2</v>
      </c>
    </row>
    <row r="592" spans="2:8">
      <c r="B592" s="36">
        <v>42731</v>
      </c>
      <c r="C592" s="185">
        <v>876.85</v>
      </c>
      <c r="D592" s="185">
        <f t="shared" si="21"/>
        <v>-0.24610953486372616</v>
      </c>
      <c r="E592" s="185">
        <v>9.5561568130793483E-3</v>
      </c>
      <c r="F592" s="171"/>
      <c r="G592" s="171">
        <v>589</v>
      </c>
      <c r="H592" s="186">
        <f t="shared" ca="1" si="22"/>
        <v>5.3827254811895904E-3</v>
      </c>
    </row>
    <row r="593" spans="2:8">
      <c r="B593" s="36">
        <v>42951</v>
      </c>
      <c r="C593" s="185">
        <v>1163.0999999999999</v>
      </c>
      <c r="D593" s="185">
        <f t="shared" si="21"/>
        <v>0.32509256622044991</v>
      </c>
      <c r="E593" s="185">
        <v>9.5477823105633193E-3</v>
      </c>
      <c r="F593" s="171"/>
      <c r="G593" s="171">
        <v>590</v>
      </c>
      <c r="H593" s="186">
        <f t="shared" ca="1" si="22"/>
        <v>9.1476368089783537E-3</v>
      </c>
    </row>
    <row r="594" spans="2:8">
      <c r="B594" s="36">
        <v>42355</v>
      </c>
      <c r="C594" s="185">
        <v>877.75</v>
      </c>
      <c r="D594" s="185">
        <f t="shared" si="21"/>
        <v>-0.65298094409741447</v>
      </c>
      <c r="E594" s="185">
        <v>9.5462648800965604E-3</v>
      </c>
      <c r="F594" s="171"/>
      <c r="G594" s="171">
        <v>591</v>
      </c>
      <c r="H594" s="186">
        <f t="shared" ca="1" si="22"/>
        <v>-4.3642503026138924E-2</v>
      </c>
    </row>
    <row r="595" spans="2:8">
      <c r="B595" s="36">
        <v>45883</v>
      </c>
      <c r="C595" s="185">
        <v>2529.4</v>
      </c>
      <c r="D595" s="185">
        <f t="shared" si="21"/>
        <v>0.45921310718818503</v>
      </c>
      <c r="E595" s="185">
        <v>9.5390141688286127E-3</v>
      </c>
      <c r="F595" s="171"/>
      <c r="G595" s="171">
        <v>592</v>
      </c>
      <c r="H595" s="186">
        <f t="shared" ca="1" si="22"/>
        <v>-3.614546361948405E-3</v>
      </c>
    </row>
    <row r="596" spans="2:8">
      <c r="B596" s="36">
        <v>43837</v>
      </c>
      <c r="C596" s="185">
        <v>1733.4</v>
      </c>
      <c r="D596" s="185">
        <f t="shared" si="21"/>
        <v>0.95786976901790255</v>
      </c>
      <c r="E596" s="185">
        <v>9.5221455403163204E-3</v>
      </c>
      <c r="F596" s="171"/>
      <c r="G596" s="171">
        <v>593</v>
      </c>
      <c r="H596" s="186">
        <f t="shared" ca="1" si="22"/>
        <v>2.412040931534629E-2</v>
      </c>
    </row>
    <row r="597" spans="2:8">
      <c r="B597" s="36">
        <v>42478</v>
      </c>
      <c r="C597" s="185">
        <v>885.35</v>
      </c>
      <c r="D597" s="185">
        <f t="shared" si="21"/>
        <v>-0.71205789088543792</v>
      </c>
      <c r="E597" s="185">
        <v>9.5210946408210064E-3</v>
      </c>
      <c r="F597" s="171"/>
      <c r="G597" s="171">
        <v>594</v>
      </c>
      <c r="H597" s="186">
        <f t="shared" ca="1" si="22"/>
        <v>8.5930599002651924E-3</v>
      </c>
    </row>
    <row r="598" spans="2:8">
      <c r="B598" s="36">
        <v>45580</v>
      </c>
      <c r="C598" s="185">
        <v>3074.75</v>
      </c>
      <c r="D598" s="185">
        <f t="shared" si="21"/>
        <v>0.68553338449731382</v>
      </c>
      <c r="E598" s="185">
        <v>9.5048919824019355E-3</v>
      </c>
      <c r="F598" s="171"/>
      <c r="G598" s="171">
        <v>595</v>
      </c>
      <c r="H598" s="186">
        <f t="shared" ca="1" si="22"/>
        <v>-1.4939017348608048E-3</v>
      </c>
    </row>
    <row r="599" spans="2:8">
      <c r="B599" s="36">
        <v>43826</v>
      </c>
      <c r="C599" s="185">
        <v>1824.2</v>
      </c>
      <c r="D599" s="185">
        <f t="shared" si="21"/>
        <v>0.57816420105545452</v>
      </c>
      <c r="E599" s="185">
        <v>9.4906062366841484E-3</v>
      </c>
      <c r="F599" s="171"/>
      <c r="G599" s="171">
        <v>596</v>
      </c>
      <c r="H599" s="186">
        <f t="shared" ca="1" si="22"/>
        <v>-2.8427944883671619E-3</v>
      </c>
    </row>
    <row r="600" spans="2:8">
      <c r="B600" s="36">
        <v>42961</v>
      </c>
      <c r="C600" s="185">
        <v>1155.9000000000001</v>
      </c>
      <c r="D600" s="185">
        <f t="shared" si="21"/>
        <v>-0.35458834696669361</v>
      </c>
      <c r="E600" s="185">
        <v>9.4755687524563439E-3</v>
      </c>
      <c r="F600" s="171"/>
      <c r="G600" s="171">
        <v>597</v>
      </c>
      <c r="H600" s="186">
        <f t="shared" ca="1" si="22"/>
        <v>9.401223045196222E-3</v>
      </c>
    </row>
    <row r="601" spans="2:8">
      <c r="B601" s="36">
        <v>43773</v>
      </c>
      <c r="C601" s="185">
        <v>1790.95</v>
      </c>
      <c r="D601" s="185">
        <f t="shared" si="21"/>
        <v>-0.32577269133757486</v>
      </c>
      <c r="E601" s="185">
        <v>9.4693233379364514E-3</v>
      </c>
      <c r="F601" s="171"/>
      <c r="G601" s="171">
        <v>598</v>
      </c>
      <c r="H601" s="186">
        <f t="shared" ca="1" si="22"/>
        <v>-2.6502223572146169E-2</v>
      </c>
    </row>
    <row r="602" spans="2:8">
      <c r="B602" s="36">
        <v>46175</v>
      </c>
      <c r="C602" s="185">
        <v>2656.3</v>
      </c>
      <c r="D602" s="185">
        <f t="shared" si="21"/>
        <v>1.3110318427005394</v>
      </c>
      <c r="E602" s="185">
        <v>9.4626434597552978E-3</v>
      </c>
      <c r="F602" s="171"/>
      <c r="G602" s="171">
        <v>599</v>
      </c>
      <c r="H602" s="186">
        <f t="shared" ca="1" si="22"/>
        <v>-1.8283437062243429E-2</v>
      </c>
    </row>
    <row r="603" spans="2:8">
      <c r="B603" s="36">
        <v>43095</v>
      </c>
      <c r="C603" s="185">
        <v>1149.4000000000001</v>
      </c>
      <c r="D603" s="185">
        <f t="shared" si="21"/>
        <v>0.16147938561034769</v>
      </c>
      <c r="E603" s="185">
        <v>9.4410046985465238E-3</v>
      </c>
      <c r="F603" s="171"/>
      <c r="G603" s="171">
        <v>600</v>
      </c>
      <c r="H603" s="186">
        <f t="shared" ca="1" si="22"/>
        <v>1.2195461952907953E-2</v>
      </c>
    </row>
    <row r="604" spans="2:8">
      <c r="B604" s="36">
        <v>42516</v>
      </c>
      <c r="C604" s="185">
        <v>989.6</v>
      </c>
      <c r="D604" s="185">
        <f t="shared" si="21"/>
        <v>-0.23588912053123304</v>
      </c>
      <c r="E604" s="185">
        <v>9.4354057224460657E-3</v>
      </c>
      <c r="F604" s="171"/>
      <c r="G604" s="171">
        <v>601</v>
      </c>
      <c r="H604" s="186">
        <f t="shared" ca="1" si="22"/>
        <v>3.4197755708683442E-3</v>
      </c>
    </row>
    <row r="605" spans="2:8">
      <c r="B605" s="36">
        <v>43244</v>
      </c>
      <c r="C605" s="185">
        <v>1295.0999999999999</v>
      </c>
      <c r="D605" s="185">
        <f t="shared" si="21"/>
        <v>0.4690335753176042</v>
      </c>
      <c r="E605" s="185">
        <v>9.3916838782588021E-3</v>
      </c>
      <c r="F605" s="171"/>
      <c r="G605" s="171">
        <v>602</v>
      </c>
      <c r="H605" s="186">
        <f t="shared" ca="1" si="22"/>
        <v>1.3489704380462384E-2</v>
      </c>
    </row>
    <row r="606" spans="2:8">
      <c r="B606" s="36">
        <v>42432</v>
      </c>
      <c r="C606" s="185">
        <v>881.6</v>
      </c>
      <c r="D606" s="185">
        <f t="shared" si="21"/>
        <v>-0.64813410496906809</v>
      </c>
      <c r="E606" s="185">
        <v>9.388596290359567E-3</v>
      </c>
      <c r="F606" s="171"/>
      <c r="G606" s="171">
        <v>603</v>
      </c>
      <c r="H606" s="186">
        <f t="shared" ca="1" si="22"/>
        <v>-6.1238834176819031E-3</v>
      </c>
    </row>
    <row r="607" spans="2:8">
      <c r="B607" s="36">
        <v>45882</v>
      </c>
      <c r="C607" s="185">
        <v>2505.5</v>
      </c>
      <c r="D607" s="185">
        <f t="shared" si="21"/>
        <v>-0.19601456832512393</v>
      </c>
      <c r="E607" s="185">
        <v>9.3461708899004216E-3</v>
      </c>
      <c r="F607" s="171"/>
      <c r="G607" s="171">
        <v>604</v>
      </c>
      <c r="H607" s="186">
        <f t="shared" ca="1" si="22"/>
        <v>1.9665423055853413E-3</v>
      </c>
    </row>
    <row r="608" spans="2:8">
      <c r="B608" s="36">
        <v>44497</v>
      </c>
      <c r="C608" s="185">
        <v>3116.35</v>
      </c>
      <c r="D608" s="185">
        <f t="shared" si="21"/>
        <v>0.19519444657513224</v>
      </c>
      <c r="E608" s="185">
        <v>9.3277841654385279E-3</v>
      </c>
      <c r="F608" s="171"/>
      <c r="G608" s="171">
        <v>605</v>
      </c>
      <c r="H608" s="186">
        <f t="shared" ca="1" si="22"/>
        <v>3.1956212965506972E-3</v>
      </c>
    </row>
    <row r="609" spans="2:8">
      <c r="B609" s="36">
        <v>44183</v>
      </c>
      <c r="C609" s="185">
        <v>2607.4</v>
      </c>
      <c r="D609" s="185">
        <f t="shared" si="21"/>
        <v>1.0043047121223767</v>
      </c>
      <c r="E609" s="185">
        <v>9.2510160634798107E-3</v>
      </c>
      <c r="F609" s="171"/>
      <c r="G609" s="171">
        <v>606</v>
      </c>
      <c r="H609" s="186">
        <f t="shared" ca="1" si="22"/>
        <v>2.8037225215476955E-2</v>
      </c>
    </row>
    <row r="610" spans="2:8">
      <c r="B610" s="36">
        <v>43234</v>
      </c>
      <c r="C610" s="185">
        <v>1300.9000000000001</v>
      </c>
      <c r="D610" s="185">
        <f t="shared" si="21"/>
        <v>-0.6008039769240211</v>
      </c>
      <c r="E610" s="185">
        <v>9.2319627618309471E-3</v>
      </c>
      <c r="F610" s="171"/>
      <c r="G610" s="171">
        <v>607</v>
      </c>
      <c r="H610" s="186">
        <f t="shared" ca="1" si="22"/>
        <v>6.1148184652531556E-3</v>
      </c>
    </row>
    <row r="611" spans="2:8">
      <c r="B611" s="36">
        <v>44522</v>
      </c>
      <c r="C611" s="185">
        <v>3258.8</v>
      </c>
      <c r="D611" s="185">
        <f t="shared" si="21"/>
        <v>0.75761825144274864</v>
      </c>
      <c r="E611" s="185">
        <v>9.2288634252090992E-3</v>
      </c>
      <c r="F611" s="171"/>
      <c r="G611" s="171">
        <v>608</v>
      </c>
      <c r="H611" s="186">
        <f t="shared" ca="1" si="22"/>
        <v>-1.9843907620981215E-2</v>
      </c>
    </row>
    <row r="612" spans="2:8">
      <c r="B612" s="36">
        <v>43850</v>
      </c>
      <c r="C612" s="185">
        <v>1854.1</v>
      </c>
      <c r="D612" s="185">
        <f t="shared" si="21"/>
        <v>-0.43014768029751205</v>
      </c>
      <c r="E612" s="185">
        <v>9.2262471763328077E-3</v>
      </c>
      <c r="F612" s="171"/>
      <c r="G612" s="171">
        <v>609</v>
      </c>
      <c r="H612" s="186">
        <f t="shared" ca="1" si="22"/>
        <v>1.9512189570326664E-2</v>
      </c>
    </row>
    <row r="613" spans="2:8">
      <c r="B613" s="36">
        <v>45163</v>
      </c>
      <c r="C613" s="185">
        <v>3253.65</v>
      </c>
      <c r="D613" s="185">
        <f t="shared" si="21"/>
        <v>-5.1925346387516884E-2</v>
      </c>
      <c r="E613" s="185">
        <v>9.1966501240695071E-3</v>
      </c>
      <c r="F613" s="171"/>
      <c r="G613" s="171">
        <v>610</v>
      </c>
      <c r="H613" s="186">
        <f t="shared" ca="1" si="22"/>
        <v>-1.4754766875632033E-2</v>
      </c>
    </row>
    <row r="614" spans="2:8">
      <c r="B614" s="36">
        <v>44564</v>
      </c>
      <c r="C614" s="185">
        <v>3431.85</v>
      </c>
      <c r="D614" s="185">
        <f t="shared" si="21"/>
        <v>0.46779436294427101</v>
      </c>
      <c r="E614" s="185">
        <v>9.1747165982973312E-3</v>
      </c>
      <c r="F614" s="171"/>
      <c r="G614" s="171">
        <v>611</v>
      </c>
      <c r="H614" s="186">
        <f t="shared" ca="1" si="22"/>
        <v>4.2704471885918064E-3</v>
      </c>
    </row>
    <row r="615" spans="2:8">
      <c r="B615" s="36">
        <v>45743</v>
      </c>
      <c r="C615" s="185">
        <v>2338.1</v>
      </c>
      <c r="D615" s="185">
        <f t="shared" si="21"/>
        <v>0.94509379809492122</v>
      </c>
      <c r="E615" s="185">
        <v>9.1719360338390482E-3</v>
      </c>
      <c r="F615" s="171"/>
      <c r="G615" s="171">
        <v>612</v>
      </c>
      <c r="H615" s="186">
        <f t="shared" ca="1" si="22"/>
        <v>-5.1445530195995621E-3</v>
      </c>
    </row>
    <row r="616" spans="2:8">
      <c r="B616" s="36">
        <v>43402</v>
      </c>
      <c r="C616" s="185">
        <v>1202.05</v>
      </c>
      <c r="D616" s="185">
        <f t="shared" si="21"/>
        <v>-0.60048856687051322</v>
      </c>
      <c r="E616" s="185">
        <v>9.1508206355201804E-3</v>
      </c>
      <c r="F616" s="171"/>
      <c r="G616" s="171">
        <v>613</v>
      </c>
      <c r="H616" s="186">
        <f t="shared" ca="1" si="22"/>
        <v>1.5031207355292733E-3</v>
      </c>
    </row>
    <row r="617" spans="2:8">
      <c r="B617" s="36">
        <v>45230</v>
      </c>
      <c r="C617" s="185">
        <v>3008.8</v>
      </c>
      <c r="D617" s="185">
        <f t="shared" si="21"/>
        <v>0.31730916573630175</v>
      </c>
      <c r="E617" s="185">
        <v>9.1395415136422322E-3</v>
      </c>
      <c r="F617" s="171"/>
      <c r="G617" s="171">
        <v>614</v>
      </c>
      <c r="H617" s="186">
        <f t="shared" ca="1" si="22"/>
        <v>-1.5532133254832565E-2</v>
      </c>
    </row>
    <row r="618" spans="2:8">
      <c r="B618" s="36">
        <v>45680</v>
      </c>
      <c r="C618" s="185">
        <v>2284.0500000000002</v>
      </c>
      <c r="D618" s="185">
        <f t="shared" si="21"/>
        <v>-0.3343678964853995</v>
      </c>
      <c r="E618" s="185">
        <v>9.12344260846518E-3</v>
      </c>
      <c r="F618" s="171"/>
      <c r="G618" s="171">
        <v>615</v>
      </c>
      <c r="H618" s="186">
        <f t="shared" ca="1" si="22"/>
        <v>1.8745778537516165E-2</v>
      </c>
    </row>
    <row r="619" spans="2:8">
      <c r="B619" s="36">
        <v>45121</v>
      </c>
      <c r="C619" s="185">
        <v>3431.4</v>
      </c>
      <c r="D619" s="185">
        <f t="shared" si="21"/>
        <v>0.17897268510565198</v>
      </c>
      <c r="E619" s="185">
        <v>9.1017365348704648E-3</v>
      </c>
      <c r="F619" s="171"/>
      <c r="G619" s="171">
        <v>616</v>
      </c>
      <c r="H619" s="186">
        <f t="shared" ca="1" si="22"/>
        <v>1.7215434276850027E-3</v>
      </c>
    </row>
    <row r="620" spans="2:8">
      <c r="B620" s="36">
        <v>45450</v>
      </c>
      <c r="C620" s="185">
        <v>2910.5</v>
      </c>
      <c r="D620" s="185">
        <f t="shared" si="21"/>
        <v>2.2344279602155916</v>
      </c>
      <c r="E620" s="185">
        <v>9.0836598134728767E-3</v>
      </c>
      <c r="F620" s="171"/>
      <c r="G620" s="171">
        <v>617</v>
      </c>
      <c r="H620" s="186">
        <f t="shared" ca="1" si="22"/>
        <v>-1.5872311860179966E-2</v>
      </c>
    </row>
    <row r="621" spans="2:8">
      <c r="B621" s="36">
        <v>42405</v>
      </c>
      <c r="C621" s="185">
        <v>899.85</v>
      </c>
      <c r="D621" s="185">
        <f t="shared" si="21"/>
        <v>-0.1203382374505108</v>
      </c>
      <c r="E621" s="185">
        <v>9.0832632464255929E-3</v>
      </c>
      <c r="F621" s="171"/>
      <c r="G621" s="171">
        <v>618</v>
      </c>
      <c r="H621" s="186">
        <f t="shared" ca="1" si="22"/>
        <v>-8.4896072077889195E-3</v>
      </c>
    </row>
    <row r="622" spans="2:8">
      <c r="B622" s="36">
        <v>42565</v>
      </c>
      <c r="C622" s="185">
        <v>1022.95</v>
      </c>
      <c r="D622" s="185">
        <f t="shared" si="21"/>
        <v>-0.55189784698950872</v>
      </c>
      <c r="E622" s="185">
        <v>9.0752157829840155E-3</v>
      </c>
      <c r="F622" s="171"/>
      <c r="G622" s="171">
        <v>619</v>
      </c>
      <c r="H622" s="186">
        <f t="shared" ca="1" si="22"/>
        <v>1.0406639915600648E-2</v>
      </c>
    </row>
    <row r="623" spans="2:8">
      <c r="B623" s="36">
        <v>45653</v>
      </c>
      <c r="C623" s="185">
        <v>2282.85</v>
      </c>
      <c r="D623" s="185">
        <f t="shared" si="21"/>
        <v>0.95944380069524915</v>
      </c>
      <c r="E623" s="185">
        <v>9.0613742347558958E-3</v>
      </c>
      <c r="F623" s="171"/>
      <c r="G623" s="171">
        <v>620</v>
      </c>
      <c r="H623" s="186">
        <f t="shared" ca="1" si="22"/>
        <v>-2.8981828621964509E-2</v>
      </c>
    </row>
    <row r="624" spans="2:8">
      <c r="B624" s="36">
        <v>43202</v>
      </c>
      <c r="C624" s="185">
        <v>1165.05</v>
      </c>
      <c r="D624" s="185">
        <f t="shared" si="21"/>
        <v>-0.52722882765897017</v>
      </c>
      <c r="E624" s="185">
        <v>9.0070584159700883E-3</v>
      </c>
      <c r="F624" s="171"/>
      <c r="G624" s="171">
        <v>621</v>
      </c>
      <c r="H624" s="186">
        <f t="shared" ca="1" si="22"/>
        <v>7.7496847563607325E-3</v>
      </c>
    </row>
    <row r="625" spans="2:8">
      <c r="B625" s="36">
        <v>46129</v>
      </c>
      <c r="C625" s="185">
        <v>2464.3000000000002</v>
      </c>
      <c r="D625" s="185">
        <f t="shared" si="21"/>
        <v>-0.26400358396177104</v>
      </c>
      <c r="E625" s="185">
        <v>8.9665902391091092E-3</v>
      </c>
      <c r="F625" s="171"/>
      <c r="G625" s="171">
        <v>622</v>
      </c>
      <c r="H625" s="186">
        <f t="shared" ca="1" si="22"/>
        <v>2.7831688803728462E-3</v>
      </c>
    </row>
    <row r="626" spans="2:8">
      <c r="B626" s="36">
        <v>45105</v>
      </c>
      <c r="C626" s="185">
        <v>3348.25</v>
      </c>
      <c r="D626" s="185">
        <f t="shared" si="21"/>
        <v>2.4367462150372079</v>
      </c>
      <c r="E626" s="185">
        <v>8.964893777309026E-3</v>
      </c>
      <c r="F626" s="171"/>
      <c r="G626" s="171">
        <v>623</v>
      </c>
      <c r="H626" s="186">
        <f t="shared" ca="1" si="22"/>
        <v>1.4331204529411855E-2</v>
      </c>
    </row>
    <row r="627" spans="2:8">
      <c r="B627" s="36">
        <v>42759</v>
      </c>
      <c r="C627" s="185">
        <v>974.25</v>
      </c>
      <c r="D627" s="185">
        <f t="shared" si="21"/>
        <v>-0.43141031252735712</v>
      </c>
      <c r="E627" s="185">
        <v>8.958160729080341E-3</v>
      </c>
      <c r="F627" s="171"/>
      <c r="G627" s="171">
        <v>624</v>
      </c>
      <c r="H627" s="186">
        <f t="shared" ca="1" si="22"/>
        <v>1.3240674983899466E-2</v>
      </c>
    </row>
    <row r="628" spans="2:8">
      <c r="B628" s="36">
        <v>44018</v>
      </c>
      <c r="C628" s="185">
        <v>1713.45</v>
      </c>
      <c r="D628" s="185">
        <f t="shared" si="21"/>
        <v>0.88674778395639497</v>
      </c>
      <c r="E628" s="185">
        <v>8.9503901074635926E-3</v>
      </c>
      <c r="F628" s="171"/>
      <c r="G628" s="171">
        <v>625</v>
      </c>
      <c r="H628" s="186">
        <f t="shared" ca="1" si="22"/>
        <v>-2.1144827185178895E-2</v>
      </c>
    </row>
    <row r="629" spans="2:8">
      <c r="B629" s="36">
        <v>42696</v>
      </c>
      <c r="C629" s="185">
        <v>908.15</v>
      </c>
      <c r="D629" s="185">
        <f t="shared" si="21"/>
        <v>-0.63041266482174829</v>
      </c>
      <c r="E629" s="185">
        <v>8.9434507276968719E-3</v>
      </c>
      <c r="F629" s="171"/>
      <c r="G629" s="171">
        <v>626</v>
      </c>
      <c r="H629" s="186">
        <f t="shared" ca="1" si="22"/>
        <v>-1.2942634090146989E-2</v>
      </c>
    </row>
    <row r="630" spans="2:8">
      <c r="B630" s="36">
        <v>45845</v>
      </c>
      <c r="C630" s="185">
        <v>2457.1999999999998</v>
      </c>
      <c r="D630" s="185">
        <f t="shared" si="21"/>
        <v>-0.20568934863423313</v>
      </c>
      <c r="E630" s="185">
        <v>8.90987476904119E-3</v>
      </c>
      <c r="F630" s="171"/>
      <c r="G630" s="171">
        <v>627</v>
      </c>
      <c r="H630" s="186">
        <f t="shared" ca="1" si="22"/>
        <v>-6.9652508000288792E-3</v>
      </c>
    </row>
    <row r="631" spans="2:8">
      <c r="B631" s="36">
        <v>44880</v>
      </c>
      <c r="C631" s="185">
        <v>3093.5</v>
      </c>
      <c r="D631" s="185">
        <f t="shared" si="21"/>
        <v>7.0211551434847974E-2</v>
      </c>
      <c r="E631" s="185">
        <v>8.8870770485120262E-3</v>
      </c>
      <c r="F631" s="171"/>
      <c r="G631" s="171">
        <v>628</v>
      </c>
      <c r="H631" s="186">
        <f t="shared" ca="1" si="22"/>
        <v>1.9323415622715504E-2</v>
      </c>
    </row>
    <row r="632" spans="2:8">
      <c r="B632" s="36">
        <v>45411</v>
      </c>
      <c r="C632" s="185">
        <v>2890.55</v>
      </c>
      <c r="D632" s="185">
        <f t="shared" si="21"/>
        <v>0.96388898325236971</v>
      </c>
      <c r="E632" s="185">
        <v>8.8827615091969826E-3</v>
      </c>
      <c r="F632" s="171"/>
      <c r="G632" s="171">
        <v>629</v>
      </c>
      <c r="H632" s="186">
        <f t="shared" ca="1" si="22"/>
        <v>2.3834185056008612E-2</v>
      </c>
    </row>
    <row r="633" spans="2:8">
      <c r="B633" s="36">
        <v>43585</v>
      </c>
      <c r="C633" s="185">
        <v>1471.85</v>
      </c>
      <c r="D633" s="185">
        <f t="shared" si="21"/>
        <v>-0.12345531965577833</v>
      </c>
      <c r="E633" s="185">
        <v>8.8419753932621834E-3</v>
      </c>
      <c r="F633" s="171"/>
      <c r="G633" s="171">
        <v>630</v>
      </c>
      <c r="H633" s="186">
        <f t="shared" ca="1" si="22"/>
        <v>-2.4760492925496491E-3</v>
      </c>
    </row>
    <row r="634" spans="2:8">
      <c r="B634" s="36">
        <v>43983</v>
      </c>
      <c r="C634" s="185">
        <v>1679.15</v>
      </c>
      <c r="D634" s="185">
        <f t="shared" si="21"/>
        <v>0.44979278190295285</v>
      </c>
      <c r="E634" s="185">
        <v>8.8317462224759193E-3</v>
      </c>
      <c r="F634" s="171"/>
      <c r="G634" s="171">
        <v>631</v>
      </c>
      <c r="H634" s="186">
        <f t="shared" ca="1" si="22"/>
        <v>-3.0576964894778701E-3</v>
      </c>
    </row>
    <row r="635" spans="2:8">
      <c r="B635" s="36">
        <v>42905</v>
      </c>
      <c r="C635" s="185">
        <v>1158.2</v>
      </c>
      <c r="D635" s="185">
        <f t="shared" si="21"/>
        <v>-0.6017604786301276</v>
      </c>
      <c r="E635" s="185">
        <v>8.7971431060013382E-3</v>
      </c>
      <c r="F635" s="171"/>
      <c r="G635" s="171">
        <v>632</v>
      </c>
      <c r="H635" s="186">
        <f t="shared" ca="1" si="22"/>
        <v>8.9974899006490172E-5</v>
      </c>
    </row>
    <row r="636" spans="2:8">
      <c r="B636" s="36">
        <v>45602</v>
      </c>
      <c r="C636" s="185">
        <v>2908.3</v>
      </c>
      <c r="D636" s="185">
        <f t="shared" si="21"/>
        <v>1.0831602320750666</v>
      </c>
      <c r="E636" s="185">
        <v>8.7580860546990161E-3</v>
      </c>
      <c r="F636" s="171"/>
      <c r="G636" s="171">
        <v>633</v>
      </c>
      <c r="H636" s="186">
        <f t="shared" ca="1" si="22"/>
        <v>1.6237377098171652E-2</v>
      </c>
    </row>
    <row r="637" spans="2:8">
      <c r="B637" s="36">
        <v>43636</v>
      </c>
      <c r="C637" s="185">
        <v>1396.1</v>
      </c>
      <c r="D637" s="185">
        <f t="shared" si="21"/>
        <v>0.22341497612057995</v>
      </c>
      <c r="E637" s="185">
        <v>8.7427745664739234E-3</v>
      </c>
      <c r="F637" s="171"/>
      <c r="G637" s="171">
        <v>634</v>
      </c>
      <c r="H637" s="186">
        <f t="shared" ca="1" si="22"/>
        <v>-1.5088037064406878E-2</v>
      </c>
    </row>
    <row r="638" spans="2:8">
      <c r="B638" s="36">
        <v>42668</v>
      </c>
      <c r="C638" s="185">
        <v>1141.1500000000001</v>
      </c>
      <c r="D638" s="185">
        <f t="shared" si="21"/>
        <v>-2.5532641646385607E-2</v>
      </c>
      <c r="E638" s="185">
        <v>8.7067974896138395E-3</v>
      </c>
      <c r="F638" s="171"/>
      <c r="G638" s="171">
        <v>635</v>
      </c>
      <c r="H638" s="186">
        <f t="shared" ca="1" si="22"/>
        <v>1.7481022189871176E-3</v>
      </c>
    </row>
    <row r="639" spans="2:8">
      <c r="B639" s="36">
        <v>42615</v>
      </c>
      <c r="C639" s="185">
        <v>1171.05</v>
      </c>
      <c r="D639" s="185">
        <f t="shared" si="21"/>
        <v>-0.35340400861354976</v>
      </c>
      <c r="E639" s="185">
        <v>8.6997717386622236E-3</v>
      </c>
      <c r="F639" s="171"/>
      <c r="G639" s="171">
        <v>636</v>
      </c>
      <c r="H639" s="186">
        <f t="shared" ca="1" si="22"/>
        <v>6.1544987980616276E-3</v>
      </c>
    </row>
    <row r="640" spans="2:8">
      <c r="B640" s="36">
        <v>43843</v>
      </c>
      <c r="C640" s="185">
        <v>1811.1</v>
      </c>
      <c r="D640" s="185">
        <f t="shared" si="21"/>
        <v>1.0804089368789846</v>
      </c>
      <c r="E640" s="185">
        <v>8.6883876357560057E-3</v>
      </c>
      <c r="F640" s="171"/>
      <c r="G640" s="171">
        <v>637</v>
      </c>
      <c r="H640" s="186">
        <f t="shared" ca="1" si="22"/>
        <v>1.6024834597973027E-2</v>
      </c>
    </row>
    <row r="641" spans="2:8">
      <c r="B641" s="36">
        <v>42292</v>
      </c>
      <c r="C641" s="185">
        <v>870.55</v>
      </c>
      <c r="D641" s="185">
        <f t="shared" si="21"/>
        <v>-0.25590837215265616</v>
      </c>
      <c r="E641" s="185">
        <v>8.6316765148881144E-3</v>
      </c>
      <c r="F641" s="171"/>
      <c r="G641" s="171">
        <v>638</v>
      </c>
      <c r="H641" s="186">
        <f t="shared" ca="1" si="22"/>
        <v>2.4587977796090333E-2</v>
      </c>
    </row>
    <row r="642" spans="2:8">
      <c r="B642" s="36">
        <v>42627</v>
      </c>
      <c r="C642" s="185">
        <v>1169.95</v>
      </c>
      <c r="D642" s="185">
        <f t="shared" si="21"/>
        <v>-0.56237375626542974</v>
      </c>
      <c r="E642" s="185">
        <v>8.6210612526401997E-3</v>
      </c>
      <c r="F642" s="171"/>
      <c r="G642" s="171">
        <v>639</v>
      </c>
      <c r="H642" s="186">
        <f t="shared" ca="1" si="22"/>
        <v>-1.4627007311560586E-2</v>
      </c>
    </row>
    <row r="643" spans="2:8">
      <c r="B643" s="36">
        <v>46178</v>
      </c>
      <c r="C643" s="185">
        <v>2673.4</v>
      </c>
      <c r="D643" s="185">
        <f t="shared" si="21"/>
        <v>4.835104505705666E-2</v>
      </c>
      <c r="E643" s="185">
        <v>8.6018260016600696E-3</v>
      </c>
      <c r="F643" s="171"/>
      <c r="G643" s="171">
        <v>640</v>
      </c>
      <c r="H643" s="186">
        <f t="shared" ca="1" si="22"/>
        <v>1.4521645768093946E-2</v>
      </c>
    </row>
    <row r="644" spans="2:8">
      <c r="B644" s="36">
        <v>44179</v>
      </c>
      <c r="C644" s="185">
        <v>2550.1</v>
      </c>
      <c r="D644" s="185">
        <f t="shared" ref="D644:D707" si="23">(C644-C645)/C645</f>
        <v>-8.3324346669542457E-2</v>
      </c>
      <c r="E644" s="185">
        <v>8.5625580889478106E-3</v>
      </c>
      <c r="F644" s="171"/>
      <c r="G644" s="171">
        <v>641</v>
      </c>
      <c r="H644" s="186">
        <f t="shared" ca="1" si="22"/>
        <v>-8.1735465726629312E-3</v>
      </c>
    </row>
    <row r="645" spans="2:8">
      <c r="B645" s="36">
        <v>46022</v>
      </c>
      <c r="C645" s="185">
        <v>2781.9</v>
      </c>
      <c r="D645" s="185">
        <f t="shared" si="23"/>
        <v>1.4075292081350066</v>
      </c>
      <c r="E645" s="185">
        <v>8.5559946343762121E-3</v>
      </c>
      <c r="F645" s="171"/>
      <c r="G645" s="171">
        <v>642</v>
      </c>
      <c r="H645" s="186">
        <f t="shared" ref="H645:H708" ca="1" si="24">_xlfn.NORM.INV(RAND(),N$6,N$7)</f>
        <v>2.2899145097835229E-2</v>
      </c>
    </row>
    <row r="646" spans="2:8">
      <c r="B646" s="36">
        <v>42872</v>
      </c>
      <c r="C646" s="185">
        <v>1155.5</v>
      </c>
      <c r="D646" s="185">
        <f t="shared" si="23"/>
        <v>0.1521013011615733</v>
      </c>
      <c r="E646" s="185">
        <v>8.5537226149951587E-3</v>
      </c>
      <c r="F646" s="171"/>
      <c r="G646" s="171">
        <v>643</v>
      </c>
      <c r="H646" s="186">
        <f t="shared" ca="1" si="24"/>
        <v>-2.0748910303437475E-2</v>
      </c>
    </row>
    <row r="647" spans="2:8">
      <c r="B647" s="36">
        <v>42551</v>
      </c>
      <c r="C647" s="185">
        <v>1002.95</v>
      </c>
      <c r="D647" s="185">
        <f t="shared" si="23"/>
        <v>-0.69096259320884934</v>
      </c>
      <c r="E647" s="185">
        <v>8.547438282467696E-3</v>
      </c>
      <c r="F647" s="171"/>
      <c r="G647" s="171">
        <v>644</v>
      </c>
      <c r="H647" s="186">
        <f t="shared" ca="1" si="24"/>
        <v>-2.0172408893096017E-2</v>
      </c>
    </row>
    <row r="648" spans="2:8">
      <c r="B648" s="36">
        <v>45265</v>
      </c>
      <c r="C648" s="185">
        <v>3245.4</v>
      </c>
      <c r="D648" s="185">
        <f t="shared" si="23"/>
        <v>0.77684095264166442</v>
      </c>
      <c r="E648" s="185">
        <v>8.5146053449347697E-3</v>
      </c>
      <c r="F648" s="171"/>
      <c r="G648" s="171">
        <v>645</v>
      </c>
      <c r="H648" s="186">
        <f t="shared" ca="1" si="24"/>
        <v>4.170334544033108E-4</v>
      </c>
    </row>
    <row r="649" spans="2:8">
      <c r="B649" s="36">
        <v>43844</v>
      </c>
      <c r="C649" s="185">
        <v>1826.5</v>
      </c>
      <c r="D649" s="185">
        <f t="shared" si="23"/>
        <v>0.45543647157257255</v>
      </c>
      <c r="E649" s="185">
        <v>8.5031196510408549E-3</v>
      </c>
      <c r="F649" s="171"/>
      <c r="G649" s="171">
        <v>646</v>
      </c>
      <c r="H649" s="186">
        <f t="shared" ca="1" si="24"/>
        <v>2.647614250513004E-3</v>
      </c>
    </row>
    <row r="650" spans="2:8">
      <c r="B650" s="36">
        <v>43411</v>
      </c>
      <c r="C650" s="185">
        <v>1254.95</v>
      </c>
      <c r="D650" s="185">
        <f t="shared" si="23"/>
        <v>-0.59264789418161157</v>
      </c>
      <c r="E650" s="185">
        <v>8.4779813564769806E-3</v>
      </c>
      <c r="F650" s="171"/>
      <c r="G650" s="171">
        <v>647</v>
      </c>
      <c r="H650" s="186">
        <f t="shared" ca="1" si="24"/>
        <v>2.8890617755198906E-3</v>
      </c>
    </row>
    <row r="651" spans="2:8">
      <c r="B651" s="36">
        <v>45523</v>
      </c>
      <c r="C651" s="185">
        <v>3080.75</v>
      </c>
      <c r="D651" s="185">
        <f t="shared" si="23"/>
        <v>1.9709725637687447</v>
      </c>
      <c r="E651" s="185">
        <v>8.4618154440406906E-3</v>
      </c>
      <c r="F651" s="171"/>
      <c r="G651" s="171">
        <v>648</v>
      </c>
      <c r="H651" s="186">
        <f t="shared" ca="1" si="24"/>
        <v>4.1198028864815196E-2</v>
      </c>
    </row>
    <row r="652" spans="2:8">
      <c r="B652" s="36">
        <v>42803</v>
      </c>
      <c r="C652" s="185">
        <v>1036.95</v>
      </c>
      <c r="D652" s="185">
        <f t="shared" si="23"/>
        <v>-0.13153266331658287</v>
      </c>
      <c r="E652" s="185">
        <v>8.460977388767367E-3</v>
      </c>
      <c r="F652" s="171"/>
      <c r="G652" s="171">
        <v>649</v>
      </c>
      <c r="H652" s="186">
        <f t="shared" ca="1" si="24"/>
        <v>8.1094650816125793E-3</v>
      </c>
    </row>
    <row r="653" spans="2:8">
      <c r="B653" s="36">
        <v>42640</v>
      </c>
      <c r="C653" s="185">
        <v>1194</v>
      </c>
      <c r="D653" s="185">
        <f t="shared" si="23"/>
        <v>-0.63564791504554408</v>
      </c>
      <c r="E653" s="185">
        <v>8.4459459459459464E-3</v>
      </c>
      <c r="F653" s="171"/>
      <c r="G653" s="171">
        <v>650</v>
      </c>
      <c r="H653" s="186">
        <f t="shared" ca="1" si="24"/>
        <v>-1.0050550333247928E-2</v>
      </c>
    </row>
    <row r="654" spans="2:8">
      <c r="B654" s="36">
        <v>45561</v>
      </c>
      <c r="C654" s="185">
        <v>3277.05</v>
      </c>
      <c r="D654" s="185">
        <f t="shared" si="23"/>
        <v>1.5124008126653126</v>
      </c>
      <c r="E654" s="185">
        <v>8.3851313927010892E-3</v>
      </c>
      <c r="F654" s="171"/>
      <c r="G654" s="171">
        <v>651</v>
      </c>
      <c r="H654" s="186">
        <f t="shared" ca="1" si="24"/>
        <v>1.2843645821599801E-2</v>
      </c>
    </row>
    <row r="655" spans="2:8">
      <c r="B655" s="36">
        <v>43364</v>
      </c>
      <c r="C655" s="185">
        <v>1304.3499999999999</v>
      </c>
      <c r="D655" s="185">
        <f t="shared" si="23"/>
        <v>0.48728620296465214</v>
      </c>
      <c r="E655" s="185">
        <v>8.3491167716748128E-3</v>
      </c>
      <c r="F655" s="171"/>
      <c r="G655" s="171">
        <v>652</v>
      </c>
      <c r="H655" s="186">
        <f t="shared" ca="1" si="24"/>
        <v>3.1687772617944587E-3</v>
      </c>
    </row>
    <row r="656" spans="2:8">
      <c r="B656" s="36">
        <v>42473</v>
      </c>
      <c r="C656" s="185">
        <v>877</v>
      </c>
      <c r="D656" s="185">
        <f t="shared" si="23"/>
        <v>-0.50198750709823958</v>
      </c>
      <c r="E656" s="185">
        <v>8.335728657660248E-3</v>
      </c>
      <c r="F656" s="171"/>
      <c r="G656" s="171">
        <v>653</v>
      </c>
      <c r="H656" s="186">
        <f t="shared" ca="1" si="24"/>
        <v>-2.1894269996201941E-2</v>
      </c>
    </row>
    <row r="657" spans="2:8">
      <c r="B657" s="36">
        <v>43938</v>
      </c>
      <c r="C657" s="185">
        <v>1761</v>
      </c>
      <c r="D657" s="185">
        <f t="shared" si="23"/>
        <v>-0.38872207855320479</v>
      </c>
      <c r="E657" s="185">
        <v>8.3311861204156748E-3</v>
      </c>
      <c r="F657" s="171"/>
      <c r="G657" s="171">
        <v>654</v>
      </c>
      <c r="H657" s="186">
        <f t="shared" ca="1" si="24"/>
        <v>1.5736952513955127E-2</v>
      </c>
    </row>
    <row r="658" spans="2:8">
      <c r="B658" s="36">
        <v>45470</v>
      </c>
      <c r="C658" s="185">
        <v>2880.85</v>
      </c>
      <c r="D658" s="185">
        <f t="shared" si="23"/>
        <v>8.0751050420168072E-2</v>
      </c>
      <c r="E658" s="185">
        <v>8.3302707337987517E-3</v>
      </c>
      <c r="F658" s="171"/>
      <c r="G658" s="171">
        <v>655</v>
      </c>
      <c r="H658" s="186">
        <f t="shared" ca="1" si="24"/>
        <v>-1.2728295406583793E-2</v>
      </c>
    </row>
    <row r="659" spans="2:8">
      <c r="B659" s="36">
        <v>44727</v>
      </c>
      <c r="C659" s="185">
        <v>2665.6</v>
      </c>
      <c r="D659" s="185">
        <f t="shared" si="23"/>
        <v>1.6784565916398713</v>
      </c>
      <c r="E659" s="185">
        <v>8.3219851717355117E-3</v>
      </c>
      <c r="F659" s="171"/>
      <c r="G659" s="171">
        <v>656</v>
      </c>
      <c r="H659" s="186">
        <f t="shared" ca="1" si="24"/>
        <v>4.8107060986924384E-3</v>
      </c>
    </row>
    <row r="660" spans="2:8">
      <c r="B660" s="36">
        <v>42772</v>
      </c>
      <c r="C660" s="185">
        <v>995.2</v>
      </c>
      <c r="D660" s="185">
        <f t="shared" si="23"/>
        <v>-0.20896590096176765</v>
      </c>
      <c r="E660" s="185">
        <v>8.3080040526849492E-3</v>
      </c>
      <c r="F660" s="171"/>
      <c r="G660" s="171">
        <v>657</v>
      </c>
      <c r="H660" s="186">
        <f t="shared" ca="1" si="24"/>
        <v>6.142243949003692E-3</v>
      </c>
    </row>
    <row r="661" spans="2:8">
      <c r="B661" s="36">
        <v>42996</v>
      </c>
      <c r="C661" s="185">
        <v>1258.0999999999999</v>
      </c>
      <c r="D661" s="185">
        <f t="shared" si="23"/>
        <v>-0.59842959511004001</v>
      </c>
      <c r="E661" s="185">
        <v>8.2949308755759631E-3</v>
      </c>
      <c r="F661" s="171"/>
      <c r="G661" s="171">
        <v>658</v>
      </c>
      <c r="H661" s="186">
        <f t="shared" ca="1" si="24"/>
        <v>1.2314221903329575E-2</v>
      </c>
    </row>
    <row r="662" spans="2:8">
      <c r="B662" s="36">
        <v>44501</v>
      </c>
      <c r="C662" s="185">
        <v>3132.95</v>
      </c>
      <c r="D662" s="185">
        <f t="shared" si="23"/>
        <v>0.29570503939287412</v>
      </c>
      <c r="E662" s="185">
        <v>8.2872039134912461E-3</v>
      </c>
      <c r="F662" s="171"/>
      <c r="G662" s="171">
        <v>659</v>
      </c>
      <c r="H662" s="186">
        <f t="shared" ca="1" si="24"/>
        <v>-8.6791676602216861E-3</v>
      </c>
    </row>
    <row r="663" spans="2:8">
      <c r="B663" s="36">
        <v>44258</v>
      </c>
      <c r="C663" s="185">
        <v>2417.9499999999998</v>
      </c>
      <c r="D663" s="185">
        <f t="shared" si="23"/>
        <v>2.2514623814966717</v>
      </c>
      <c r="E663" s="185">
        <v>8.2773862641257294E-3</v>
      </c>
      <c r="F663" s="171"/>
      <c r="G663" s="171">
        <v>660</v>
      </c>
      <c r="H663" s="186">
        <f t="shared" ca="1" si="24"/>
        <v>1.5838317062921447E-2</v>
      </c>
    </row>
    <row r="664" spans="2:8">
      <c r="B664" s="36">
        <v>42177</v>
      </c>
      <c r="C664" s="185">
        <v>743.65</v>
      </c>
      <c r="D664" s="185">
        <f t="shared" si="23"/>
        <v>-0.67946811491131653</v>
      </c>
      <c r="E664" s="185">
        <v>8.2706257202901819E-3</v>
      </c>
      <c r="F664" s="171"/>
      <c r="G664" s="171">
        <v>661</v>
      </c>
      <c r="H664" s="186">
        <f t="shared" ca="1" si="24"/>
        <v>1.770228470042197E-3</v>
      </c>
    </row>
    <row r="665" spans="2:8">
      <c r="B665" s="36">
        <v>45740</v>
      </c>
      <c r="C665" s="185">
        <v>2320.0500000000002</v>
      </c>
      <c r="D665" s="185">
        <f t="shared" si="23"/>
        <v>0.64077086280056594</v>
      </c>
      <c r="E665" s="185">
        <v>8.2351918647604501E-3</v>
      </c>
      <c r="F665" s="171"/>
      <c r="G665" s="171">
        <v>662</v>
      </c>
      <c r="H665" s="186">
        <f t="shared" ca="1" si="24"/>
        <v>-2.6107116465258349E-2</v>
      </c>
    </row>
    <row r="666" spans="2:8">
      <c r="B666" s="36">
        <v>43529</v>
      </c>
      <c r="C666" s="185">
        <v>1414</v>
      </c>
      <c r="D666" s="185">
        <f t="shared" si="23"/>
        <v>-0.57692537849320802</v>
      </c>
      <c r="E666" s="185">
        <v>8.1996434937611409E-3</v>
      </c>
      <c r="F666" s="171"/>
      <c r="G666" s="171">
        <v>663</v>
      </c>
      <c r="H666" s="186">
        <f t="shared" ca="1" si="24"/>
        <v>1.2036690474951114E-2</v>
      </c>
    </row>
    <row r="667" spans="2:8">
      <c r="B667" s="36">
        <v>44442</v>
      </c>
      <c r="C667" s="185">
        <v>3342.2</v>
      </c>
      <c r="D667" s="185">
        <f t="shared" si="23"/>
        <v>0.17476274165202102</v>
      </c>
      <c r="E667" s="185">
        <v>8.1899217206375871E-3</v>
      </c>
      <c r="F667" s="171"/>
      <c r="G667" s="171">
        <v>664</v>
      </c>
      <c r="H667" s="186">
        <f t="shared" ca="1" si="24"/>
        <v>-4.2658551731197874E-3</v>
      </c>
    </row>
    <row r="668" spans="2:8">
      <c r="B668" s="36">
        <v>45352</v>
      </c>
      <c r="C668" s="185">
        <v>2845</v>
      </c>
      <c r="D668" s="185">
        <f t="shared" si="23"/>
        <v>-3.4480418109006962E-2</v>
      </c>
      <c r="E668" s="185">
        <v>8.1859739891562092E-3</v>
      </c>
      <c r="F668" s="171"/>
      <c r="G668" s="171">
        <v>665</v>
      </c>
      <c r="H668" s="186">
        <f t="shared" ca="1" si="24"/>
        <v>-5.8780304248676708E-3</v>
      </c>
    </row>
    <row r="669" spans="2:8">
      <c r="B669" s="36">
        <v>44943</v>
      </c>
      <c r="C669" s="185">
        <v>2946.6</v>
      </c>
      <c r="D669" s="185">
        <f t="shared" si="23"/>
        <v>-0.10161895179731095</v>
      </c>
      <c r="E669" s="185">
        <v>8.1773702398467481E-3</v>
      </c>
      <c r="F669" s="171"/>
      <c r="G669" s="171">
        <v>666</v>
      </c>
      <c r="H669" s="186">
        <f t="shared" ca="1" si="24"/>
        <v>-1.1978005277963104E-2</v>
      </c>
    </row>
    <row r="670" spans="2:8">
      <c r="B670" s="36">
        <v>45167</v>
      </c>
      <c r="C670" s="185">
        <v>3279.9</v>
      </c>
      <c r="D670" s="185">
        <f t="shared" si="23"/>
        <v>1.2259246691550729</v>
      </c>
      <c r="E670" s="185">
        <v>8.1453248908833834E-3</v>
      </c>
      <c r="F670" s="171"/>
      <c r="G670" s="171">
        <v>667</v>
      </c>
      <c r="H670" s="186">
        <f t="shared" ca="1" si="24"/>
        <v>-1.1116613690399523E-2</v>
      </c>
    </row>
    <row r="671" spans="2:8">
      <c r="B671" s="36">
        <v>43546</v>
      </c>
      <c r="C671" s="185">
        <v>1473.5</v>
      </c>
      <c r="D671" s="185">
        <f t="shared" si="23"/>
        <v>-0.36307246752685379</v>
      </c>
      <c r="E671" s="185">
        <v>8.1072760236718146E-3</v>
      </c>
      <c r="F671" s="171"/>
      <c r="G671" s="171">
        <v>668</v>
      </c>
      <c r="H671" s="186">
        <f t="shared" ca="1" si="24"/>
        <v>3.1023609232216448E-4</v>
      </c>
    </row>
    <row r="672" spans="2:8">
      <c r="B672" s="36">
        <v>45658</v>
      </c>
      <c r="C672" s="185">
        <v>2313.4499999999998</v>
      </c>
      <c r="D672" s="185">
        <f t="shared" si="23"/>
        <v>0.63413858868404305</v>
      </c>
      <c r="E672" s="185">
        <v>8.0831408775980332E-3</v>
      </c>
      <c r="F672" s="171"/>
      <c r="G672" s="171">
        <v>669</v>
      </c>
      <c r="H672" s="186">
        <f t="shared" ca="1" si="24"/>
        <v>-2.4499142829431053E-2</v>
      </c>
    </row>
    <row r="673" spans="2:8">
      <c r="B673" s="36">
        <v>43332</v>
      </c>
      <c r="C673" s="185">
        <v>1415.7</v>
      </c>
      <c r="D673" s="185">
        <f t="shared" si="23"/>
        <v>-0.57347513670668693</v>
      </c>
      <c r="E673" s="185">
        <v>8.0820308327697061E-3</v>
      </c>
      <c r="F673" s="171"/>
      <c r="G673" s="171">
        <v>670</v>
      </c>
      <c r="H673" s="186">
        <f t="shared" ca="1" si="24"/>
        <v>-8.945338393219587E-4</v>
      </c>
    </row>
    <row r="674" spans="2:8">
      <c r="B674" s="36">
        <v>44581</v>
      </c>
      <c r="C674" s="185">
        <v>3319.15</v>
      </c>
      <c r="D674" s="185">
        <f t="shared" si="23"/>
        <v>1.5046408089345005</v>
      </c>
      <c r="E674" s="185">
        <v>8.0788446644697604E-3</v>
      </c>
      <c r="F674" s="171"/>
      <c r="G674" s="171">
        <v>671</v>
      </c>
      <c r="H674" s="186">
        <f t="shared" ca="1" si="24"/>
        <v>9.0072394653250079E-3</v>
      </c>
    </row>
    <row r="675" spans="2:8">
      <c r="B675" s="36">
        <v>43236</v>
      </c>
      <c r="C675" s="185">
        <v>1325.2</v>
      </c>
      <c r="D675" s="185">
        <f t="shared" si="23"/>
        <v>0.14552448459177952</v>
      </c>
      <c r="E675" s="185">
        <v>8.0632892134490618E-3</v>
      </c>
      <c r="F675" s="171"/>
      <c r="G675" s="171">
        <v>672</v>
      </c>
      <c r="H675" s="186">
        <f t="shared" ca="1" si="24"/>
        <v>2.145067967843054E-3</v>
      </c>
    </row>
    <row r="676" spans="2:8">
      <c r="B676" s="36">
        <v>42944</v>
      </c>
      <c r="C676" s="185">
        <v>1156.8499999999999</v>
      </c>
      <c r="D676" s="185">
        <f t="shared" si="23"/>
        <v>4.5126027644773525E-2</v>
      </c>
      <c r="E676" s="185">
        <v>8.0602997560125494E-3</v>
      </c>
      <c r="F676" s="171"/>
      <c r="G676" s="171">
        <v>673</v>
      </c>
      <c r="H676" s="186">
        <f t="shared" ca="1" si="24"/>
        <v>1.0192044960423995E-2</v>
      </c>
    </row>
    <row r="677" spans="2:8">
      <c r="B677" s="36">
        <v>42851</v>
      </c>
      <c r="C677" s="185">
        <v>1106.9000000000001</v>
      </c>
      <c r="D677" s="185">
        <f t="shared" si="23"/>
        <v>0.57700527140618341</v>
      </c>
      <c r="E677" s="185">
        <v>8.0597422703885396E-3</v>
      </c>
      <c r="F677" s="171"/>
      <c r="G677" s="171">
        <v>674</v>
      </c>
      <c r="H677" s="186">
        <f t="shared" ca="1" si="24"/>
        <v>-5.3115769448874132E-3</v>
      </c>
    </row>
    <row r="678" spans="2:8">
      <c r="B678" s="36">
        <v>42171</v>
      </c>
      <c r="C678" s="185">
        <v>701.9</v>
      </c>
      <c r="D678" s="185">
        <f t="shared" si="23"/>
        <v>-0.75786532358217196</v>
      </c>
      <c r="E678" s="185">
        <v>8.0425104121786915E-3</v>
      </c>
      <c r="F678" s="171"/>
      <c r="G678" s="171">
        <v>675</v>
      </c>
      <c r="H678" s="186">
        <f t="shared" ca="1" si="24"/>
        <v>3.2105183726166595E-2</v>
      </c>
    </row>
    <row r="679" spans="2:8">
      <c r="B679" s="36">
        <v>45975</v>
      </c>
      <c r="C679" s="185">
        <v>2898.8</v>
      </c>
      <c r="D679" s="185">
        <f t="shared" si="23"/>
        <v>1.1173033379592436</v>
      </c>
      <c r="E679" s="185">
        <v>8.0328267899990834E-3</v>
      </c>
      <c r="F679" s="171"/>
      <c r="G679" s="171">
        <v>676</v>
      </c>
      <c r="H679" s="186">
        <f t="shared" ca="1" si="24"/>
        <v>-2.0607831244881296E-2</v>
      </c>
    </row>
    <row r="680" spans="2:8">
      <c r="B680" s="36">
        <v>43607</v>
      </c>
      <c r="C680" s="185">
        <v>1369.1</v>
      </c>
      <c r="D680" s="185">
        <f t="shared" si="23"/>
        <v>-4.4325003490157756E-2</v>
      </c>
      <c r="E680" s="185">
        <v>8.0253276395227981E-3</v>
      </c>
      <c r="F680" s="171"/>
      <c r="G680" s="171">
        <v>677</v>
      </c>
      <c r="H680" s="186">
        <f t="shared" ca="1" si="24"/>
        <v>3.3365887709183965E-3</v>
      </c>
    </row>
    <row r="681" spans="2:8">
      <c r="B681" s="36">
        <v>43566</v>
      </c>
      <c r="C681" s="185">
        <v>1432.6</v>
      </c>
      <c r="D681" s="185">
        <f t="shared" si="23"/>
        <v>0.2765995366244875</v>
      </c>
      <c r="E681" s="185">
        <v>8.0213903743314545E-3</v>
      </c>
      <c r="F681" s="171"/>
      <c r="G681" s="171">
        <v>678</v>
      </c>
      <c r="H681" s="186">
        <f t="shared" ca="1" si="24"/>
        <v>9.9996402450524234E-3</v>
      </c>
    </row>
    <row r="682" spans="2:8">
      <c r="B682" s="36">
        <v>43138</v>
      </c>
      <c r="C682" s="185">
        <v>1122.2</v>
      </c>
      <c r="D682" s="185">
        <f t="shared" si="23"/>
        <v>5.0601507278940173E-2</v>
      </c>
      <c r="E682" s="185">
        <v>7.994251324890048E-3</v>
      </c>
      <c r="F682" s="171"/>
      <c r="G682" s="171">
        <v>679</v>
      </c>
      <c r="H682" s="186">
        <f t="shared" ca="1" si="24"/>
        <v>-9.6135964741744155E-4</v>
      </c>
    </row>
    <row r="683" spans="2:8">
      <c r="B683" s="36">
        <v>42823</v>
      </c>
      <c r="C683" s="185">
        <v>1068.1500000000001</v>
      </c>
      <c r="D683" s="185">
        <f t="shared" si="23"/>
        <v>-0.39110731081658823</v>
      </c>
      <c r="E683" s="185">
        <v>7.9739548928942586E-3</v>
      </c>
      <c r="F683" s="171"/>
      <c r="G683" s="171">
        <v>680</v>
      </c>
      <c r="H683" s="186">
        <f t="shared" ca="1" si="24"/>
        <v>-9.8631490510137799E-3</v>
      </c>
    </row>
    <row r="684" spans="2:8">
      <c r="B684" s="36">
        <v>43811</v>
      </c>
      <c r="C684" s="185">
        <v>1754.25</v>
      </c>
      <c r="D684" s="185">
        <f t="shared" si="23"/>
        <v>-0.38458165234169445</v>
      </c>
      <c r="E684" s="185">
        <v>7.9579407032865489E-3</v>
      </c>
      <c r="F684" s="171"/>
      <c r="G684" s="171">
        <v>681</v>
      </c>
      <c r="H684" s="186">
        <f t="shared" ca="1" si="24"/>
        <v>-2.3270432301216548E-3</v>
      </c>
    </row>
    <row r="685" spans="2:8">
      <c r="B685" s="36">
        <v>46028</v>
      </c>
      <c r="C685" s="185">
        <v>2850.5</v>
      </c>
      <c r="D685" s="185">
        <f t="shared" si="23"/>
        <v>1.1311352846622558</v>
      </c>
      <c r="E685" s="185">
        <v>7.9561527581329568E-3</v>
      </c>
      <c r="F685" s="171"/>
      <c r="G685" s="171">
        <v>682</v>
      </c>
      <c r="H685" s="186">
        <f t="shared" ca="1" si="24"/>
        <v>-9.6242360203118802E-3</v>
      </c>
    </row>
    <row r="686" spans="2:8">
      <c r="B686" s="36">
        <v>43446</v>
      </c>
      <c r="C686" s="185">
        <v>1337.55</v>
      </c>
      <c r="D686" s="185">
        <f t="shared" si="23"/>
        <v>-0.54654710648540528</v>
      </c>
      <c r="E686" s="185">
        <v>7.9502637528258892E-3</v>
      </c>
      <c r="F686" s="171"/>
      <c r="G686" s="171">
        <v>683</v>
      </c>
      <c r="H686" s="186">
        <f t="shared" ca="1" si="24"/>
        <v>-1.4564384368724714E-2</v>
      </c>
    </row>
    <row r="687" spans="2:8">
      <c r="B687" s="36">
        <v>45328</v>
      </c>
      <c r="C687" s="185">
        <v>2949.7</v>
      </c>
      <c r="D687" s="185">
        <f t="shared" si="23"/>
        <v>6.8438209342411979E-3</v>
      </c>
      <c r="E687" s="185">
        <v>7.9447795110116366E-3</v>
      </c>
      <c r="F687" s="171"/>
      <c r="G687" s="171">
        <v>684</v>
      </c>
      <c r="H687" s="186">
        <f t="shared" ca="1" si="24"/>
        <v>8.8431872706173902E-3</v>
      </c>
    </row>
    <row r="688" spans="2:8">
      <c r="B688" s="36">
        <v>44350</v>
      </c>
      <c r="C688" s="185">
        <v>2929.65</v>
      </c>
      <c r="D688" s="185">
        <f t="shared" si="23"/>
        <v>0.73101125587166538</v>
      </c>
      <c r="E688" s="185">
        <v>7.9302277575174374E-3</v>
      </c>
      <c r="F688" s="171"/>
      <c r="G688" s="171">
        <v>685</v>
      </c>
      <c r="H688" s="186">
        <f t="shared" ca="1" si="24"/>
        <v>-4.5309023991229099E-3</v>
      </c>
    </row>
    <row r="689" spans="2:8">
      <c r="B689" s="36">
        <v>43984</v>
      </c>
      <c r="C689" s="185">
        <v>1692.45</v>
      </c>
      <c r="D689" s="185">
        <f t="shared" si="23"/>
        <v>-0.4567384082045356</v>
      </c>
      <c r="E689" s="185">
        <v>7.9206741506118901E-3</v>
      </c>
      <c r="F689" s="171"/>
      <c r="G689" s="171">
        <v>686</v>
      </c>
      <c r="H689" s="186">
        <f t="shared" ca="1" si="24"/>
        <v>1.8364964534892055E-2</v>
      </c>
    </row>
    <row r="690" spans="2:8">
      <c r="B690" s="36">
        <v>45069</v>
      </c>
      <c r="C690" s="185">
        <v>3115.35</v>
      </c>
      <c r="D690" s="185">
        <f t="shared" si="23"/>
        <v>-6.3446969696969752E-2</v>
      </c>
      <c r="E690" s="185">
        <v>7.9103173832863628E-3</v>
      </c>
      <c r="F690" s="171"/>
      <c r="G690" s="171">
        <v>687</v>
      </c>
      <c r="H690" s="186">
        <f t="shared" ca="1" si="24"/>
        <v>-1.5615784284095456E-2</v>
      </c>
    </row>
    <row r="691" spans="2:8">
      <c r="B691" s="36">
        <v>45093</v>
      </c>
      <c r="C691" s="185">
        <v>3326.4</v>
      </c>
      <c r="D691" s="185">
        <f t="shared" si="23"/>
        <v>1.3647673550634485</v>
      </c>
      <c r="E691" s="185">
        <v>7.8931022467314624E-3</v>
      </c>
      <c r="F691" s="171"/>
      <c r="G691" s="171">
        <v>688</v>
      </c>
      <c r="H691" s="186">
        <f t="shared" ca="1" si="24"/>
        <v>2.9529329911416945E-3</v>
      </c>
    </row>
    <row r="692" spans="2:8">
      <c r="B692" s="36">
        <v>43483</v>
      </c>
      <c r="C692" s="185">
        <v>1406.65</v>
      </c>
      <c r="D692" s="185">
        <f t="shared" si="23"/>
        <v>-0.42744627157277759</v>
      </c>
      <c r="E692" s="185">
        <v>7.8816322143803949E-3</v>
      </c>
      <c r="F692" s="171"/>
      <c r="G692" s="171">
        <v>689</v>
      </c>
      <c r="H692" s="186">
        <f t="shared" ca="1" si="24"/>
        <v>1.9425582615567177E-2</v>
      </c>
    </row>
    <row r="693" spans="2:8">
      <c r="B693" s="36">
        <v>45873</v>
      </c>
      <c r="C693" s="185">
        <v>2456.8000000000002</v>
      </c>
      <c r="D693" s="185">
        <f t="shared" si="23"/>
        <v>0.7112806046041863</v>
      </c>
      <c r="E693" s="185">
        <v>7.8765999343617787E-3</v>
      </c>
      <c r="F693" s="171"/>
      <c r="G693" s="171">
        <v>690</v>
      </c>
      <c r="H693" s="186">
        <f t="shared" ca="1" si="24"/>
        <v>7.7669229464825641E-3</v>
      </c>
    </row>
    <row r="694" spans="2:8">
      <c r="B694" s="36">
        <v>43536</v>
      </c>
      <c r="C694" s="185">
        <v>1435.65</v>
      </c>
      <c r="D694" s="185">
        <f t="shared" si="23"/>
        <v>-0.56107068607068611</v>
      </c>
      <c r="E694" s="185">
        <v>7.827307827307891E-3</v>
      </c>
      <c r="F694" s="171"/>
      <c r="G694" s="171">
        <v>691</v>
      </c>
      <c r="H694" s="186">
        <f t="shared" ca="1" si="24"/>
        <v>1.6731653827739053E-2</v>
      </c>
    </row>
    <row r="695" spans="2:8">
      <c r="B695" s="36">
        <v>45266</v>
      </c>
      <c r="C695" s="185">
        <v>3270.8</v>
      </c>
      <c r="D695" s="185">
        <f t="shared" si="23"/>
        <v>4.7158636145349826E-2</v>
      </c>
      <c r="E695" s="185">
        <v>7.8264620693905499E-3</v>
      </c>
      <c r="F695" s="171"/>
      <c r="G695" s="171">
        <v>692</v>
      </c>
      <c r="H695" s="186">
        <f t="shared" ca="1" si="24"/>
        <v>1.2664309332552578E-2</v>
      </c>
    </row>
    <row r="696" spans="2:8">
      <c r="B696" s="36">
        <v>45071</v>
      </c>
      <c r="C696" s="185">
        <v>3123.5</v>
      </c>
      <c r="D696" s="185">
        <f t="shared" si="23"/>
        <v>0.42119392119392107</v>
      </c>
      <c r="E696" s="185">
        <v>7.8244736629829795E-3</v>
      </c>
      <c r="F696" s="171"/>
      <c r="G696" s="171">
        <v>693</v>
      </c>
      <c r="H696" s="186">
        <f t="shared" ca="1" si="24"/>
        <v>-1.0975648622405122E-3</v>
      </c>
    </row>
    <row r="697" spans="2:8">
      <c r="B697" s="36">
        <v>46118</v>
      </c>
      <c r="C697" s="185">
        <v>2197.8000000000002</v>
      </c>
      <c r="D697" s="185">
        <f t="shared" si="23"/>
        <v>1.5365572162271337</v>
      </c>
      <c r="E697" s="185">
        <v>7.7953044754218628E-3</v>
      </c>
      <c r="F697" s="171"/>
      <c r="G697" s="171">
        <v>694</v>
      </c>
      <c r="H697" s="186">
        <f t="shared" ca="1" si="24"/>
        <v>-1.0312731964736664E-2</v>
      </c>
    </row>
    <row r="698" spans="2:8">
      <c r="B698" s="36">
        <v>42290</v>
      </c>
      <c r="C698" s="185">
        <v>866.45</v>
      </c>
      <c r="D698" s="185">
        <f t="shared" si="23"/>
        <v>-0.72200654517453811</v>
      </c>
      <c r="E698" s="185">
        <v>7.7929630706601288E-3</v>
      </c>
      <c r="F698" s="171"/>
      <c r="G698" s="171">
        <v>695</v>
      </c>
      <c r="H698" s="186">
        <f t="shared" ca="1" si="24"/>
        <v>9.1207956452317648E-3</v>
      </c>
    </row>
    <row r="699" spans="2:8">
      <c r="B699" s="36">
        <v>44858</v>
      </c>
      <c r="C699" s="185">
        <v>3116.8</v>
      </c>
      <c r="D699" s="185">
        <f t="shared" si="23"/>
        <v>0.42355386055858796</v>
      </c>
      <c r="E699" s="185">
        <v>7.7925437320142156E-3</v>
      </c>
      <c r="F699" s="171"/>
      <c r="G699" s="171">
        <v>696</v>
      </c>
      <c r="H699" s="186">
        <f t="shared" ca="1" si="24"/>
        <v>6.3916884994799665E-3</v>
      </c>
    </row>
    <row r="700" spans="2:8">
      <c r="B700" s="36">
        <v>44158</v>
      </c>
      <c r="C700" s="185">
        <v>2189.4499999999998</v>
      </c>
      <c r="D700" s="185">
        <f t="shared" si="23"/>
        <v>0.51655468587656694</v>
      </c>
      <c r="E700" s="185">
        <v>7.7788773561021079E-3</v>
      </c>
      <c r="F700" s="171"/>
      <c r="G700" s="171">
        <v>697</v>
      </c>
      <c r="H700" s="186">
        <f t="shared" ca="1" si="24"/>
        <v>1.0316305406233856E-3</v>
      </c>
    </row>
    <row r="701" spans="2:8">
      <c r="B701" s="36">
        <v>43567</v>
      </c>
      <c r="C701" s="185">
        <v>1443.7</v>
      </c>
      <c r="D701" s="185">
        <f t="shared" si="23"/>
        <v>-0.5839241454838896</v>
      </c>
      <c r="E701" s="185">
        <v>7.7481502163898762E-3</v>
      </c>
      <c r="F701" s="171"/>
      <c r="G701" s="171">
        <v>698</v>
      </c>
      <c r="H701" s="186">
        <f t="shared" ca="1" si="24"/>
        <v>-9.6436608411005814E-4</v>
      </c>
    </row>
    <row r="702" spans="2:8">
      <c r="B702" s="36">
        <v>44831</v>
      </c>
      <c r="C702" s="185">
        <v>3469.8</v>
      </c>
      <c r="D702" s="185">
        <f t="shared" si="23"/>
        <v>1.1424469760118554</v>
      </c>
      <c r="E702" s="185">
        <v>7.7253717472120023E-3</v>
      </c>
      <c r="F702" s="171"/>
      <c r="G702" s="171">
        <v>699</v>
      </c>
      <c r="H702" s="186">
        <f t="shared" ca="1" si="24"/>
        <v>2.5811157928898815E-3</v>
      </c>
    </row>
    <row r="703" spans="2:8">
      <c r="B703" s="36">
        <v>43977</v>
      </c>
      <c r="C703" s="185">
        <v>1619.55</v>
      </c>
      <c r="D703" s="185">
        <f t="shared" si="23"/>
        <v>-0.38633650986112955</v>
      </c>
      <c r="E703" s="185">
        <v>7.7155212643498505E-3</v>
      </c>
      <c r="F703" s="171"/>
      <c r="G703" s="171">
        <v>700</v>
      </c>
      <c r="H703" s="186">
        <f t="shared" ca="1" si="24"/>
        <v>-1.257282860763259E-2</v>
      </c>
    </row>
    <row r="704" spans="2:8">
      <c r="B704" s="36">
        <v>44293</v>
      </c>
      <c r="C704" s="185">
        <v>2639.15</v>
      </c>
      <c r="D704" s="185">
        <f t="shared" si="23"/>
        <v>-0.10851574111606539</v>
      </c>
      <c r="E704" s="185">
        <v>7.7130147578228963E-3</v>
      </c>
      <c r="F704" s="171"/>
      <c r="G704" s="171">
        <v>701</v>
      </c>
      <c r="H704" s="186">
        <f t="shared" ca="1" si="24"/>
        <v>1.0867726280769804E-2</v>
      </c>
    </row>
    <row r="705" spans="2:8">
      <c r="B705" s="36">
        <v>45331</v>
      </c>
      <c r="C705" s="185">
        <v>2960.4</v>
      </c>
      <c r="D705" s="185">
        <f t="shared" si="23"/>
        <v>1.5497609922053315</v>
      </c>
      <c r="E705" s="185">
        <v>7.6928313704132034E-3</v>
      </c>
      <c r="F705" s="171"/>
      <c r="G705" s="171">
        <v>702</v>
      </c>
      <c r="H705" s="186">
        <f t="shared" ca="1" si="24"/>
        <v>-4.1808933173223886E-3</v>
      </c>
    </row>
    <row r="706" spans="2:8">
      <c r="B706" s="36">
        <v>42893</v>
      </c>
      <c r="C706" s="185">
        <v>1161.05</v>
      </c>
      <c r="D706" s="185">
        <f t="shared" si="23"/>
        <v>-0.47374504249291788</v>
      </c>
      <c r="E706" s="185">
        <v>7.6809581669848191E-3</v>
      </c>
      <c r="F706" s="171"/>
      <c r="G706" s="171">
        <v>703</v>
      </c>
      <c r="H706" s="186">
        <f t="shared" ca="1" si="24"/>
        <v>-2.8430702426271638E-2</v>
      </c>
    </row>
    <row r="707" spans="2:8">
      <c r="B707" s="36">
        <v>44159</v>
      </c>
      <c r="C707" s="185">
        <v>2206.25</v>
      </c>
      <c r="D707" s="185">
        <f t="shared" si="23"/>
        <v>0.9525200230098676</v>
      </c>
      <c r="E707" s="185">
        <v>7.6731599260088986E-3</v>
      </c>
      <c r="F707" s="171"/>
      <c r="G707" s="171">
        <v>704</v>
      </c>
      <c r="H707" s="186">
        <f t="shared" ca="1" si="24"/>
        <v>-7.2667933746722356E-3</v>
      </c>
    </row>
    <row r="708" spans="2:8">
      <c r="B708" s="36">
        <v>42933</v>
      </c>
      <c r="C708" s="185">
        <v>1129.95</v>
      </c>
      <c r="D708" s="185">
        <f t="shared" ref="D708:D771" si="25">(C708-C709)/C709</f>
        <v>-0.12745173745173741</v>
      </c>
      <c r="E708" s="185">
        <v>7.6693271503100163E-3</v>
      </c>
      <c r="F708" s="171"/>
      <c r="G708" s="171">
        <v>705</v>
      </c>
      <c r="H708" s="186">
        <f t="shared" ca="1" si="24"/>
        <v>-2.8893402296091743E-2</v>
      </c>
    </row>
    <row r="709" spans="2:8">
      <c r="B709" s="36">
        <v>43371</v>
      </c>
      <c r="C709" s="185">
        <v>1295</v>
      </c>
      <c r="D709" s="185">
        <f t="shared" si="25"/>
        <v>-0.56851311953352768</v>
      </c>
      <c r="E709" s="185">
        <v>7.6644749640119121E-3</v>
      </c>
      <c r="F709" s="171"/>
      <c r="G709" s="171">
        <v>706</v>
      </c>
      <c r="H709" s="186">
        <f t="shared" ref="H709:H772" ca="1" si="26">_xlfn.NORM.INV(RAND(),N$6,N$7)</f>
        <v>1.3271092510932329E-3</v>
      </c>
    </row>
    <row r="710" spans="2:8">
      <c r="B710" s="36">
        <v>44417</v>
      </c>
      <c r="C710" s="185">
        <v>3001.25</v>
      </c>
      <c r="D710" s="185">
        <f t="shared" si="25"/>
        <v>-1.9487732366297524E-2</v>
      </c>
      <c r="E710" s="185">
        <v>7.6211579459803652E-3</v>
      </c>
      <c r="F710" s="171"/>
      <c r="G710" s="171">
        <v>707</v>
      </c>
      <c r="H710" s="186">
        <f t="shared" ca="1" si="26"/>
        <v>4.6785607193698578E-2</v>
      </c>
    </row>
    <row r="711" spans="2:8">
      <c r="B711" s="36">
        <v>44694</v>
      </c>
      <c r="C711" s="185">
        <v>3060.9</v>
      </c>
      <c r="D711" s="185">
        <f t="shared" si="25"/>
        <v>1.0062923999606725</v>
      </c>
      <c r="E711" s="185">
        <v>7.6041872407663141E-3</v>
      </c>
      <c r="F711" s="171"/>
      <c r="G711" s="171">
        <v>708</v>
      </c>
      <c r="H711" s="186">
        <f t="shared" ca="1" si="26"/>
        <v>4.4801598563073272E-3</v>
      </c>
    </row>
    <row r="712" spans="2:8">
      <c r="B712" s="36">
        <v>43677</v>
      </c>
      <c r="C712" s="185">
        <v>1525.65</v>
      </c>
      <c r="D712" s="185">
        <f t="shared" si="25"/>
        <v>-0.12675290481369117</v>
      </c>
      <c r="E712" s="185">
        <v>7.5617487782327596E-3</v>
      </c>
      <c r="F712" s="171"/>
      <c r="G712" s="171">
        <v>709</v>
      </c>
      <c r="H712" s="186">
        <f t="shared" ca="1" si="26"/>
        <v>-1.1475574984268513E-2</v>
      </c>
    </row>
    <row r="713" spans="2:8">
      <c r="B713" s="36">
        <v>43816</v>
      </c>
      <c r="C713" s="185">
        <v>1747.1</v>
      </c>
      <c r="D713" s="185">
        <f t="shared" si="25"/>
        <v>-0.27534789190982806</v>
      </c>
      <c r="E713" s="185">
        <v>7.5547866205305124E-3</v>
      </c>
      <c r="F713" s="171"/>
      <c r="G713" s="171">
        <v>710</v>
      </c>
      <c r="H713" s="186">
        <f t="shared" ca="1" si="26"/>
        <v>8.0696457940063367E-3</v>
      </c>
    </row>
    <row r="714" spans="2:8">
      <c r="B714" s="36">
        <v>45639</v>
      </c>
      <c r="C714" s="185">
        <v>2410.9499999999998</v>
      </c>
      <c r="D714" s="185">
        <f t="shared" si="25"/>
        <v>-0.27155029156721155</v>
      </c>
      <c r="E714" s="185">
        <v>7.5431484809226155E-3</v>
      </c>
      <c r="F714" s="171"/>
      <c r="G714" s="171">
        <v>711</v>
      </c>
      <c r="H714" s="186">
        <f t="shared" ca="1" si="26"/>
        <v>-8.9459341914095852E-3</v>
      </c>
    </row>
    <row r="715" spans="2:8">
      <c r="B715" s="36">
        <v>44845</v>
      </c>
      <c r="C715" s="185">
        <v>3309.7</v>
      </c>
      <c r="D715" s="185">
        <f t="shared" si="25"/>
        <v>2.7777650953087547</v>
      </c>
      <c r="E715" s="185">
        <v>7.5343612535959453E-3</v>
      </c>
      <c r="F715" s="171"/>
      <c r="G715" s="171">
        <v>712</v>
      </c>
      <c r="H715" s="186">
        <f t="shared" ca="1" si="26"/>
        <v>-1.4204349701764379E-2</v>
      </c>
    </row>
    <row r="716" spans="2:8">
      <c r="B716" s="36">
        <v>42493</v>
      </c>
      <c r="C716" s="185">
        <v>876.1</v>
      </c>
      <c r="D716" s="185">
        <f t="shared" si="25"/>
        <v>-0.72775015537600996</v>
      </c>
      <c r="E716" s="185">
        <v>7.532631821056947E-3</v>
      </c>
      <c r="F716" s="171"/>
      <c r="G716" s="171">
        <v>713</v>
      </c>
      <c r="H716" s="186">
        <f t="shared" ca="1" si="26"/>
        <v>1.0578462922736976E-2</v>
      </c>
    </row>
    <row r="717" spans="2:8">
      <c r="B717" s="36">
        <v>45264</v>
      </c>
      <c r="C717" s="185">
        <v>3218</v>
      </c>
      <c r="D717" s="185">
        <f t="shared" si="25"/>
        <v>1.7410562180579217</v>
      </c>
      <c r="E717" s="185">
        <v>7.5140889167188479E-3</v>
      </c>
      <c r="F717" s="171"/>
      <c r="G717" s="171">
        <v>714</v>
      </c>
      <c r="H717" s="186">
        <f t="shared" ca="1" si="26"/>
        <v>-1.901089600059367E-2</v>
      </c>
    </row>
    <row r="718" spans="2:8">
      <c r="B718" s="36">
        <v>43061</v>
      </c>
      <c r="C718" s="185">
        <v>1174</v>
      </c>
      <c r="D718" s="185">
        <f t="shared" si="25"/>
        <v>-0.34599743746866468</v>
      </c>
      <c r="E718" s="185">
        <v>7.509118214975327E-3</v>
      </c>
      <c r="F718" s="171"/>
      <c r="G718" s="171">
        <v>715</v>
      </c>
      <c r="H718" s="186">
        <f t="shared" ca="1" si="26"/>
        <v>-1.3042254410702479E-2</v>
      </c>
    </row>
    <row r="719" spans="2:8">
      <c r="B719" s="36">
        <v>43859</v>
      </c>
      <c r="C719" s="185">
        <v>1795.1</v>
      </c>
      <c r="D719" s="185">
        <f t="shared" si="25"/>
        <v>0.23774391505205816</v>
      </c>
      <c r="E719" s="185">
        <v>7.4926336466956131E-3</v>
      </c>
      <c r="F719" s="171"/>
      <c r="G719" s="171">
        <v>716</v>
      </c>
      <c r="H719" s="186">
        <f t="shared" ca="1" si="26"/>
        <v>-8.0061241429826031E-3</v>
      </c>
    </row>
    <row r="720" spans="2:8">
      <c r="B720" s="36">
        <v>43542</v>
      </c>
      <c r="C720" s="185">
        <v>1450.3</v>
      </c>
      <c r="D720" s="185">
        <f t="shared" si="25"/>
        <v>-0.45453861631908532</v>
      </c>
      <c r="E720" s="185">
        <v>7.4676114063422601E-3</v>
      </c>
      <c r="F720" s="171"/>
      <c r="G720" s="171">
        <v>717</v>
      </c>
      <c r="H720" s="186">
        <f t="shared" ca="1" si="26"/>
        <v>-1.1471381869376289E-2</v>
      </c>
    </row>
    <row r="721" spans="2:8">
      <c r="B721" s="36">
        <v>44294</v>
      </c>
      <c r="C721" s="185">
        <v>2658.85</v>
      </c>
      <c r="D721" s="185">
        <f t="shared" si="25"/>
        <v>8.8621847363249184E-2</v>
      </c>
      <c r="E721" s="185">
        <v>7.4645245628326608E-3</v>
      </c>
      <c r="F721" s="171"/>
      <c r="G721" s="171">
        <v>718</v>
      </c>
      <c r="H721" s="186">
        <f t="shared" ca="1" si="26"/>
        <v>-1.0098304968528324E-2</v>
      </c>
    </row>
    <row r="722" spans="2:8">
      <c r="B722" s="36">
        <v>46128</v>
      </c>
      <c r="C722" s="185">
        <v>2442.4</v>
      </c>
      <c r="D722" s="185">
        <f t="shared" si="25"/>
        <v>0.67776060449939901</v>
      </c>
      <c r="E722" s="185">
        <v>7.4245174063685858E-3</v>
      </c>
      <c r="F722" s="171"/>
      <c r="G722" s="171">
        <v>719</v>
      </c>
      <c r="H722" s="186">
        <f t="shared" ca="1" si="26"/>
        <v>-1.1856827751868332E-2</v>
      </c>
    </row>
    <row r="723" spans="2:8">
      <c r="B723" s="36">
        <v>43508</v>
      </c>
      <c r="C723" s="185">
        <v>1455.75</v>
      </c>
      <c r="D723" s="185">
        <f t="shared" si="25"/>
        <v>-0.46548558839728293</v>
      </c>
      <c r="E723" s="185">
        <v>7.404588076537176E-3</v>
      </c>
      <c r="F723" s="171"/>
      <c r="G723" s="171">
        <v>720</v>
      </c>
      <c r="H723" s="186">
        <f t="shared" ca="1" si="26"/>
        <v>-8.0178415239470727E-3</v>
      </c>
    </row>
    <row r="724" spans="2:8">
      <c r="B724" s="36">
        <v>44217</v>
      </c>
      <c r="C724" s="185">
        <v>2723.5</v>
      </c>
      <c r="D724" s="185">
        <f t="shared" si="25"/>
        <v>-2.2749291327281242E-2</v>
      </c>
      <c r="E724" s="185">
        <v>7.3605562953099907E-3</v>
      </c>
      <c r="F724" s="171"/>
      <c r="G724" s="171">
        <v>721</v>
      </c>
      <c r="H724" s="186">
        <f t="shared" ca="1" si="26"/>
        <v>-1.1687499072412828E-2</v>
      </c>
    </row>
    <row r="725" spans="2:8">
      <c r="B725" s="36">
        <v>46024</v>
      </c>
      <c r="C725" s="185">
        <v>2786.9</v>
      </c>
      <c r="D725" s="185">
        <f t="shared" si="25"/>
        <v>-0.13326491260807363</v>
      </c>
      <c r="E725" s="185">
        <v>7.3375262054508001E-3</v>
      </c>
      <c r="F725" s="171"/>
      <c r="G725" s="171">
        <v>722</v>
      </c>
      <c r="H725" s="186">
        <f t="shared" ca="1" si="26"/>
        <v>3.875600057640228E-3</v>
      </c>
    </row>
    <row r="726" spans="2:8">
      <c r="B726" s="36">
        <v>44473</v>
      </c>
      <c r="C726" s="185">
        <v>3215.4</v>
      </c>
      <c r="D726" s="185">
        <f t="shared" si="25"/>
        <v>1.294829247403918</v>
      </c>
      <c r="E726" s="185">
        <v>7.3308270676692017E-3</v>
      </c>
      <c r="F726" s="171"/>
      <c r="G726" s="171">
        <v>723</v>
      </c>
      <c r="H726" s="186">
        <f t="shared" ca="1" si="26"/>
        <v>1.0971338406747225E-2</v>
      </c>
    </row>
    <row r="727" spans="2:8">
      <c r="B727" s="36">
        <v>43300</v>
      </c>
      <c r="C727" s="185">
        <v>1401.15</v>
      </c>
      <c r="D727" s="185">
        <f t="shared" si="25"/>
        <v>-0.54295173943535624</v>
      </c>
      <c r="E727" s="185">
        <v>7.2969086987779231E-3</v>
      </c>
      <c r="F727" s="171"/>
      <c r="G727" s="171">
        <v>724</v>
      </c>
      <c r="H727" s="186">
        <f t="shared" ca="1" si="26"/>
        <v>-8.117453367322971E-4</v>
      </c>
    </row>
    <row r="728" spans="2:8">
      <c r="B728" s="36">
        <v>44862</v>
      </c>
      <c r="C728" s="185">
        <v>3065.65</v>
      </c>
      <c r="D728" s="185">
        <f t="shared" si="25"/>
        <v>0.93624076296343095</v>
      </c>
      <c r="E728" s="185">
        <v>7.2943534475678178E-3</v>
      </c>
      <c r="F728" s="171"/>
      <c r="G728" s="171">
        <v>725</v>
      </c>
      <c r="H728" s="186">
        <f t="shared" ca="1" si="26"/>
        <v>-6.1308961834650559E-3</v>
      </c>
    </row>
    <row r="729" spans="2:8">
      <c r="B729" s="36">
        <v>43700</v>
      </c>
      <c r="C729" s="185">
        <v>1583.3</v>
      </c>
      <c r="D729" s="185">
        <f t="shared" si="25"/>
        <v>-0.46685747958582374</v>
      </c>
      <c r="E729" s="185">
        <v>7.2844100900213418E-3</v>
      </c>
      <c r="F729" s="171"/>
      <c r="G729" s="171">
        <v>726</v>
      </c>
      <c r="H729" s="186">
        <f t="shared" ca="1" si="26"/>
        <v>-1.7063346574284495E-2</v>
      </c>
    </row>
    <row r="730" spans="2:8">
      <c r="B730" s="36">
        <v>45232</v>
      </c>
      <c r="C730" s="185">
        <v>2969.75</v>
      </c>
      <c r="D730" s="185">
        <f t="shared" si="25"/>
        <v>3.2004950495049505</v>
      </c>
      <c r="E730" s="185">
        <v>7.2753790319844717E-3</v>
      </c>
      <c r="F730" s="171"/>
      <c r="G730" s="171">
        <v>727</v>
      </c>
      <c r="H730" s="186">
        <f t="shared" ca="1" si="26"/>
        <v>2.8777960120478809E-2</v>
      </c>
    </row>
    <row r="731" spans="2:8">
      <c r="B731" s="36">
        <v>42172</v>
      </c>
      <c r="C731" s="185">
        <v>707</v>
      </c>
      <c r="D731" s="185">
        <f t="shared" si="25"/>
        <v>-0.7561143882162199</v>
      </c>
      <c r="E731" s="185">
        <v>7.2659923065964138E-3</v>
      </c>
      <c r="F731" s="171"/>
      <c r="G731" s="171">
        <v>728</v>
      </c>
      <c r="H731" s="186">
        <f t="shared" ca="1" si="26"/>
        <v>-1.4212270865845391E-2</v>
      </c>
    </row>
    <row r="732" spans="2:8">
      <c r="B732" s="36">
        <v>45979</v>
      </c>
      <c r="C732" s="185">
        <v>2898.9</v>
      </c>
      <c r="D732" s="185">
        <f t="shared" si="25"/>
        <v>-0.14361678557185273</v>
      </c>
      <c r="E732" s="185">
        <v>7.2619874913134441E-3</v>
      </c>
      <c r="F732" s="171"/>
      <c r="G732" s="171">
        <v>729</v>
      </c>
      <c r="H732" s="186">
        <f t="shared" ca="1" si="26"/>
        <v>-1.2169335999631575E-2</v>
      </c>
    </row>
    <row r="733" spans="2:8">
      <c r="B733" s="36">
        <v>45112</v>
      </c>
      <c r="C733" s="185">
        <v>3385.05</v>
      </c>
      <c r="D733" s="185">
        <f t="shared" si="25"/>
        <v>0.32233681003164188</v>
      </c>
      <c r="E733" s="185">
        <v>7.2005593822992023E-3</v>
      </c>
      <c r="F733" s="171"/>
      <c r="G733" s="171">
        <v>730</v>
      </c>
      <c r="H733" s="186">
        <f t="shared" ca="1" si="26"/>
        <v>-1.0979911044144787E-2</v>
      </c>
    </row>
    <row r="734" spans="2:8">
      <c r="B734" s="36">
        <v>46134</v>
      </c>
      <c r="C734" s="185">
        <v>2559.9</v>
      </c>
      <c r="D734" s="185">
        <f t="shared" si="25"/>
        <v>-0.12808460634547583</v>
      </c>
      <c r="E734" s="185">
        <v>7.2001888574127256E-3</v>
      </c>
      <c r="F734" s="171"/>
      <c r="G734" s="171">
        <v>731</v>
      </c>
      <c r="H734" s="186">
        <f t="shared" ca="1" si="26"/>
        <v>-7.1872903452759127E-3</v>
      </c>
    </row>
    <row r="735" spans="2:8">
      <c r="B735" s="36">
        <v>44342</v>
      </c>
      <c r="C735" s="185">
        <v>2935.95</v>
      </c>
      <c r="D735" s="185">
        <f t="shared" si="25"/>
        <v>-9.3996389501782213E-2</v>
      </c>
      <c r="E735" s="185">
        <v>7.169688341537756E-3</v>
      </c>
      <c r="F735" s="171"/>
      <c r="G735" s="171">
        <v>732</v>
      </c>
      <c r="H735" s="186">
        <f t="shared" ca="1" si="26"/>
        <v>-3.4595360140950132E-2</v>
      </c>
    </row>
    <row r="736" spans="2:8">
      <c r="B736" s="36">
        <v>44601</v>
      </c>
      <c r="C736" s="185">
        <v>3240.55</v>
      </c>
      <c r="D736" s="185">
        <f t="shared" si="25"/>
        <v>0.67452976436544032</v>
      </c>
      <c r="E736" s="185">
        <v>7.1639471639472208E-3</v>
      </c>
      <c r="F736" s="171"/>
      <c r="G736" s="171">
        <v>733</v>
      </c>
      <c r="H736" s="186">
        <f t="shared" ca="1" si="26"/>
        <v>1.2317223000117351E-2</v>
      </c>
    </row>
    <row r="737" spans="2:8">
      <c r="B737" s="36">
        <v>44099</v>
      </c>
      <c r="C737" s="185">
        <v>1935.2</v>
      </c>
      <c r="D737" s="185">
        <f t="shared" si="25"/>
        <v>-0.11184542659139934</v>
      </c>
      <c r="E737" s="185">
        <v>7.1560540217023598E-3</v>
      </c>
      <c r="F737" s="171"/>
      <c r="G737" s="171">
        <v>734</v>
      </c>
      <c r="H737" s="186">
        <f t="shared" ca="1" si="26"/>
        <v>2.5227196688168089E-2</v>
      </c>
    </row>
    <row r="738" spans="2:8">
      <c r="B738" s="36">
        <v>44139</v>
      </c>
      <c r="C738" s="185">
        <v>2178.9</v>
      </c>
      <c r="D738" s="185">
        <f t="shared" si="25"/>
        <v>-0.23117093911540024</v>
      </c>
      <c r="E738" s="185">
        <v>7.1180956782990945E-3</v>
      </c>
      <c r="F738" s="171"/>
      <c r="G738" s="171">
        <v>735</v>
      </c>
      <c r="H738" s="186">
        <f t="shared" ca="1" si="26"/>
        <v>-7.4509703639535239E-3</v>
      </c>
    </row>
    <row r="739" spans="2:8">
      <c r="B739" s="36">
        <v>44974</v>
      </c>
      <c r="C739" s="185">
        <v>2834.05</v>
      </c>
      <c r="D739" s="185">
        <f t="shared" si="25"/>
        <v>2.8401761517615181</v>
      </c>
      <c r="E739" s="185">
        <v>7.1071942573870395E-3</v>
      </c>
      <c r="F739" s="171"/>
      <c r="G739" s="171">
        <v>736</v>
      </c>
      <c r="H739" s="186">
        <f t="shared" ca="1" si="26"/>
        <v>-4.2661445693110338E-4</v>
      </c>
    </row>
    <row r="740" spans="2:8">
      <c r="B740" s="36">
        <v>42165</v>
      </c>
      <c r="C740" s="185">
        <v>738</v>
      </c>
      <c r="D740" s="185">
        <f t="shared" si="25"/>
        <v>-0.46940829678625356</v>
      </c>
      <c r="E740" s="185">
        <v>7.0960698689956957E-3</v>
      </c>
      <c r="F740" s="171"/>
      <c r="G740" s="171">
        <v>737</v>
      </c>
      <c r="H740" s="186">
        <f t="shared" ca="1" si="26"/>
        <v>-4.0660995875997424E-5</v>
      </c>
    </row>
    <row r="741" spans="2:8">
      <c r="B741" s="36">
        <v>43467</v>
      </c>
      <c r="C741" s="185">
        <v>1390.9</v>
      </c>
      <c r="D741" s="185">
        <f t="shared" si="25"/>
        <v>0.19390557939914171</v>
      </c>
      <c r="E741" s="185">
        <v>7.095793208312347E-3</v>
      </c>
      <c r="F741" s="171"/>
      <c r="G741" s="171">
        <v>738</v>
      </c>
      <c r="H741" s="186">
        <f t="shared" ca="1" si="26"/>
        <v>7.5510799268343615E-3</v>
      </c>
    </row>
    <row r="742" spans="2:8">
      <c r="B742" s="36">
        <v>42947</v>
      </c>
      <c r="C742" s="185">
        <v>1165</v>
      </c>
      <c r="D742" s="185">
        <f t="shared" si="25"/>
        <v>-0.57336946570476433</v>
      </c>
      <c r="E742" s="185">
        <v>7.0449928685655805E-3</v>
      </c>
      <c r="F742" s="171"/>
      <c r="G742" s="171">
        <v>739</v>
      </c>
      <c r="H742" s="186">
        <f t="shared" ca="1" si="26"/>
        <v>3.0873922808673095E-2</v>
      </c>
    </row>
    <row r="743" spans="2:8">
      <c r="B743" s="36">
        <v>44628</v>
      </c>
      <c r="C743" s="185">
        <v>2730.7</v>
      </c>
      <c r="D743" s="185">
        <f t="shared" si="25"/>
        <v>-0.11982465470837565</v>
      </c>
      <c r="E743" s="185">
        <v>7.043811771647702E-3</v>
      </c>
      <c r="F743" s="171"/>
      <c r="G743" s="171">
        <v>740</v>
      </c>
      <c r="H743" s="186">
        <f t="shared" ca="1" si="26"/>
        <v>-9.9883953748670738E-3</v>
      </c>
    </row>
    <row r="744" spans="2:8">
      <c r="B744" s="36">
        <v>45524</v>
      </c>
      <c r="C744" s="185">
        <v>3102.45</v>
      </c>
      <c r="D744" s="185">
        <f t="shared" si="25"/>
        <v>2.4109724589082511</v>
      </c>
      <c r="E744" s="185">
        <v>7.0437393491843926E-3</v>
      </c>
      <c r="F744" s="171"/>
      <c r="G744" s="171">
        <v>741</v>
      </c>
      <c r="H744" s="186">
        <f t="shared" ca="1" si="26"/>
        <v>2.6065191500946029E-2</v>
      </c>
    </row>
    <row r="745" spans="2:8">
      <c r="B745" s="36">
        <v>42501</v>
      </c>
      <c r="C745" s="185">
        <v>909.55</v>
      </c>
      <c r="D745" s="185">
        <f t="shared" si="25"/>
        <v>-0.70654470954524184</v>
      </c>
      <c r="E745" s="185">
        <v>7.0305580159432113E-3</v>
      </c>
      <c r="F745" s="171"/>
      <c r="G745" s="171">
        <v>742</v>
      </c>
      <c r="H745" s="186">
        <f t="shared" ca="1" si="26"/>
        <v>-1.3515756957870748E-2</v>
      </c>
    </row>
    <row r="746" spans="2:8">
      <c r="B746" s="36">
        <v>45573</v>
      </c>
      <c r="C746" s="185">
        <v>3099.45</v>
      </c>
      <c r="D746" s="185">
        <f t="shared" si="25"/>
        <v>1.8759858958893938</v>
      </c>
      <c r="E746" s="185">
        <v>7.0178858618840777E-3</v>
      </c>
      <c r="F746" s="171"/>
      <c r="G746" s="171">
        <v>743</v>
      </c>
      <c r="H746" s="186">
        <f t="shared" ca="1" si="26"/>
        <v>-7.9764221434373405E-3</v>
      </c>
    </row>
    <row r="747" spans="2:8">
      <c r="B747" s="36">
        <v>42825</v>
      </c>
      <c r="C747" s="185">
        <v>1077.7</v>
      </c>
      <c r="D747" s="185">
        <f t="shared" si="25"/>
        <v>-5.7254078642347932E-2</v>
      </c>
      <c r="E747" s="185">
        <v>7.0080358811437111E-3</v>
      </c>
      <c r="F747" s="171"/>
      <c r="G747" s="171">
        <v>744</v>
      </c>
      <c r="H747" s="186">
        <f t="shared" ca="1" si="26"/>
        <v>-4.9323610817456265E-3</v>
      </c>
    </row>
    <row r="748" spans="2:8">
      <c r="B748" s="36">
        <v>42965</v>
      </c>
      <c r="C748" s="185">
        <v>1143.1500000000001</v>
      </c>
      <c r="D748" s="185">
        <f t="shared" si="25"/>
        <v>-0.36749937754170464</v>
      </c>
      <c r="E748" s="185">
        <v>7.0031712473573333E-3</v>
      </c>
      <c r="F748" s="171"/>
      <c r="G748" s="171">
        <v>745</v>
      </c>
      <c r="H748" s="186">
        <f t="shared" ca="1" si="26"/>
        <v>7.7868880291340524E-3</v>
      </c>
    </row>
    <row r="749" spans="2:8">
      <c r="B749" s="36">
        <v>43753</v>
      </c>
      <c r="C749" s="185">
        <v>1807.35</v>
      </c>
      <c r="D749" s="185">
        <f t="shared" si="25"/>
        <v>-0.46978320180714056</v>
      </c>
      <c r="E749" s="185">
        <v>6.9924225540449938E-3</v>
      </c>
      <c r="F749" s="171"/>
      <c r="G749" s="171">
        <v>746</v>
      </c>
      <c r="H749" s="186">
        <f t="shared" ca="1" si="26"/>
        <v>-3.3374049369572424E-2</v>
      </c>
    </row>
    <row r="750" spans="2:8">
      <c r="B750" s="36">
        <v>45113</v>
      </c>
      <c r="C750" s="185">
        <v>3408.7</v>
      </c>
      <c r="D750" s="185">
        <f t="shared" si="25"/>
        <v>0.36544624258932851</v>
      </c>
      <c r="E750" s="185">
        <v>6.986602856678523E-3</v>
      </c>
      <c r="F750" s="171"/>
      <c r="G750" s="171">
        <v>747</v>
      </c>
      <c r="H750" s="186">
        <f t="shared" ca="1" si="26"/>
        <v>-7.3200090669003253E-3</v>
      </c>
    </row>
    <row r="751" spans="2:8">
      <c r="B751" s="36">
        <v>45880</v>
      </c>
      <c r="C751" s="185">
        <v>2496.4</v>
      </c>
      <c r="D751" s="185">
        <f t="shared" si="25"/>
        <v>-0.18282104160528986</v>
      </c>
      <c r="E751" s="185">
        <v>6.9783389133153901E-3</v>
      </c>
      <c r="F751" s="171"/>
      <c r="G751" s="171">
        <v>748</v>
      </c>
      <c r="H751" s="186">
        <f t="shared" ca="1" si="26"/>
        <v>9.8110928276085099E-3</v>
      </c>
    </row>
    <row r="752" spans="2:8">
      <c r="B752" s="36">
        <v>45520</v>
      </c>
      <c r="C752" s="185">
        <v>3054.9</v>
      </c>
      <c r="D752" s="185">
        <f t="shared" si="25"/>
        <v>1.0939031495253435</v>
      </c>
      <c r="E752" s="185">
        <v>6.9715698393078172E-3</v>
      </c>
      <c r="F752" s="171"/>
      <c r="G752" s="171">
        <v>749</v>
      </c>
      <c r="H752" s="186">
        <f t="shared" ca="1" si="26"/>
        <v>8.1032221852391142E-3</v>
      </c>
    </row>
    <row r="753" spans="2:8">
      <c r="B753" s="36">
        <v>43581</v>
      </c>
      <c r="C753" s="185">
        <v>1458.95</v>
      </c>
      <c r="D753" s="185">
        <f t="shared" si="25"/>
        <v>-0.3366599981813222</v>
      </c>
      <c r="E753" s="185">
        <v>6.9710460020016816E-3</v>
      </c>
      <c r="F753" s="171"/>
      <c r="G753" s="171">
        <v>750</v>
      </c>
      <c r="H753" s="186">
        <f t="shared" ca="1" si="26"/>
        <v>-8.5308940344929127E-3</v>
      </c>
    </row>
    <row r="754" spans="2:8">
      <c r="B754" s="36">
        <v>46101</v>
      </c>
      <c r="C754" s="185">
        <v>2199.4</v>
      </c>
      <c r="D754" s="185">
        <f t="shared" si="25"/>
        <v>-0.33364640298123094</v>
      </c>
      <c r="E754" s="185">
        <v>6.9590696822636544E-3</v>
      </c>
      <c r="F754" s="171"/>
      <c r="G754" s="171">
        <v>751</v>
      </c>
      <c r="H754" s="186">
        <f t="shared" ca="1" si="26"/>
        <v>1.6328132875505618E-2</v>
      </c>
    </row>
    <row r="755" spans="2:8">
      <c r="B755" s="36">
        <v>45554</v>
      </c>
      <c r="C755" s="185">
        <v>3300.65</v>
      </c>
      <c r="D755" s="185">
        <f t="shared" si="25"/>
        <v>0.86514282485237193</v>
      </c>
      <c r="E755" s="185">
        <v>6.9557789404640791E-3</v>
      </c>
      <c r="F755" s="171"/>
      <c r="G755" s="171">
        <v>752</v>
      </c>
      <c r="H755" s="186">
        <f t="shared" ca="1" si="26"/>
        <v>1.3302401114885018E-2</v>
      </c>
    </row>
    <row r="756" spans="2:8">
      <c r="B756" s="36">
        <v>43734</v>
      </c>
      <c r="C756" s="185">
        <v>1769.65</v>
      </c>
      <c r="D756" s="185">
        <f t="shared" si="25"/>
        <v>0.3707060144843346</v>
      </c>
      <c r="E756" s="185">
        <v>6.9418760135423743E-3</v>
      </c>
      <c r="F756" s="171"/>
      <c r="G756" s="171">
        <v>753</v>
      </c>
      <c r="H756" s="186">
        <f t="shared" ca="1" si="26"/>
        <v>-2.5106278865343495E-3</v>
      </c>
    </row>
    <row r="757" spans="2:8">
      <c r="B757" s="36">
        <v>43417</v>
      </c>
      <c r="C757" s="185">
        <v>1291.05</v>
      </c>
      <c r="D757" s="185">
        <f t="shared" si="25"/>
        <v>-0.56780597214783068</v>
      </c>
      <c r="E757" s="185">
        <v>6.9414655071558425E-3</v>
      </c>
      <c r="F757" s="171"/>
      <c r="G757" s="171">
        <v>754</v>
      </c>
      <c r="H757" s="186">
        <f t="shared" ca="1" si="26"/>
        <v>-3.6301112878641285E-3</v>
      </c>
    </row>
    <row r="758" spans="2:8">
      <c r="B758" s="36">
        <v>44635</v>
      </c>
      <c r="C758" s="185">
        <v>2987.2</v>
      </c>
      <c r="D758" s="185">
        <f t="shared" si="25"/>
        <v>1.8118793241398787</v>
      </c>
      <c r="E758" s="185">
        <v>6.9270052078943345E-3</v>
      </c>
      <c r="F758" s="171"/>
      <c r="G758" s="171">
        <v>755</v>
      </c>
      <c r="H758" s="186">
        <f t="shared" ca="1" si="26"/>
        <v>-6.4031481622600216E-4</v>
      </c>
    </row>
    <row r="759" spans="2:8">
      <c r="B759" s="36">
        <v>42845</v>
      </c>
      <c r="C759" s="185">
        <v>1062.3499999999999</v>
      </c>
      <c r="D759" s="185">
        <f t="shared" si="25"/>
        <v>-0.65167139367509874</v>
      </c>
      <c r="E759" s="185">
        <v>6.9191033600302879E-3</v>
      </c>
      <c r="F759" s="171"/>
      <c r="G759" s="171">
        <v>756</v>
      </c>
      <c r="H759" s="186">
        <f t="shared" ca="1" si="26"/>
        <v>5.1832457674990682E-3</v>
      </c>
    </row>
    <row r="760" spans="2:8">
      <c r="B760" s="36">
        <v>45055</v>
      </c>
      <c r="C760" s="185">
        <v>3049.85</v>
      </c>
      <c r="D760" s="185">
        <f t="shared" si="25"/>
        <v>8.3793820294593105E-2</v>
      </c>
      <c r="E760" s="185">
        <v>6.9167024332265235E-3</v>
      </c>
      <c r="F760" s="171"/>
      <c r="G760" s="171">
        <v>757</v>
      </c>
      <c r="H760" s="186">
        <f t="shared" ca="1" si="26"/>
        <v>-1.4532362612134146E-2</v>
      </c>
    </row>
    <row r="761" spans="2:8">
      <c r="B761" s="36">
        <v>44973</v>
      </c>
      <c r="C761" s="185">
        <v>2814.05</v>
      </c>
      <c r="D761" s="185">
        <f t="shared" si="25"/>
        <v>2.2855224751897256</v>
      </c>
      <c r="E761" s="185">
        <v>6.9058055282226255E-3</v>
      </c>
      <c r="F761" s="171"/>
      <c r="G761" s="171">
        <v>758</v>
      </c>
      <c r="H761" s="186">
        <f t="shared" ca="1" si="26"/>
        <v>1.0569159641217751E-2</v>
      </c>
    </row>
    <row r="762" spans="2:8">
      <c r="B762" s="36">
        <v>42332</v>
      </c>
      <c r="C762" s="185">
        <v>856.5</v>
      </c>
      <c r="D762" s="185">
        <f t="shared" si="25"/>
        <v>-0.57788127448806093</v>
      </c>
      <c r="E762" s="185">
        <v>6.8770939869511822E-3</v>
      </c>
      <c r="F762" s="171"/>
      <c r="G762" s="171">
        <v>759</v>
      </c>
      <c r="H762" s="186">
        <f t="shared" ca="1" si="26"/>
        <v>2.2392669033696407E-2</v>
      </c>
    </row>
    <row r="763" spans="2:8">
      <c r="B763" s="36">
        <v>44092</v>
      </c>
      <c r="C763" s="185">
        <v>2029.05</v>
      </c>
      <c r="D763" s="185">
        <f t="shared" si="25"/>
        <v>-0.12510779579165224</v>
      </c>
      <c r="E763" s="185">
        <v>6.8727669710202006E-3</v>
      </c>
      <c r="F763" s="171"/>
      <c r="G763" s="171">
        <v>760</v>
      </c>
      <c r="H763" s="186">
        <f t="shared" ca="1" si="26"/>
        <v>-8.023711835009887E-3</v>
      </c>
    </row>
    <row r="764" spans="2:8">
      <c r="B764" s="36">
        <v>45800</v>
      </c>
      <c r="C764" s="185">
        <v>2319.1999999999998</v>
      </c>
      <c r="D764" s="185">
        <f t="shared" si="25"/>
        <v>-0.23427156417664058</v>
      </c>
      <c r="E764" s="185">
        <v>6.8594251975339611E-3</v>
      </c>
      <c r="F764" s="171"/>
      <c r="G764" s="171">
        <v>761</v>
      </c>
      <c r="H764" s="186">
        <f t="shared" ca="1" si="26"/>
        <v>-1.3678214102438295E-2</v>
      </c>
    </row>
    <row r="765" spans="2:8">
      <c r="B765" s="36">
        <v>44378</v>
      </c>
      <c r="C765" s="185">
        <v>3028.75</v>
      </c>
      <c r="D765" s="185">
        <f t="shared" si="25"/>
        <v>0.35538798890181694</v>
      </c>
      <c r="E765" s="185">
        <v>6.8313277042750427E-3</v>
      </c>
      <c r="F765" s="171"/>
      <c r="G765" s="171">
        <v>762</v>
      </c>
      <c r="H765" s="186">
        <f t="shared" ca="1" si="26"/>
        <v>-2.5814384508733388E-3</v>
      </c>
    </row>
    <row r="766" spans="2:8">
      <c r="B766" s="36">
        <v>44166</v>
      </c>
      <c r="C766" s="185">
        <v>2234.6</v>
      </c>
      <c r="D766" s="185">
        <f t="shared" si="25"/>
        <v>-0.29031028678502235</v>
      </c>
      <c r="E766" s="185">
        <v>6.8260154542792552E-3</v>
      </c>
      <c r="F766" s="171"/>
      <c r="G766" s="171">
        <v>763</v>
      </c>
      <c r="H766" s="186">
        <f t="shared" ca="1" si="26"/>
        <v>-4.4441385782858648E-3</v>
      </c>
    </row>
    <row r="767" spans="2:8">
      <c r="B767" s="36">
        <v>44678</v>
      </c>
      <c r="C767" s="185">
        <v>3148.7</v>
      </c>
      <c r="D767" s="185">
        <f t="shared" si="25"/>
        <v>-3.2032955209198029E-2</v>
      </c>
      <c r="E767" s="185">
        <v>6.8107693291551211E-3</v>
      </c>
      <c r="F767" s="171"/>
      <c r="G767" s="171">
        <v>764</v>
      </c>
      <c r="H767" s="186">
        <f t="shared" ca="1" si="26"/>
        <v>-1.0385273148189334E-2</v>
      </c>
    </row>
    <row r="768" spans="2:8">
      <c r="B768" s="36">
        <v>45176</v>
      </c>
      <c r="C768" s="185">
        <v>3252.9</v>
      </c>
      <c r="D768" s="185">
        <f t="shared" si="25"/>
        <v>0.16069294035788831</v>
      </c>
      <c r="E768" s="185">
        <v>6.8092481970967837E-3</v>
      </c>
      <c r="F768" s="171"/>
      <c r="G768" s="171">
        <v>765</v>
      </c>
      <c r="H768" s="186">
        <f t="shared" ca="1" si="26"/>
        <v>-1.5910263832602509E-2</v>
      </c>
    </row>
    <row r="769" spans="2:8">
      <c r="B769" s="36">
        <v>44746</v>
      </c>
      <c r="C769" s="185">
        <v>2802.55</v>
      </c>
      <c r="D769" s="185">
        <f t="shared" si="25"/>
        <v>2.4357606963344369</v>
      </c>
      <c r="E769" s="185">
        <v>6.7896466869039173E-3</v>
      </c>
      <c r="F769" s="171"/>
      <c r="G769" s="171">
        <v>766</v>
      </c>
      <c r="H769" s="186">
        <f t="shared" ca="1" si="26"/>
        <v>-9.0689065448168963E-3</v>
      </c>
    </row>
    <row r="770" spans="2:8">
      <c r="B770" s="36">
        <v>42258</v>
      </c>
      <c r="C770" s="185">
        <v>815.7</v>
      </c>
      <c r="D770" s="185">
        <f t="shared" si="25"/>
        <v>-0.29532201632758837</v>
      </c>
      <c r="E770" s="185">
        <v>6.7884472969637127E-3</v>
      </c>
      <c r="F770" s="171"/>
      <c r="G770" s="171">
        <v>767</v>
      </c>
      <c r="H770" s="186">
        <f t="shared" ca="1" si="26"/>
        <v>-1.1894631454436182E-2</v>
      </c>
    </row>
    <row r="771" spans="2:8">
      <c r="B771" s="36">
        <v>43199</v>
      </c>
      <c r="C771" s="185">
        <v>1157.55</v>
      </c>
      <c r="D771" s="185">
        <f t="shared" si="25"/>
        <v>-0.55000291562190218</v>
      </c>
      <c r="E771" s="185">
        <v>6.7840834964122236E-3</v>
      </c>
      <c r="F771" s="171"/>
      <c r="G771" s="171">
        <v>768</v>
      </c>
      <c r="H771" s="186">
        <f t="shared" ca="1" si="26"/>
        <v>7.5462050029031719E-3</v>
      </c>
    </row>
    <row r="772" spans="2:8">
      <c r="B772" s="36">
        <v>44313</v>
      </c>
      <c r="C772" s="185">
        <v>2572.35</v>
      </c>
      <c r="D772" s="185">
        <f t="shared" ref="D772:D835" si="27">(C772-C773)/C773</f>
        <v>-3.5163722290986833E-2</v>
      </c>
      <c r="E772" s="185">
        <v>6.7709046789689933E-3</v>
      </c>
      <c r="F772" s="171"/>
      <c r="G772" s="171">
        <v>769</v>
      </c>
      <c r="H772" s="186">
        <f t="shared" ca="1" si="26"/>
        <v>1.5791249844446038E-2</v>
      </c>
    </row>
    <row r="773" spans="2:8">
      <c r="B773" s="36">
        <v>46202</v>
      </c>
      <c r="C773" s="185">
        <v>2666.1</v>
      </c>
      <c r="D773" s="185">
        <f t="shared" si="27"/>
        <v>0.19406126836259391</v>
      </c>
      <c r="E773" s="185">
        <v>6.7593082093497818E-3</v>
      </c>
      <c r="F773" s="171"/>
      <c r="G773" s="171">
        <v>770</v>
      </c>
      <c r="H773" s="186">
        <f t="shared" ref="H773:H836" ca="1" si="28">_xlfn.NORM.INV(RAND(),N$6,N$7)</f>
        <v>-3.3144811771837986E-2</v>
      </c>
    </row>
    <row r="774" spans="2:8">
      <c r="B774" s="36">
        <v>44144</v>
      </c>
      <c r="C774" s="185">
        <v>2232.8000000000002</v>
      </c>
      <c r="D774" s="185">
        <f t="shared" si="27"/>
        <v>-0.17795408942805069</v>
      </c>
      <c r="E774" s="185">
        <v>6.7407624501207358E-3</v>
      </c>
      <c r="F774" s="171"/>
      <c r="G774" s="171">
        <v>771</v>
      </c>
      <c r="H774" s="186">
        <f t="shared" ca="1" si="28"/>
        <v>-1.2601953371811542E-2</v>
      </c>
    </row>
    <row r="775" spans="2:8">
      <c r="B775" s="36">
        <v>44722</v>
      </c>
      <c r="C775" s="185">
        <v>2716.15</v>
      </c>
      <c r="D775" s="185">
        <f t="shared" si="27"/>
        <v>2.2893127459884952</v>
      </c>
      <c r="E775" s="185">
        <v>6.7272053372869128E-3</v>
      </c>
      <c r="F775" s="171"/>
      <c r="G775" s="171">
        <v>772</v>
      </c>
      <c r="H775" s="186">
        <f t="shared" ca="1" si="28"/>
        <v>1.8024436372590082E-2</v>
      </c>
    </row>
    <row r="776" spans="2:8">
      <c r="B776" s="36">
        <v>42199</v>
      </c>
      <c r="C776" s="185">
        <v>825.75</v>
      </c>
      <c r="D776" s="185">
        <f t="shared" si="27"/>
        <v>-0.67131711977072805</v>
      </c>
      <c r="E776" s="185">
        <v>6.705272782688205E-3</v>
      </c>
      <c r="F776" s="171"/>
      <c r="G776" s="171">
        <v>773</v>
      </c>
      <c r="H776" s="186">
        <f t="shared" ca="1" si="28"/>
        <v>1.1115562533719425E-2</v>
      </c>
    </row>
    <row r="777" spans="2:8">
      <c r="B777" s="36">
        <v>45876</v>
      </c>
      <c r="C777" s="185">
        <v>2512.3000000000002</v>
      </c>
      <c r="D777" s="185">
        <f t="shared" si="27"/>
        <v>1.1133964248159833</v>
      </c>
      <c r="E777" s="185">
        <v>6.6917775284501815E-3</v>
      </c>
      <c r="F777" s="171"/>
      <c r="G777" s="171">
        <v>774</v>
      </c>
      <c r="H777" s="186">
        <f t="shared" ca="1" si="28"/>
        <v>8.2144421094357545E-3</v>
      </c>
    </row>
    <row r="778" spans="2:8">
      <c r="B778" s="36">
        <v>43111</v>
      </c>
      <c r="C778" s="185">
        <v>1188.75</v>
      </c>
      <c r="D778" s="185">
        <f t="shared" si="27"/>
        <v>-0.49083394012078635</v>
      </c>
      <c r="E778" s="185">
        <v>6.690096117203787E-3</v>
      </c>
      <c r="F778" s="171"/>
      <c r="G778" s="171">
        <v>775</v>
      </c>
      <c r="H778" s="186">
        <f t="shared" ca="1" si="28"/>
        <v>4.4502393695924937E-2</v>
      </c>
    </row>
    <row r="779" spans="2:8">
      <c r="B779" s="36">
        <v>45803</v>
      </c>
      <c r="C779" s="185">
        <v>2334.6999999999998</v>
      </c>
      <c r="D779" s="185">
        <f t="shared" si="27"/>
        <v>-3.4410025228504185E-2</v>
      </c>
      <c r="E779" s="185">
        <v>6.6833390824422223E-3</v>
      </c>
      <c r="F779" s="171"/>
      <c r="G779" s="171">
        <v>776</v>
      </c>
      <c r="H779" s="186">
        <f t="shared" ca="1" si="28"/>
        <v>1.5950401038728437E-2</v>
      </c>
    </row>
    <row r="780" spans="2:8">
      <c r="B780" s="36">
        <v>45756</v>
      </c>
      <c r="C780" s="185">
        <v>2417.9</v>
      </c>
      <c r="D780" s="185">
        <f t="shared" si="27"/>
        <v>0.81347033675841907</v>
      </c>
      <c r="E780" s="185">
        <v>6.6613930638244724E-3</v>
      </c>
      <c r="F780" s="171"/>
      <c r="G780" s="171">
        <v>777</v>
      </c>
      <c r="H780" s="186">
        <f t="shared" ca="1" si="28"/>
        <v>4.334673309660011E-3</v>
      </c>
    </row>
    <row r="781" spans="2:8">
      <c r="B781" s="36">
        <v>43657</v>
      </c>
      <c r="C781" s="185">
        <v>1333.3</v>
      </c>
      <c r="D781" s="185">
        <f t="shared" si="27"/>
        <v>-0.58239107965045256</v>
      </c>
      <c r="E781" s="185">
        <v>6.6440166100414904E-3</v>
      </c>
      <c r="F781" s="171"/>
      <c r="G781" s="171">
        <v>778</v>
      </c>
      <c r="H781" s="186">
        <f t="shared" ca="1" si="28"/>
        <v>1.1367698677273862E-3</v>
      </c>
    </row>
    <row r="782" spans="2:8">
      <c r="B782" s="36">
        <v>45159</v>
      </c>
      <c r="C782" s="185">
        <v>3192.7</v>
      </c>
      <c r="D782" s="185">
        <f t="shared" si="27"/>
        <v>1.0289790600870643</v>
      </c>
      <c r="E782" s="185">
        <v>6.6369239985495645E-3</v>
      </c>
      <c r="F782" s="171"/>
      <c r="G782" s="171">
        <v>779</v>
      </c>
      <c r="H782" s="186">
        <f t="shared" ca="1" si="28"/>
        <v>2.3171517657280365E-2</v>
      </c>
    </row>
    <row r="783" spans="2:8">
      <c r="B783" s="36">
        <v>43685</v>
      </c>
      <c r="C783" s="185">
        <v>1573.55</v>
      </c>
      <c r="D783" s="185">
        <f t="shared" si="27"/>
        <v>-0.47918114718829646</v>
      </c>
      <c r="E783" s="185">
        <v>6.6210337768679052E-3</v>
      </c>
      <c r="F783" s="171"/>
      <c r="G783" s="171">
        <v>780</v>
      </c>
      <c r="H783" s="186">
        <f t="shared" ca="1" si="28"/>
        <v>6.5898024189089618E-3</v>
      </c>
    </row>
    <row r="784" spans="2:8">
      <c r="B784" s="36">
        <v>45484</v>
      </c>
      <c r="C784" s="185">
        <v>3021.3</v>
      </c>
      <c r="D784" s="185">
        <f t="shared" si="27"/>
        <v>0.94539776568687439</v>
      </c>
      <c r="E784" s="185">
        <v>6.5799337009211905E-3</v>
      </c>
      <c r="F784" s="171"/>
      <c r="G784" s="171">
        <v>781</v>
      </c>
      <c r="H784" s="186">
        <f t="shared" ca="1" si="28"/>
        <v>-1.2505264085588568E-2</v>
      </c>
    </row>
    <row r="785" spans="2:8">
      <c r="B785" s="36">
        <v>43721</v>
      </c>
      <c r="C785" s="185">
        <v>1553.05</v>
      </c>
      <c r="D785" s="185">
        <f t="shared" si="27"/>
        <v>0.33693453277665375</v>
      </c>
      <c r="E785" s="185">
        <v>6.5459023299523052E-3</v>
      </c>
      <c r="F785" s="171"/>
      <c r="G785" s="171">
        <v>782</v>
      </c>
      <c r="H785" s="186">
        <f t="shared" ca="1" si="28"/>
        <v>4.4053558993672913E-3</v>
      </c>
    </row>
    <row r="786" spans="2:8">
      <c r="B786" s="36">
        <v>43014</v>
      </c>
      <c r="C786" s="185">
        <v>1161.6500000000001</v>
      </c>
      <c r="D786" s="185">
        <f t="shared" si="27"/>
        <v>-0.6480221794658142</v>
      </c>
      <c r="E786" s="185">
        <v>6.5418941166278336E-3</v>
      </c>
      <c r="F786" s="171"/>
      <c r="G786" s="171">
        <v>783</v>
      </c>
      <c r="H786" s="186">
        <f t="shared" ca="1" si="28"/>
        <v>-1.4500420769203723E-2</v>
      </c>
    </row>
    <row r="787" spans="2:8">
      <c r="B787" s="36">
        <v>45092</v>
      </c>
      <c r="C787" s="185">
        <v>3300.35</v>
      </c>
      <c r="D787" s="185">
        <f t="shared" si="27"/>
        <v>0.18610961365678344</v>
      </c>
      <c r="E787" s="185">
        <v>6.5111314425129333E-3</v>
      </c>
      <c r="F787" s="171"/>
      <c r="G787" s="171">
        <v>784</v>
      </c>
      <c r="H787" s="186">
        <f t="shared" ca="1" si="28"/>
        <v>-6.9000498258179532E-3</v>
      </c>
    </row>
    <row r="788" spans="2:8">
      <c r="B788" s="36">
        <v>44197</v>
      </c>
      <c r="C788" s="185">
        <v>2782.5</v>
      </c>
      <c r="D788" s="185">
        <f t="shared" si="27"/>
        <v>-0.13821138211382114</v>
      </c>
      <c r="E788" s="185">
        <v>6.5111231687466084E-3</v>
      </c>
      <c r="F788" s="171"/>
      <c r="G788" s="171">
        <v>785</v>
      </c>
      <c r="H788" s="186">
        <f t="shared" ca="1" si="28"/>
        <v>1.1252681177997034E-2</v>
      </c>
    </row>
    <row r="789" spans="2:8">
      <c r="B789" s="36">
        <v>44852</v>
      </c>
      <c r="C789" s="185">
        <v>3228.75</v>
      </c>
      <c r="D789" s="185">
        <f t="shared" si="27"/>
        <v>1.2119271083099266</v>
      </c>
      <c r="E789" s="185">
        <v>6.4838915818513955E-3</v>
      </c>
      <c r="F789" s="171"/>
      <c r="G789" s="171">
        <v>786</v>
      </c>
      <c r="H789" s="186">
        <f t="shared" ca="1" si="28"/>
        <v>-6.8395247465462281E-3</v>
      </c>
    </row>
    <row r="790" spans="2:8">
      <c r="B790" s="36">
        <v>43543</v>
      </c>
      <c r="C790" s="185">
        <v>1459.7</v>
      </c>
      <c r="D790" s="185">
        <f t="shared" si="27"/>
        <v>0.26151585861204751</v>
      </c>
      <c r="E790" s="185">
        <v>6.4814176377301878E-3</v>
      </c>
      <c r="F790" s="171"/>
      <c r="G790" s="171">
        <v>787</v>
      </c>
      <c r="H790" s="186">
        <f t="shared" ca="1" si="28"/>
        <v>1.7798943138591386E-2</v>
      </c>
    </row>
    <row r="791" spans="2:8">
      <c r="B791" s="36">
        <v>42956</v>
      </c>
      <c r="C791" s="185">
        <v>1157.0999999999999</v>
      </c>
      <c r="D791" s="185">
        <f t="shared" si="27"/>
        <v>-0.16815240833932429</v>
      </c>
      <c r="E791" s="185">
        <v>6.4802331144259706E-3</v>
      </c>
      <c r="F791" s="171"/>
      <c r="G791" s="171">
        <v>788</v>
      </c>
      <c r="H791" s="186">
        <f t="shared" ca="1" si="28"/>
        <v>1.1651941096743444E-2</v>
      </c>
    </row>
    <row r="792" spans="2:8">
      <c r="B792" s="36">
        <v>43299</v>
      </c>
      <c r="C792" s="185">
        <v>1391</v>
      </c>
      <c r="D792" s="185">
        <f t="shared" si="27"/>
        <v>-0.56291536394915864</v>
      </c>
      <c r="E792" s="185">
        <v>6.475887268912156E-3</v>
      </c>
      <c r="F792" s="171"/>
      <c r="G792" s="171">
        <v>789</v>
      </c>
      <c r="H792" s="186">
        <f t="shared" ca="1" si="28"/>
        <v>2.0419200440267942E-2</v>
      </c>
    </row>
    <row r="793" spans="2:8">
      <c r="B793" s="36">
        <v>44900</v>
      </c>
      <c r="C793" s="185">
        <v>3182.45</v>
      </c>
      <c r="D793" s="185">
        <f t="shared" si="27"/>
        <v>1.8000967841274031</v>
      </c>
      <c r="E793" s="185">
        <v>6.4674256799493414E-3</v>
      </c>
      <c r="F793" s="171"/>
      <c r="G793" s="171">
        <v>790</v>
      </c>
      <c r="H793" s="186">
        <f t="shared" ca="1" si="28"/>
        <v>-5.5017916075175708E-3</v>
      </c>
    </row>
    <row r="794" spans="2:8">
      <c r="B794" s="36">
        <v>43171</v>
      </c>
      <c r="C794" s="185">
        <v>1136.55</v>
      </c>
      <c r="D794" s="185">
        <f t="shared" si="27"/>
        <v>9.5998071359691378E-2</v>
      </c>
      <c r="E794" s="185">
        <v>6.4644675669691867E-3</v>
      </c>
      <c r="F794" s="171"/>
      <c r="G794" s="171">
        <v>791</v>
      </c>
      <c r="H794" s="186">
        <f t="shared" ca="1" si="28"/>
        <v>1.9521233709936171E-2</v>
      </c>
    </row>
    <row r="795" spans="2:8">
      <c r="B795" s="36">
        <v>42795</v>
      </c>
      <c r="C795" s="185">
        <v>1037</v>
      </c>
      <c r="D795" s="185">
        <f t="shared" si="27"/>
        <v>7.2361711427323065E-3</v>
      </c>
      <c r="E795" s="185">
        <v>6.4541175328772663E-3</v>
      </c>
      <c r="F795" s="171"/>
      <c r="G795" s="171">
        <v>792</v>
      </c>
      <c r="H795" s="186">
        <f t="shared" ca="1" si="28"/>
        <v>-4.2061237610573309E-3</v>
      </c>
    </row>
    <row r="796" spans="2:8">
      <c r="B796" s="36">
        <v>42566</v>
      </c>
      <c r="C796" s="185">
        <v>1029.55</v>
      </c>
      <c r="D796" s="185">
        <f t="shared" si="27"/>
        <v>-0.57554831794195249</v>
      </c>
      <c r="E796" s="185">
        <v>6.4519282467372877E-3</v>
      </c>
      <c r="F796" s="171"/>
      <c r="G796" s="171">
        <v>793</v>
      </c>
      <c r="H796" s="186">
        <f t="shared" ca="1" si="28"/>
        <v>-3.1386568580524148E-3</v>
      </c>
    </row>
    <row r="797" spans="2:8">
      <c r="B797" s="36">
        <v>46062</v>
      </c>
      <c r="C797" s="185">
        <v>2425.6</v>
      </c>
      <c r="D797" s="185">
        <f t="shared" si="27"/>
        <v>-0.31354181406537429</v>
      </c>
      <c r="E797" s="185">
        <v>6.4312684120990836E-3</v>
      </c>
      <c r="F797" s="171"/>
      <c r="G797" s="171">
        <v>794</v>
      </c>
      <c r="H797" s="186">
        <f t="shared" ca="1" si="28"/>
        <v>1.6684324503826758E-2</v>
      </c>
    </row>
    <row r="798" spans="2:8">
      <c r="B798" s="36">
        <v>44790</v>
      </c>
      <c r="C798" s="185">
        <v>3533.5</v>
      </c>
      <c r="D798" s="185">
        <f t="shared" si="27"/>
        <v>-5.0122490355644922E-3</v>
      </c>
      <c r="E798" s="185">
        <v>6.4084306465394475E-3</v>
      </c>
      <c r="F798" s="171"/>
      <c r="G798" s="171">
        <v>795</v>
      </c>
      <c r="H798" s="186">
        <f t="shared" ca="1" si="28"/>
        <v>-9.0499061620864171E-3</v>
      </c>
    </row>
    <row r="799" spans="2:8">
      <c r="B799" s="36">
        <v>45131</v>
      </c>
      <c r="C799" s="185">
        <v>3551.3</v>
      </c>
      <c r="D799" s="185">
        <f t="shared" si="27"/>
        <v>0.47198043604410195</v>
      </c>
      <c r="E799" s="185">
        <v>6.3903648600779827E-3</v>
      </c>
      <c r="F799" s="171"/>
      <c r="G799" s="171">
        <v>796</v>
      </c>
      <c r="H799" s="186">
        <f t="shared" ca="1" si="28"/>
        <v>4.1013677065177383E-3</v>
      </c>
    </row>
    <row r="800" spans="2:8">
      <c r="B800" s="36">
        <v>45854</v>
      </c>
      <c r="C800" s="185">
        <v>2412.6</v>
      </c>
      <c r="D800" s="185">
        <f t="shared" si="27"/>
        <v>-0.18060013245707882</v>
      </c>
      <c r="E800" s="185">
        <v>6.3821799524463882E-3</v>
      </c>
      <c r="F800" s="171"/>
      <c r="G800" s="171">
        <v>797</v>
      </c>
      <c r="H800" s="186">
        <f t="shared" ca="1" si="28"/>
        <v>1.8044280243646783E-2</v>
      </c>
    </row>
    <row r="801" spans="2:8">
      <c r="B801" s="36">
        <v>45474</v>
      </c>
      <c r="C801" s="185">
        <v>2944.35</v>
      </c>
      <c r="D801" s="185">
        <f t="shared" si="27"/>
        <v>-4.7182175622542649E-2</v>
      </c>
      <c r="E801" s="185">
        <v>6.3573442706997899E-3</v>
      </c>
      <c r="F801" s="171"/>
      <c r="G801" s="171">
        <v>798</v>
      </c>
      <c r="H801" s="186">
        <f t="shared" ca="1" si="28"/>
        <v>-2.4278562331470147E-3</v>
      </c>
    </row>
    <row r="802" spans="2:8">
      <c r="B802" s="36">
        <v>44914</v>
      </c>
      <c r="C802" s="185">
        <v>3090.15</v>
      </c>
      <c r="D802" s="185">
        <f t="shared" si="27"/>
        <v>0.216091773085929</v>
      </c>
      <c r="E802" s="185">
        <v>6.3176748351380253E-3</v>
      </c>
      <c r="F802" s="171"/>
      <c r="G802" s="171">
        <v>799</v>
      </c>
      <c r="H802" s="186">
        <f t="shared" ca="1" si="28"/>
        <v>3.3516139112218624E-2</v>
      </c>
    </row>
    <row r="803" spans="2:8">
      <c r="B803" s="36">
        <v>44175</v>
      </c>
      <c r="C803" s="185">
        <v>2541.0500000000002</v>
      </c>
      <c r="D803" s="185">
        <f t="shared" si="27"/>
        <v>1.3690564982286038</v>
      </c>
      <c r="E803" s="185">
        <v>6.3165815215240079E-3</v>
      </c>
      <c r="F803" s="171"/>
      <c r="G803" s="171">
        <v>800</v>
      </c>
      <c r="H803" s="186">
        <f t="shared" ca="1" si="28"/>
        <v>1.5831557122998073E-2</v>
      </c>
    </row>
    <row r="804" spans="2:8">
      <c r="B804" s="36">
        <v>42849</v>
      </c>
      <c r="C804" s="185">
        <v>1072.5999999999999</v>
      </c>
      <c r="D804" s="185">
        <f t="shared" si="27"/>
        <v>-0.32830259573535397</v>
      </c>
      <c r="E804" s="185">
        <v>6.2857678956748453E-3</v>
      </c>
      <c r="F804" s="171"/>
      <c r="G804" s="171">
        <v>801</v>
      </c>
      <c r="H804" s="186">
        <f t="shared" ca="1" si="28"/>
        <v>-5.7334861722347947E-4</v>
      </c>
    </row>
    <row r="805" spans="2:8">
      <c r="B805" s="36">
        <v>43697</v>
      </c>
      <c r="C805" s="185">
        <v>1596.85</v>
      </c>
      <c r="D805" s="185">
        <f t="shared" si="27"/>
        <v>-0.30485601723875244</v>
      </c>
      <c r="E805" s="185">
        <v>6.2700863318418407E-3</v>
      </c>
      <c r="F805" s="171"/>
      <c r="G805" s="171">
        <v>802</v>
      </c>
      <c r="H805" s="186">
        <f t="shared" ca="1" si="28"/>
        <v>3.3088902759671524E-2</v>
      </c>
    </row>
    <row r="806" spans="2:8">
      <c r="B806" s="36">
        <v>45656</v>
      </c>
      <c r="C806" s="185">
        <v>2297.15</v>
      </c>
      <c r="D806" s="185">
        <f t="shared" si="27"/>
        <v>-0.18281425090268763</v>
      </c>
      <c r="E806" s="185">
        <v>6.2640996999365631E-3</v>
      </c>
      <c r="F806" s="171"/>
      <c r="G806" s="171">
        <v>803</v>
      </c>
      <c r="H806" s="186">
        <f t="shared" ca="1" si="28"/>
        <v>-8.6224677231619765E-3</v>
      </c>
    </row>
    <row r="807" spans="2:8">
      <c r="B807" s="36">
        <v>44950</v>
      </c>
      <c r="C807" s="185">
        <v>2811.05</v>
      </c>
      <c r="D807" s="185">
        <f t="shared" si="27"/>
        <v>-0.11247750449910017</v>
      </c>
      <c r="E807" s="185">
        <v>6.2464203894617241E-3</v>
      </c>
      <c r="F807" s="171"/>
      <c r="G807" s="171">
        <v>804</v>
      </c>
      <c r="H807" s="186">
        <f t="shared" ca="1" si="28"/>
        <v>5.4443827793898315E-3</v>
      </c>
    </row>
    <row r="808" spans="2:8">
      <c r="B808" s="36">
        <v>45537</v>
      </c>
      <c r="C808" s="185">
        <v>3167.3</v>
      </c>
      <c r="D808" s="185">
        <f t="shared" si="27"/>
        <v>0.6800869934224486</v>
      </c>
      <c r="E808" s="185">
        <v>6.2427525296650166E-3</v>
      </c>
      <c r="F808" s="171"/>
      <c r="G808" s="171">
        <v>805</v>
      </c>
      <c r="H808" s="186">
        <f t="shared" ca="1" si="28"/>
        <v>-3.1548718866373851E-2</v>
      </c>
    </row>
    <row r="809" spans="2:8">
      <c r="B809" s="36">
        <v>43901</v>
      </c>
      <c r="C809" s="185">
        <v>1885.2</v>
      </c>
      <c r="D809" s="185">
        <f t="shared" si="27"/>
        <v>0.65013786161319964</v>
      </c>
      <c r="E809" s="185">
        <v>6.2181420298364556E-3</v>
      </c>
      <c r="F809" s="171"/>
      <c r="G809" s="171">
        <v>806</v>
      </c>
      <c r="H809" s="186">
        <f t="shared" ca="1" si="28"/>
        <v>-1.5601336846411858E-2</v>
      </c>
    </row>
    <row r="810" spans="2:8">
      <c r="B810" s="36">
        <v>43147</v>
      </c>
      <c r="C810" s="185">
        <v>1142.45</v>
      </c>
      <c r="D810" s="185">
        <f t="shared" si="27"/>
        <v>-0.64771816219549805</v>
      </c>
      <c r="E810" s="185">
        <v>6.2092654571075864E-3</v>
      </c>
      <c r="F810" s="171"/>
      <c r="G810" s="171">
        <v>807</v>
      </c>
      <c r="H810" s="186">
        <f t="shared" ca="1" si="28"/>
        <v>7.2121268234732428E-3</v>
      </c>
    </row>
    <row r="811" spans="2:8">
      <c r="B811" s="36">
        <v>44615</v>
      </c>
      <c r="C811" s="185">
        <v>3243</v>
      </c>
      <c r="D811" s="185">
        <f t="shared" si="27"/>
        <v>2.7286576602471975</v>
      </c>
      <c r="E811" s="185">
        <v>6.2053986968662739E-3</v>
      </c>
      <c r="F811" s="171"/>
      <c r="G811" s="171">
        <v>808</v>
      </c>
      <c r="H811" s="186">
        <f t="shared" ca="1" si="28"/>
        <v>2.6542141898324004E-2</v>
      </c>
    </row>
    <row r="812" spans="2:8">
      <c r="B812" s="36">
        <v>42472</v>
      </c>
      <c r="C812" s="185">
        <v>869.75</v>
      </c>
      <c r="D812" s="185">
        <f t="shared" si="27"/>
        <v>-0.58642415596766528</v>
      </c>
      <c r="E812" s="185">
        <v>6.189264229523395E-3</v>
      </c>
      <c r="F812" s="171"/>
      <c r="G812" s="171">
        <v>809</v>
      </c>
      <c r="H812" s="186">
        <f t="shared" ca="1" si="28"/>
        <v>2.5800252194460773E-2</v>
      </c>
    </row>
    <row r="813" spans="2:8">
      <c r="B813" s="36">
        <v>44111</v>
      </c>
      <c r="C813" s="185">
        <v>2103</v>
      </c>
      <c r="D813" s="185">
        <f t="shared" si="27"/>
        <v>1.7594803831518173</v>
      </c>
      <c r="E813" s="185">
        <v>6.1719534950481275E-3</v>
      </c>
      <c r="F813" s="171"/>
      <c r="G813" s="171">
        <v>810</v>
      </c>
      <c r="H813" s="186">
        <f t="shared" ca="1" si="28"/>
        <v>3.3547648989732128E-3</v>
      </c>
    </row>
    <row r="814" spans="2:8">
      <c r="B814" s="36">
        <v>42186</v>
      </c>
      <c r="C814" s="185">
        <v>762.1</v>
      </c>
      <c r="D814" s="185">
        <f t="shared" si="27"/>
        <v>-0.3417972967137366</v>
      </c>
      <c r="E814" s="185">
        <v>6.1390190771667789E-3</v>
      </c>
      <c r="F814" s="171"/>
      <c r="G814" s="171">
        <v>811</v>
      </c>
      <c r="H814" s="186">
        <f t="shared" ca="1" si="28"/>
        <v>-1.5727646397415636E-2</v>
      </c>
    </row>
    <row r="815" spans="2:8">
      <c r="B815" s="36">
        <v>42887</v>
      </c>
      <c r="C815" s="185">
        <v>1157.8499999999999</v>
      </c>
      <c r="D815" s="185">
        <f t="shared" si="27"/>
        <v>-0.24643670680117155</v>
      </c>
      <c r="E815" s="185">
        <v>6.1261730969759771E-3</v>
      </c>
      <c r="F815" s="171"/>
      <c r="G815" s="171">
        <v>812</v>
      </c>
      <c r="H815" s="186">
        <f t="shared" ca="1" si="28"/>
        <v>3.9713060273461687E-3</v>
      </c>
    </row>
    <row r="816" spans="2:8">
      <c r="B816" s="36">
        <v>43714</v>
      </c>
      <c r="C816" s="185">
        <v>1536.5</v>
      </c>
      <c r="D816" s="185">
        <f t="shared" si="27"/>
        <v>-0.53483795770703724</v>
      </c>
      <c r="E816" s="185">
        <v>6.1225157974003266E-3</v>
      </c>
      <c r="F816" s="171"/>
      <c r="G816" s="171">
        <v>813</v>
      </c>
      <c r="H816" s="186">
        <f t="shared" ca="1" si="28"/>
        <v>-1.4564057201366819E-2</v>
      </c>
    </row>
    <row r="817" spans="2:8">
      <c r="B817" s="36">
        <v>45301</v>
      </c>
      <c r="C817" s="185">
        <v>3303.15</v>
      </c>
      <c r="D817" s="185">
        <f t="shared" si="27"/>
        <v>2.8390864714086472</v>
      </c>
      <c r="E817" s="185">
        <v>6.1223557362817833E-3</v>
      </c>
      <c r="F817" s="171"/>
      <c r="G817" s="171">
        <v>814</v>
      </c>
      <c r="H817" s="186">
        <f t="shared" ca="1" si="28"/>
        <v>2.1155616276908602E-2</v>
      </c>
    </row>
    <row r="818" spans="2:8">
      <c r="B818" s="36">
        <v>42244</v>
      </c>
      <c r="C818" s="185">
        <v>860.4</v>
      </c>
      <c r="D818" s="185">
        <f t="shared" si="27"/>
        <v>8.1515932373829453E-2</v>
      </c>
      <c r="E818" s="185">
        <v>6.0216311020169274E-3</v>
      </c>
      <c r="F818" s="171"/>
      <c r="G818" s="171">
        <v>815</v>
      </c>
      <c r="H818" s="186">
        <f t="shared" ca="1" si="28"/>
        <v>-2.5502964960179512E-3</v>
      </c>
    </row>
    <row r="819" spans="2:8">
      <c r="B819" s="36">
        <v>42255</v>
      </c>
      <c r="C819" s="185">
        <v>795.55</v>
      </c>
      <c r="D819" s="185">
        <f t="shared" si="27"/>
        <v>-0.76239826775181063</v>
      </c>
      <c r="E819" s="185">
        <v>6.0065756196256955E-3</v>
      </c>
      <c r="F819" s="171"/>
      <c r="G819" s="171">
        <v>816</v>
      </c>
      <c r="H819" s="186">
        <f t="shared" ca="1" si="28"/>
        <v>-2.1209497307128442E-2</v>
      </c>
    </row>
    <row r="820" spans="2:8">
      <c r="B820" s="36">
        <v>44446</v>
      </c>
      <c r="C820" s="185">
        <v>3348.25</v>
      </c>
      <c r="D820" s="185">
        <f t="shared" si="27"/>
        <v>0.32951477128335444</v>
      </c>
      <c r="E820" s="185">
        <v>5.9940510170356691E-3</v>
      </c>
      <c r="F820" s="171"/>
      <c r="G820" s="171">
        <v>817</v>
      </c>
      <c r="H820" s="186">
        <f t="shared" ca="1" si="28"/>
        <v>-8.8916991659169515E-3</v>
      </c>
    </row>
    <row r="821" spans="2:8">
      <c r="B821" s="36">
        <v>45957</v>
      </c>
      <c r="C821" s="185">
        <v>2518.4</v>
      </c>
      <c r="D821" s="185">
        <f t="shared" si="27"/>
        <v>1.2720014434570797</v>
      </c>
      <c r="E821" s="185">
        <v>5.9918510825277618E-3</v>
      </c>
      <c r="F821" s="171"/>
      <c r="G821" s="171">
        <v>818</v>
      </c>
      <c r="H821" s="186">
        <f t="shared" ca="1" si="28"/>
        <v>-2.555446847776361E-2</v>
      </c>
    </row>
    <row r="822" spans="2:8">
      <c r="B822" s="36">
        <v>43166</v>
      </c>
      <c r="C822" s="185">
        <v>1108.45</v>
      </c>
      <c r="D822" s="185">
        <f t="shared" si="27"/>
        <v>-5.0618817181276955E-2</v>
      </c>
      <c r="E822" s="185">
        <v>5.9899260334892561E-3</v>
      </c>
      <c r="F822" s="171"/>
      <c r="G822" s="171">
        <v>819</v>
      </c>
      <c r="H822" s="186">
        <f t="shared" ca="1" si="28"/>
        <v>-6.7197688392841006E-3</v>
      </c>
    </row>
    <row r="823" spans="2:8">
      <c r="B823" s="36">
        <v>42632</v>
      </c>
      <c r="C823" s="185">
        <v>1167.55</v>
      </c>
      <c r="D823" s="185">
        <f t="shared" si="27"/>
        <v>-0.65190882936064287</v>
      </c>
      <c r="E823" s="185">
        <v>5.9882819231432413E-3</v>
      </c>
      <c r="F823" s="171"/>
      <c r="G823" s="171">
        <v>820</v>
      </c>
      <c r="H823" s="186">
        <f t="shared" ca="1" si="28"/>
        <v>-1.3759688160599417E-2</v>
      </c>
    </row>
    <row r="824" spans="2:8">
      <c r="B824" s="36">
        <v>44841</v>
      </c>
      <c r="C824" s="185">
        <v>3354.15</v>
      </c>
      <c r="D824" s="185">
        <f t="shared" si="27"/>
        <v>-3.77207181787125E-3</v>
      </c>
      <c r="E824" s="185">
        <v>5.9683587013571538E-3</v>
      </c>
      <c r="F824" s="171"/>
      <c r="G824" s="171">
        <v>821</v>
      </c>
      <c r="H824" s="186">
        <f t="shared" ca="1" si="28"/>
        <v>2.1952104924439941E-2</v>
      </c>
    </row>
    <row r="825" spans="2:8">
      <c r="B825" s="36">
        <v>44452</v>
      </c>
      <c r="C825" s="185">
        <v>3366.85</v>
      </c>
      <c r="D825" s="185">
        <f t="shared" si="27"/>
        <v>2.8203222512197894</v>
      </c>
      <c r="E825" s="185">
        <v>5.9457117674300754E-3</v>
      </c>
      <c r="F825" s="171"/>
      <c r="G825" s="171">
        <v>822</v>
      </c>
      <c r="H825" s="186">
        <f t="shared" ca="1" si="28"/>
        <v>-7.1952576467732444E-3</v>
      </c>
    </row>
    <row r="826" spans="2:8">
      <c r="B826" s="36">
        <v>42360</v>
      </c>
      <c r="C826" s="185">
        <v>881.3</v>
      </c>
      <c r="D826" s="185">
        <f t="shared" si="27"/>
        <v>-0.25113650847601648</v>
      </c>
      <c r="E826" s="185">
        <v>5.9353955027964065E-3</v>
      </c>
      <c r="F826" s="171"/>
      <c r="G826" s="171">
        <v>823</v>
      </c>
      <c r="H826" s="186">
        <f t="shared" ca="1" si="28"/>
        <v>1.4883009541079201E-2</v>
      </c>
    </row>
    <row r="827" spans="2:8">
      <c r="B827" s="36">
        <v>42628</v>
      </c>
      <c r="C827" s="185">
        <v>1176.8499999999999</v>
      </c>
      <c r="D827" s="185">
        <f t="shared" si="27"/>
        <v>5.245036666070458E-2</v>
      </c>
      <c r="E827" s="185">
        <v>5.8976879353817369E-3</v>
      </c>
      <c r="F827" s="171"/>
      <c r="G827" s="171">
        <v>824</v>
      </c>
      <c r="H827" s="186">
        <f t="shared" ca="1" si="28"/>
        <v>-6.5144794836726593E-3</v>
      </c>
    </row>
    <row r="828" spans="2:8">
      <c r="B828" s="36">
        <v>43185</v>
      </c>
      <c r="C828" s="185">
        <v>1118.2</v>
      </c>
      <c r="D828" s="185">
        <f t="shared" si="27"/>
        <v>-0.51005564562064587</v>
      </c>
      <c r="E828" s="185">
        <v>5.8921423109791335E-3</v>
      </c>
      <c r="F828" s="171"/>
      <c r="G828" s="171">
        <v>825</v>
      </c>
      <c r="H828" s="186">
        <f t="shared" ca="1" si="28"/>
        <v>3.007341263324869E-3</v>
      </c>
    </row>
    <row r="829" spans="2:8">
      <c r="B829" s="36">
        <v>45677</v>
      </c>
      <c r="C829" s="185">
        <v>2282.3000000000002</v>
      </c>
      <c r="D829" s="185">
        <f t="shared" si="27"/>
        <v>-0.23596069832448985</v>
      </c>
      <c r="E829" s="185">
        <v>5.8616130453945274E-3</v>
      </c>
      <c r="F829" s="171"/>
      <c r="G829" s="171">
        <v>826</v>
      </c>
      <c r="H829" s="186">
        <f t="shared" ca="1" si="28"/>
        <v>-1.1696215101184911E-2</v>
      </c>
    </row>
    <row r="830" spans="2:8">
      <c r="B830" s="36">
        <v>45233</v>
      </c>
      <c r="C830" s="185">
        <v>2987.15</v>
      </c>
      <c r="D830" s="185">
        <f t="shared" si="27"/>
        <v>0.29814001999043943</v>
      </c>
      <c r="E830" s="185">
        <v>5.8590790470578634E-3</v>
      </c>
      <c r="F830" s="171"/>
      <c r="G830" s="171">
        <v>827</v>
      </c>
      <c r="H830" s="186">
        <f t="shared" ca="1" si="28"/>
        <v>-9.1338296038219937E-3</v>
      </c>
    </row>
    <row r="831" spans="2:8">
      <c r="B831" s="36">
        <v>45737</v>
      </c>
      <c r="C831" s="185">
        <v>2301.1</v>
      </c>
      <c r="D831" s="185">
        <f t="shared" si="27"/>
        <v>1.0128586424072776</v>
      </c>
      <c r="E831" s="185">
        <v>5.8574113738689912E-3</v>
      </c>
      <c r="F831" s="171"/>
      <c r="G831" s="171">
        <v>828</v>
      </c>
      <c r="H831" s="186">
        <f t="shared" ca="1" si="28"/>
        <v>-8.6575226418499802E-3</v>
      </c>
    </row>
    <row r="832" spans="2:8">
      <c r="B832" s="36">
        <v>43172</v>
      </c>
      <c r="C832" s="185">
        <v>1143.2</v>
      </c>
      <c r="D832" s="185">
        <f t="shared" si="27"/>
        <v>0.3851932630558586</v>
      </c>
      <c r="E832" s="185">
        <v>5.851040429369664E-3</v>
      </c>
      <c r="F832" s="171"/>
      <c r="G832" s="171">
        <v>829</v>
      </c>
      <c r="H832" s="186">
        <f t="shared" ca="1" si="28"/>
        <v>3.6383661700232221E-3</v>
      </c>
    </row>
    <row r="833" spans="2:8">
      <c r="B833" s="36">
        <v>42327</v>
      </c>
      <c r="C833" s="185">
        <v>825.3</v>
      </c>
      <c r="D833" s="185">
        <f t="shared" si="27"/>
        <v>-0.26776683524088368</v>
      </c>
      <c r="E833" s="185">
        <v>5.8500914076781898E-3</v>
      </c>
      <c r="F833" s="171"/>
      <c r="G833" s="171">
        <v>830</v>
      </c>
      <c r="H833" s="186">
        <f t="shared" ca="1" si="28"/>
        <v>-5.3403925296954848E-3</v>
      </c>
    </row>
    <row r="834" spans="2:8">
      <c r="B834" s="36">
        <v>43083</v>
      </c>
      <c r="C834" s="185">
        <v>1127.0999999999999</v>
      </c>
      <c r="D834" s="185">
        <f t="shared" si="27"/>
        <v>-0.51985175087330671</v>
      </c>
      <c r="E834" s="185">
        <v>5.8453438043817368E-3</v>
      </c>
      <c r="F834" s="171"/>
      <c r="G834" s="171">
        <v>831</v>
      </c>
      <c r="H834" s="186">
        <f t="shared" ca="1" si="28"/>
        <v>-8.7383419617244277E-3</v>
      </c>
    </row>
    <row r="835" spans="2:8">
      <c r="B835" s="36">
        <v>45939</v>
      </c>
      <c r="C835" s="185">
        <v>2347.4</v>
      </c>
      <c r="D835" s="185">
        <f t="shared" si="27"/>
        <v>0.59714237115155644</v>
      </c>
      <c r="E835" s="185">
        <v>5.8274059473819124E-3</v>
      </c>
      <c r="F835" s="171"/>
      <c r="G835" s="171">
        <v>832</v>
      </c>
      <c r="H835" s="186">
        <f t="shared" ca="1" si="28"/>
        <v>-1.9596461009946983E-2</v>
      </c>
    </row>
    <row r="836" spans="2:8">
      <c r="B836" s="36">
        <v>43573</v>
      </c>
      <c r="C836" s="185">
        <v>1469.75</v>
      </c>
      <c r="D836" s="185">
        <f t="shared" ref="D836:D899" si="29">(C836-C837)/C837</f>
        <v>-0.39034760245561645</v>
      </c>
      <c r="E836" s="185">
        <v>5.8169375534644994E-3</v>
      </c>
      <c r="F836" s="171"/>
      <c r="G836" s="171">
        <v>833</v>
      </c>
      <c r="H836" s="186">
        <f t="shared" ca="1" si="28"/>
        <v>-4.835280058014286E-3</v>
      </c>
    </row>
    <row r="837" spans="2:8">
      <c r="B837" s="36">
        <v>45762</v>
      </c>
      <c r="C837" s="185">
        <v>2410.8000000000002</v>
      </c>
      <c r="D837" s="185">
        <f t="shared" si="29"/>
        <v>-0.22296175726418591</v>
      </c>
      <c r="E837" s="185">
        <v>5.7991572447745384E-3</v>
      </c>
      <c r="F837" s="171"/>
      <c r="G837" s="171">
        <v>834</v>
      </c>
      <c r="H837" s="186">
        <f t="shared" ref="H837:H900" ca="1" si="30">_xlfn.NORM.INV(RAND(),N$6,N$7)</f>
        <v>4.8072292248917447E-3</v>
      </c>
    </row>
    <row r="838" spans="2:8">
      <c r="B838" s="36">
        <v>44883</v>
      </c>
      <c r="C838" s="185">
        <v>3102.55</v>
      </c>
      <c r="D838" s="185">
        <f t="shared" si="29"/>
        <v>-1.6078649012923118E-2</v>
      </c>
      <c r="E838" s="185">
        <v>5.7866243070640146E-3</v>
      </c>
      <c r="F838" s="171"/>
      <c r="G838" s="171">
        <v>835</v>
      </c>
      <c r="H838" s="186">
        <f t="shared" ca="1" si="30"/>
        <v>7.727209569881233E-3</v>
      </c>
    </row>
    <row r="839" spans="2:8">
      <c r="B839" s="36">
        <v>44656</v>
      </c>
      <c r="C839" s="185">
        <v>3153.25</v>
      </c>
      <c r="D839" s="185">
        <f t="shared" si="29"/>
        <v>0.95495830620911992</v>
      </c>
      <c r="E839" s="185">
        <v>5.7732484889079973E-3</v>
      </c>
      <c r="F839" s="171"/>
      <c r="G839" s="171">
        <v>836</v>
      </c>
      <c r="H839" s="186">
        <f t="shared" ca="1" si="30"/>
        <v>-6.0451958395989795E-3</v>
      </c>
    </row>
    <row r="840" spans="2:8">
      <c r="B840" s="36">
        <v>43706</v>
      </c>
      <c r="C840" s="185">
        <v>1612.95</v>
      </c>
      <c r="D840" s="185">
        <f t="shared" si="29"/>
        <v>0.84147733759561605</v>
      </c>
      <c r="E840" s="185">
        <v>5.7679117041840745E-3</v>
      </c>
      <c r="F840" s="171"/>
      <c r="G840" s="171">
        <v>837</v>
      </c>
      <c r="H840" s="186">
        <f t="shared" ca="1" si="30"/>
        <v>2.6418043766875746E-2</v>
      </c>
    </row>
    <row r="841" spans="2:8">
      <c r="B841" s="36">
        <v>42423</v>
      </c>
      <c r="C841" s="185">
        <v>875.9</v>
      </c>
      <c r="D841" s="185">
        <f t="shared" si="29"/>
        <v>-0.58582371855494608</v>
      </c>
      <c r="E841" s="185">
        <v>5.7411872775289929E-3</v>
      </c>
      <c r="F841" s="171"/>
      <c r="G841" s="171">
        <v>838</v>
      </c>
      <c r="H841" s="186">
        <f t="shared" ca="1" si="30"/>
        <v>2.7030286686831619E-3</v>
      </c>
    </row>
    <row r="842" spans="2:8">
      <c r="B842" s="36">
        <v>44127</v>
      </c>
      <c r="C842" s="185">
        <v>2114.8000000000002</v>
      </c>
      <c r="D842" s="185">
        <f t="shared" si="29"/>
        <v>-0.38998500057690089</v>
      </c>
      <c r="E842" s="185">
        <v>5.7305908928784602E-3</v>
      </c>
      <c r="F842" s="171"/>
      <c r="G842" s="171">
        <v>839</v>
      </c>
      <c r="H842" s="186">
        <f t="shared" ca="1" si="30"/>
        <v>-2.4381755597372368E-2</v>
      </c>
    </row>
    <row r="843" spans="2:8">
      <c r="B843" s="36">
        <v>44777</v>
      </c>
      <c r="C843" s="185">
        <v>3466.8</v>
      </c>
      <c r="D843" s="185">
        <f t="shared" si="29"/>
        <v>1.0038148083925786</v>
      </c>
      <c r="E843" s="185">
        <v>5.7149487975400402E-3</v>
      </c>
      <c r="F843" s="171"/>
      <c r="G843" s="171">
        <v>840</v>
      </c>
      <c r="H843" s="186">
        <f t="shared" ca="1" si="30"/>
        <v>2.1910038379349711E-2</v>
      </c>
    </row>
    <row r="844" spans="2:8">
      <c r="B844" s="36">
        <v>44049</v>
      </c>
      <c r="C844" s="185">
        <v>1730.1</v>
      </c>
      <c r="D844" s="185">
        <f t="shared" si="29"/>
        <v>1.0370893677145885</v>
      </c>
      <c r="E844" s="185">
        <v>5.6966808114863425E-3</v>
      </c>
      <c r="F844" s="171"/>
      <c r="G844" s="171">
        <v>841</v>
      </c>
      <c r="H844" s="186">
        <f t="shared" ca="1" si="30"/>
        <v>-1.8774985696215295E-2</v>
      </c>
    </row>
    <row r="845" spans="2:8">
      <c r="B845" s="36">
        <v>42339</v>
      </c>
      <c r="C845" s="185">
        <v>849.3</v>
      </c>
      <c r="D845" s="185">
        <f t="shared" si="29"/>
        <v>-0.71851851851851845</v>
      </c>
      <c r="E845" s="185">
        <v>5.6838365896979921E-3</v>
      </c>
      <c r="F845" s="171"/>
      <c r="G845" s="171">
        <v>842</v>
      </c>
      <c r="H845" s="186">
        <f t="shared" ca="1" si="30"/>
        <v>-1.3271794042251197E-2</v>
      </c>
    </row>
    <row r="846" spans="2:8">
      <c r="B846" s="36">
        <v>45344</v>
      </c>
      <c r="C846" s="185">
        <v>3017.25</v>
      </c>
      <c r="D846" s="185">
        <f t="shared" si="29"/>
        <v>-4.2887278148741402E-2</v>
      </c>
      <c r="E846" s="185">
        <v>5.6159178776162876E-3</v>
      </c>
      <c r="F846" s="171"/>
      <c r="G846" s="171">
        <v>843</v>
      </c>
      <c r="H846" s="186">
        <f t="shared" ca="1" si="30"/>
        <v>-6.5964114061701346E-4</v>
      </c>
    </row>
    <row r="847" spans="2:8">
      <c r="B847" s="36">
        <v>45258</v>
      </c>
      <c r="C847" s="185">
        <v>3152.45</v>
      </c>
      <c r="D847" s="185">
        <f t="shared" si="29"/>
        <v>2.5679361666006448</v>
      </c>
      <c r="E847" s="185">
        <v>5.5822261918052922E-3</v>
      </c>
      <c r="F847" s="171"/>
      <c r="G847" s="171">
        <v>844</v>
      </c>
      <c r="H847" s="186">
        <f t="shared" ca="1" si="30"/>
        <v>5.3575388793651443E-3</v>
      </c>
    </row>
    <row r="848" spans="2:8">
      <c r="B848" s="36">
        <v>42369</v>
      </c>
      <c r="C848" s="185">
        <v>883.55</v>
      </c>
      <c r="D848" s="185">
        <f t="shared" si="29"/>
        <v>-0.12389687654933074</v>
      </c>
      <c r="E848" s="185">
        <v>5.5767370397769049E-3</v>
      </c>
      <c r="F848" s="171"/>
      <c r="G848" s="171">
        <v>845</v>
      </c>
      <c r="H848" s="186">
        <f t="shared" ca="1" si="30"/>
        <v>-4.3273408611119134E-3</v>
      </c>
    </row>
    <row r="849" spans="2:8">
      <c r="B849" s="36">
        <v>42552</v>
      </c>
      <c r="C849" s="185">
        <v>1008.5</v>
      </c>
      <c r="D849" s="185">
        <f t="shared" si="29"/>
        <v>0.24675485226851282</v>
      </c>
      <c r="E849" s="185">
        <v>5.533675656812358E-3</v>
      </c>
      <c r="F849" s="171"/>
      <c r="G849" s="171">
        <v>846</v>
      </c>
      <c r="H849" s="186">
        <f t="shared" ca="1" si="30"/>
        <v>6.6068623053729802E-3</v>
      </c>
    </row>
    <row r="850" spans="2:8">
      <c r="B850" s="36">
        <v>42325</v>
      </c>
      <c r="C850" s="185">
        <v>808.9</v>
      </c>
      <c r="D850" s="185">
        <f t="shared" si="29"/>
        <v>-0.71585140950206372</v>
      </c>
      <c r="E850" s="185">
        <v>5.5317297532474757E-3</v>
      </c>
      <c r="F850" s="171"/>
      <c r="G850" s="171">
        <v>847</v>
      </c>
      <c r="H850" s="186">
        <f t="shared" ca="1" si="30"/>
        <v>1.0525349953569909E-2</v>
      </c>
    </row>
    <row r="851" spans="2:8">
      <c r="B851" s="36">
        <v>45379</v>
      </c>
      <c r="C851" s="185">
        <v>2846.75</v>
      </c>
      <c r="D851" s="185">
        <f t="shared" si="29"/>
        <v>1.0230607966457022</v>
      </c>
      <c r="E851" s="185">
        <v>5.5101283930557932E-3</v>
      </c>
      <c r="F851" s="171"/>
      <c r="G851" s="171">
        <v>848</v>
      </c>
      <c r="H851" s="186">
        <f t="shared" ca="1" si="30"/>
        <v>1.2485689078171611E-2</v>
      </c>
    </row>
    <row r="852" spans="2:8">
      <c r="B852" s="36">
        <v>43473</v>
      </c>
      <c r="C852" s="185">
        <v>1407.15</v>
      </c>
      <c r="D852" s="185">
        <f t="shared" si="29"/>
        <v>-0.51067566157805044</v>
      </c>
      <c r="E852" s="185">
        <v>5.5021615634713965E-3</v>
      </c>
      <c r="F852" s="171"/>
      <c r="G852" s="171">
        <v>849</v>
      </c>
      <c r="H852" s="186">
        <f t="shared" ca="1" si="30"/>
        <v>1.3579038256012444E-2</v>
      </c>
    </row>
    <row r="853" spans="2:8">
      <c r="B853" s="36">
        <v>45982</v>
      </c>
      <c r="C853" s="185">
        <v>2875.7</v>
      </c>
      <c r="D853" s="185">
        <f t="shared" si="29"/>
        <v>1.660345066839354</v>
      </c>
      <c r="E853" s="185">
        <v>5.4895104895104256E-3</v>
      </c>
      <c r="F853" s="171"/>
      <c r="G853" s="171">
        <v>850</v>
      </c>
      <c r="H853" s="186">
        <f t="shared" ca="1" si="30"/>
        <v>1.7120224853216317E-2</v>
      </c>
    </row>
    <row r="854" spans="2:8">
      <c r="B854" s="36">
        <v>42838</v>
      </c>
      <c r="C854" s="185">
        <v>1080.95</v>
      </c>
      <c r="D854" s="185">
        <f t="shared" si="29"/>
        <v>-0.66813520815424299</v>
      </c>
      <c r="E854" s="185">
        <v>5.4881168317753512E-3</v>
      </c>
      <c r="F854" s="171"/>
      <c r="G854" s="171">
        <v>851</v>
      </c>
      <c r="H854" s="186">
        <f t="shared" ca="1" si="30"/>
        <v>-5.9250005363270519E-3</v>
      </c>
    </row>
    <row r="855" spans="2:8">
      <c r="B855" s="36">
        <v>45273</v>
      </c>
      <c r="C855" s="185">
        <v>3257.2</v>
      </c>
      <c r="D855" s="185">
        <f t="shared" si="29"/>
        <v>1.008447664559889</v>
      </c>
      <c r="E855" s="185">
        <v>5.4793251940915902E-3</v>
      </c>
      <c r="F855" s="171"/>
      <c r="G855" s="171">
        <v>852</v>
      </c>
      <c r="H855" s="186">
        <f t="shared" ca="1" si="30"/>
        <v>-2.6757514028593792E-3</v>
      </c>
    </row>
    <row r="856" spans="2:8">
      <c r="B856" s="36">
        <v>43707</v>
      </c>
      <c r="C856" s="185">
        <v>1621.75</v>
      </c>
      <c r="D856" s="185">
        <f t="shared" si="29"/>
        <v>0.24496219245384401</v>
      </c>
      <c r="E856" s="185">
        <v>5.4558417805883348E-3</v>
      </c>
      <c r="F856" s="171"/>
      <c r="G856" s="171">
        <v>853</v>
      </c>
      <c r="H856" s="186">
        <f t="shared" ca="1" si="30"/>
        <v>-1.8146824892045554E-2</v>
      </c>
    </row>
    <row r="857" spans="2:8">
      <c r="B857" s="36">
        <v>43251</v>
      </c>
      <c r="C857" s="185">
        <v>1302.6500000000001</v>
      </c>
      <c r="D857" s="185">
        <f t="shared" si="29"/>
        <v>-0.56409784500066928</v>
      </c>
      <c r="E857" s="185">
        <v>5.4414942883607457E-3</v>
      </c>
      <c r="F857" s="171"/>
      <c r="G857" s="171">
        <v>854</v>
      </c>
      <c r="H857" s="186">
        <f t="shared" ca="1" si="30"/>
        <v>-5.613298389746238E-3</v>
      </c>
    </row>
    <row r="858" spans="2:8">
      <c r="B858" s="36">
        <v>44410</v>
      </c>
      <c r="C858" s="185">
        <v>2988.4</v>
      </c>
      <c r="D858" s="185">
        <f t="shared" si="29"/>
        <v>1.7830077825650076E-2</v>
      </c>
      <c r="E858" s="185">
        <v>5.4335940785600438E-3</v>
      </c>
      <c r="F858" s="171"/>
      <c r="G858" s="171">
        <v>855</v>
      </c>
      <c r="H858" s="186">
        <f t="shared" ca="1" si="30"/>
        <v>-1.1773481126699018E-2</v>
      </c>
    </row>
    <row r="859" spans="2:8">
      <c r="B859" s="36">
        <v>44631</v>
      </c>
      <c r="C859" s="185">
        <v>2936.05</v>
      </c>
      <c r="D859" s="185">
        <f t="shared" si="29"/>
        <v>0.47826196410140226</v>
      </c>
      <c r="E859" s="185">
        <v>5.4277104307925367E-3</v>
      </c>
      <c r="F859" s="171"/>
      <c r="G859" s="171">
        <v>856</v>
      </c>
      <c r="H859" s="186">
        <f t="shared" ca="1" si="30"/>
        <v>2.8211410761222241E-2</v>
      </c>
    </row>
    <row r="860" spans="2:8">
      <c r="B860" s="36">
        <v>44070</v>
      </c>
      <c r="C860" s="185">
        <v>1986.15</v>
      </c>
      <c r="D860" s="185">
        <f t="shared" si="29"/>
        <v>1.2505949008498585</v>
      </c>
      <c r="E860" s="185">
        <v>5.4164873826217036E-3</v>
      </c>
      <c r="F860" s="171"/>
      <c r="G860" s="171">
        <v>857</v>
      </c>
      <c r="H860" s="186">
        <f t="shared" ca="1" si="30"/>
        <v>4.4548734675412321E-3</v>
      </c>
    </row>
    <row r="861" spans="2:8">
      <c r="B861" s="36">
        <v>42356</v>
      </c>
      <c r="C861" s="185">
        <v>882.5</v>
      </c>
      <c r="D861" s="185">
        <f t="shared" si="29"/>
        <v>-0.62898343563440673</v>
      </c>
      <c r="E861" s="185">
        <v>5.4115636570777554E-3</v>
      </c>
      <c r="F861" s="171"/>
      <c r="G861" s="171">
        <v>858</v>
      </c>
      <c r="H861" s="186">
        <f t="shared" ca="1" si="30"/>
        <v>-9.5155370621344635E-3</v>
      </c>
    </row>
    <row r="862" spans="2:8">
      <c r="B862" s="36">
        <v>45861</v>
      </c>
      <c r="C862" s="185">
        <v>2378.6</v>
      </c>
      <c r="D862" s="185">
        <f t="shared" si="29"/>
        <v>1.0550347747202902</v>
      </c>
      <c r="E862" s="185">
        <v>5.4104319891790202E-3</v>
      </c>
      <c r="F862" s="171"/>
      <c r="G862" s="171">
        <v>859</v>
      </c>
      <c r="H862" s="186">
        <f t="shared" ca="1" si="30"/>
        <v>2.7012653074946144E-2</v>
      </c>
    </row>
    <row r="863" spans="2:8">
      <c r="B863" s="36">
        <v>43012</v>
      </c>
      <c r="C863" s="185">
        <v>1157.45</v>
      </c>
      <c r="D863" s="185">
        <f t="shared" si="29"/>
        <v>-9.6694892105981867E-2</v>
      </c>
      <c r="E863" s="185">
        <v>5.3854505971770213E-3</v>
      </c>
      <c r="F863" s="171"/>
      <c r="G863" s="171">
        <v>860</v>
      </c>
      <c r="H863" s="186">
        <f t="shared" ca="1" si="30"/>
        <v>1.8606411153662208E-2</v>
      </c>
    </row>
    <row r="864" spans="2:8">
      <c r="B864" s="36">
        <v>43262</v>
      </c>
      <c r="C864" s="185">
        <v>1281.3499999999999</v>
      </c>
      <c r="D864" s="185">
        <f t="shared" si="29"/>
        <v>0.11155931468228142</v>
      </c>
      <c r="E864" s="185">
        <v>5.3746567281286062E-3</v>
      </c>
      <c r="F864" s="171"/>
      <c r="G864" s="171">
        <v>861</v>
      </c>
      <c r="H864" s="186">
        <f t="shared" ca="1" si="30"/>
        <v>2.2900327083209358E-2</v>
      </c>
    </row>
    <row r="865" spans="2:8">
      <c r="B865" s="36">
        <v>42590</v>
      </c>
      <c r="C865" s="185">
        <v>1152.75</v>
      </c>
      <c r="D865" s="185">
        <f t="shared" si="29"/>
        <v>-0.36176397309193592</v>
      </c>
      <c r="E865" s="185">
        <v>5.3636839351125865E-3</v>
      </c>
      <c r="F865" s="171"/>
      <c r="G865" s="171">
        <v>862</v>
      </c>
      <c r="H865" s="186">
        <f t="shared" ca="1" si="30"/>
        <v>1.0591005313241291E-3</v>
      </c>
    </row>
    <row r="866" spans="2:8">
      <c r="B866" s="36">
        <v>43775</v>
      </c>
      <c r="C866" s="185">
        <v>1806.15</v>
      </c>
      <c r="D866" s="185">
        <f t="shared" si="29"/>
        <v>-0.388698977865024</v>
      </c>
      <c r="E866" s="185">
        <v>5.3435751857728074E-3</v>
      </c>
      <c r="F866" s="171"/>
      <c r="G866" s="171">
        <v>863</v>
      </c>
      <c r="H866" s="186">
        <f t="shared" ca="1" si="30"/>
        <v>2.5433550188314408E-2</v>
      </c>
    </row>
    <row r="867" spans="2:8">
      <c r="B867" s="36">
        <v>44357</v>
      </c>
      <c r="C867" s="185">
        <v>2954.6</v>
      </c>
      <c r="D867" s="185">
        <f t="shared" si="29"/>
        <v>-5.8114699225349925E-2</v>
      </c>
      <c r="E867" s="185">
        <v>5.3421348123446925E-3</v>
      </c>
      <c r="F867" s="171"/>
      <c r="G867" s="171">
        <v>864</v>
      </c>
      <c r="H867" s="186">
        <f t="shared" ca="1" si="30"/>
        <v>2.0826115754462478E-3</v>
      </c>
    </row>
    <row r="868" spans="2:8">
      <c r="B868" s="36">
        <v>45246</v>
      </c>
      <c r="C868" s="185">
        <v>3136.9</v>
      </c>
      <c r="D868" s="185">
        <f t="shared" si="29"/>
        <v>1.3038337250293774</v>
      </c>
      <c r="E868" s="185">
        <v>5.3200012819279901E-3</v>
      </c>
      <c r="F868" s="171"/>
      <c r="G868" s="171">
        <v>865</v>
      </c>
      <c r="H868" s="186">
        <f t="shared" ca="1" si="30"/>
        <v>1.0002585794647688E-2</v>
      </c>
    </row>
    <row r="869" spans="2:8">
      <c r="B869" s="36">
        <v>43649</v>
      </c>
      <c r="C869" s="185">
        <v>1361.6</v>
      </c>
      <c r="D869" s="185">
        <f t="shared" si="29"/>
        <v>-0.59677204412526841</v>
      </c>
      <c r="E869" s="185">
        <v>5.3160070880093162E-3</v>
      </c>
      <c r="F869" s="171"/>
      <c r="G869" s="171">
        <v>866</v>
      </c>
      <c r="H869" s="186">
        <f t="shared" ca="1" si="30"/>
        <v>-3.4800886321936205E-3</v>
      </c>
    </row>
    <row r="870" spans="2:8">
      <c r="B870" s="36">
        <v>44797</v>
      </c>
      <c r="C870" s="185">
        <v>3376.75</v>
      </c>
      <c r="D870" s="185">
        <f t="shared" si="29"/>
        <v>0.12109893758300133</v>
      </c>
      <c r="E870" s="185">
        <v>5.3142397808806181E-3</v>
      </c>
      <c r="F870" s="171"/>
      <c r="G870" s="171">
        <v>867</v>
      </c>
      <c r="H870" s="186">
        <f t="shared" ca="1" si="30"/>
        <v>-1.3540751467413965E-2</v>
      </c>
    </row>
    <row r="871" spans="2:8">
      <c r="B871" s="36">
        <v>44376</v>
      </c>
      <c r="C871" s="185">
        <v>3012</v>
      </c>
      <c r="D871" s="185">
        <f t="shared" si="29"/>
        <v>3.2355360570331809E-2</v>
      </c>
      <c r="E871" s="185">
        <v>5.3068989686592873E-3</v>
      </c>
      <c r="F871" s="171"/>
      <c r="G871" s="171">
        <v>868</v>
      </c>
      <c r="H871" s="186">
        <f t="shared" ca="1" si="30"/>
        <v>6.4028901530510116E-3</v>
      </c>
    </row>
    <row r="872" spans="2:8">
      <c r="B872" s="36">
        <v>45497</v>
      </c>
      <c r="C872" s="185">
        <v>2917.6</v>
      </c>
      <c r="D872" s="185">
        <f t="shared" si="29"/>
        <v>1.5232206174868115</v>
      </c>
      <c r="E872" s="185">
        <v>5.3063193439460039E-3</v>
      </c>
      <c r="F872" s="171"/>
      <c r="G872" s="171">
        <v>869</v>
      </c>
      <c r="H872" s="186">
        <f t="shared" ca="1" si="30"/>
        <v>3.6210012314090859E-3</v>
      </c>
    </row>
    <row r="873" spans="2:8">
      <c r="B873" s="36">
        <v>42935</v>
      </c>
      <c r="C873" s="185">
        <v>1156.3</v>
      </c>
      <c r="D873" s="185">
        <f t="shared" si="29"/>
        <v>-0.52104216717753293</v>
      </c>
      <c r="E873" s="185">
        <v>5.3034254912188395E-3</v>
      </c>
      <c r="F873" s="171"/>
      <c r="G873" s="171">
        <v>870</v>
      </c>
      <c r="H873" s="186">
        <f t="shared" ca="1" si="30"/>
        <v>5.2521043877773003E-3</v>
      </c>
    </row>
    <row r="874" spans="2:8">
      <c r="B874" s="36">
        <v>46065</v>
      </c>
      <c r="C874" s="185">
        <v>2414.1999999999998</v>
      </c>
      <c r="D874" s="185">
        <f t="shared" si="29"/>
        <v>0.68772064734873628</v>
      </c>
      <c r="E874" s="185">
        <v>5.2883614407661121E-3</v>
      </c>
      <c r="F874" s="171"/>
      <c r="G874" s="171">
        <v>871</v>
      </c>
      <c r="H874" s="186">
        <f t="shared" ca="1" si="30"/>
        <v>-4.1053825759183558E-2</v>
      </c>
    </row>
    <row r="875" spans="2:8">
      <c r="B875" s="36">
        <v>43629</v>
      </c>
      <c r="C875" s="185">
        <v>1430.45</v>
      </c>
      <c r="D875" s="185">
        <f t="shared" si="29"/>
        <v>-0.49983391318030029</v>
      </c>
      <c r="E875" s="185">
        <v>5.2707403633297026E-3</v>
      </c>
      <c r="F875" s="171"/>
      <c r="G875" s="171">
        <v>872</v>
      </c>
      <c r="H875" s="186">
        <f t="shared" ca="1" si="30"/>
        <v>-9.682718501925416E-3</v>
      </c>
    </row>
    <row r="876" spans="2:8">
      <c r="B876" s="36">
        <v>45353</v>
      </c>
      <c r="C876" s="185">
        <v>2859.95</v>
      </c>
      <c r="D876" s="185">
        <f t="shared" si="29"/>
        <v>2.1268244683758812</v>
      </c>
      <c r="E876" s="185">
        <v>5.2548330404217289E-3</v>
      </c>
      <c r="F876" s="171"/>
      <c r="G876" s="171">
        <v>873</v>
      </c>
      <c r="H876" s="186">
        <f t="shared" ca="1" si="30"/>
        <v>1.5689154449770398E-2</v>
      </c>
    </row>
    <row r="877" spans="2:8">
      <c r="B877" s="36">
        <v>42718</v>
      </c>
      <c r="C877" s="185">
        <v>914.65</v>
      </c>
      <c r="D877" s="185">
        <f t="shared" si="29"/>
        <v>-0.64553945124786849</v>
      </c>
      <c r="E877" s="185">
        <v>5.2203538850423125E-3</v>
      </c>
      <c r="F877" s="171"/>
      <c r="G877" s="171">
        <v>874</v>
      </c>
      <c r="H877" s="186">
        <f t="shared" ca="1" si="30"/>
        <v>-1.4757402724761776E-2</v>
      </c>
    </row>
    <row r="878" spans="2:8">
      <c r="B878" s="36">
        <v>45904</v>
      </c>
      <c r="C878" s="185">
        <v>2580.4</v>
      </c>
      <c r="D878" s="185">
        <f t="shared" si="29"/>
        <v>6.9460703972528612E-3</v>
      </c>
      <c r="E878" s="185">
        <v>5.2201012855473666E-3</v>
      </c>
      <c r="F878" s="171"/>
      <c r="G878" s="171">
        <v>875</v>
      </c>
      <c r="H878" s="186">
        <f t="shared" ca="1" si="30"/>
        <v>-2.0832223532735675E-2</v>
      </c>
    </row>
    <row r="879" spans="2:8">
      <c r="B879" s="36">
        <v>45911</v>
      </c>
      <c r="C879" s="185">
        <v>2562.6</v>
      </c>
      <c r="D879" s="185">
        <f t="shared" si="29"/>
        <v>0.83114795098074234</v>
      </c>
      <c r="E879" s="185">
        <v>5.2171184246654874E-3</v>
      </c>
      <c r="F879" s="171"/>
      <c r="G879" s="171">
        <v>876</v>
      </c>
      <c r="H879" s="186">
        <f t="shared" ca="1" si="30"/>
        <v>1.4928652375819088E-2</v>
      </c>
    </row>
    <row r="880" spans="2:8">
      <c r="B880" s="36">
        <v>43472</v>
      </c>
      <c r="C880" s="185">
        <v>1399.45</v>
      </c>
      <c r="D880" s="185">
        <f t="shared" si="29"/>
        <v>-0.2169594897045658</v>
      </c>
      <c r="E880" s="185">
        <v>5.2075851170808787E-3</v>
      </c>
      <c r="F880" s="171"/>
      <c r="G880" s="171">
        <v>877</v>
      </c>
      <c r="H880" s="186">
        <f t="shared" ca="1" si="30"/>
        <v>1.1792820704378431E-2</v>
      </c>
    </row>
    <row r="881" spans="2:8">
      <c r="B881" s="36">
        <v>43749</v>
      </c>
      <c r="C881" s="185">
        <v>1787.2</v>
      </c>
      <c r="D881" s="185">
        <f t="shared" si="29"/>
        <v>-0.35769991015274033</v>
      </c>
      <c r="E881" s="185">
        <v>5.2026209960910038E-3</v>
      </c>
      <c r="F881" s="171"/>
      <c r="G881" s="171">
        <v>878</v>
      </c>
      <c r="H881" s="186">
        <f t="shared" ca="1" si="30"/>
        <v>-4.9150083375726185E-3</v>
      </c>
    </row>
    <row r="882" spans="2:8">
      <c r="B882" s="36">
        <v>46006</v>
      </c>
      <c r="C882" s="185">
        <v>2782.5</v>
      </c>
      <c r="D882" s="185">
        <f t="shared" si="29"/>
        <v>2.1603157476290531</v>
      </c>
      <c r="E882" s="185">
        <v>5.2021242007153252E-3</v>
      </c>
      <c r="F882" s="171"/>
      <c r="G882" s="171">
        <v>879</v>
      </c>
      <c r="H882" s="186">
        <f t="shared" ca="1" si="30"/>
        <v>-3.3141310962151956E-2</v>
      </c>
    </row>
    <row r="883" spans="2:8">
      <c r="B883" s="36">
        <v>42424</v>
      </c>
      <c r="C883" s="185">
        <v>880.45</v>
      </c>
      <c r="D883" s="185">
        <f t="shared" si="29"/>
        <v>-0.74734561524334253</v>
      </c>
      <c r="E883" s="185">
        <v>5.1946569243065061E-3</v>
      </c>
      <c r="F883" s="171"/>
      <c r="G883" s="171">
        <v>880</v>
      </c>
      <c r="H883" s="186">
        <f t="shared" ca="1" si="30"/>
        <v>-1.5011812383378988E-2</v>
      </c>
    </row>
    <row r="884" spans="2:8">
      <c r="B884" s="36">
        <v>44778</v>
      </c>
      <c r="C884" s="185">
        <v>3484.8</v>
      </c>
      <c r="D884" s="185">
        <f t="shared" si="29"/>
        <v>0.3111596056889156</v>
      </c>
      <c r="E884" s="185">
        <v>5.192107995846313E-3</v>
      </c>
      <c r="F884" s="171"/>
      <c r="G884" s="171">
        <v>881</v>
      </c>
      <c r="H884" s="186">
        <f t="shared" ca="1" si="30"/>
        <v>-1.5909693273080575E-2</v>
      </c>
    </row>
    <row r="885" spans="2:8">
      <c r="B885" s="36">
        <v>46167</v>
      </c>
      <c r="C885" s="185">
        <v>2657.8</v>
      </c>
      <c r="D885" s="185">
        <f t="shared" si="29"/>
        <v>0.89281771890467543</v>
      </c>
      <c r="E885" s="185">
        <v>5.1813471502591708E-3</v>
      </c>
      <c r="F885" s="171"/>
      <c r="G885" s="171">
        <v>882</v>
      </c>
      <c r="H885" s="186">
        <f t="shared" ca="1" si="30"/>
        <v>1.8531969614408013E-2</v>
      </c>
    </row>
    <row r="886" spans="2:8">
      <c r="B886" s="36">
        <v>43339</v>
      </c>
      <c r="C886" s="185">
        <v>1404.15</v>
      </c>
      <c r="D886" s="185">
        <f t="shared" si="29"/>
        <v>0.17995798319327738</v>
      </c>
      <c r="E886" s="185">
        <v>5.1540856866745732E-3</v>
      </c>
      <c r="F886" s="171"/>
      <c r="G886" s="171">
        <v>883</v>
      </c>
      <c r="H886" s="186">
        <f t="shared" ca="1" si="30"/>
        <v>1.876571643870497E-2</v>
      </c>
    </row>
    <row r="887" spans="2:8">
      <c r="B887" s="36">
        <v>42621</v>
      </c>
      <c r="C887" s="185">
        <v>1190</v>
      </c>
      <c r="D887" s="185">
        <f t="shared" si="29"/>
        <v>-0.5446893174165901</v>
      </c>
      <c r="E887" s="185">
        <v>5.152462201199348E-3</v>
      </c>
      <c r="F887" s="171"/>
      <c r="G887" s="171">
        <v>884</v>
      </c>
      <c r="H887" s="186">
        <f t="shared" ca="1" si="30"/>
        <v>-1.83217745318496E-3</v>
      </c>
    </row>
    <row r="888" spans="2:8">
      <c r="B888" s="36">
        <v>45968</v>
      </c>
      <c r="C888" s="185">
        <v>2613.6</v>
      </c>
      <c r="D888" s="185">
        <f t="shared" si="29"/>
        <v>1.9537209696558737</v>
      </c>
      <c r="E888" s="185">
        <v>5.1147944467944953E-3</v>
      </c>
      <c r="F888" s="171"/>
      <c r="G888" s="171">
        <v>885</v>
      </c>
      <c r="H888" s="186">
        <f t="shared" ca="1" si="30"/>
        <v>2.2601549223257428E-2</v>
      </c>
    </row>
    <row r="889" spans="2:8">
      <c r="B889" s="36">
        <v>42362</v>
      </c>
      <c r="C889" s="185">
        <v>884.85</v>
      </c>
      <c r="D889" s="185">
        <f t="shared" si="29"/>
        <v>-0.50957461549120131</v>
      </c>
      <c r="E889" s="185">
        <v>5.111603339580848E-3</v>
      </c>
      <c r="F889" s="171"/>
      <c r="G889" s="171">
        <v>886</v>
      </c>
      <c r="H889" s="186">
        <f t="shared" ca="1" si="30"/>
        <v>1.468293181464524E-2</v>
      </c>
    </row>
    <row r="890" spans="2:8">
      <c r="B890" s="36">
        <v>43860</v>
      </c>
      <c r="C890" s="185">
        <v>1804.25</v>
      </c>
      <c r="D890" s="185">
        <f t="shared" si="29"/>
        <v>-0.43058448526162973</v>
      </c>
      <c r="E890" s="185">
        <v>5.0972090691326901E-3</v>
      </c>
      <c r="F890" s="171"/>
      <c r="G890" s="171">
        <v>887</v>
      </c>
      <c r="H890" s="186">
        <f t="shared" ca="1" si="30"/>
        <v>-3.4685703139018288E-3</v>
      </c>
    </row>
    <row r="891" spans="2:8">
      <c r="B891" s="36">
        <v>45530</v>
      </c>
      <c r="C891" s="185">
        <v>3168.6</v>
      </c>
      <c r="D891" s="185">
        <f t="shared" si="29"/>
        <v>1.0034776010875408</v>
      </c>
      <c r="E891" s="185">
        <v>5.0911167150401188E-3</v>
      </c>
      <c r="F891" s="171"/>
      <c r="G891" s="171">
        <v>888</v>
      </c>
      <c r="H891" s="186">
        <f t="shared" ca="1" si="30"/>
        <v>6.9685110389561744E-3</v>
      </c>
    </row>
    <row r="892" spans="2:8">
      <c r="B892" s="36">
        <v>43686</v>
      </c>
      <c r="C892" s="185">
        <v>1581.55</v>
      </c>
      <c r="D892" s="185">
        <f t="shared" si="29"/>
        <v>0.61004784688995217</v>
      </c>
      <c r="E892" s="185">
        <v>5.0840456293095235E-3</v>
      </c>
      <c r="F892" s="171"/>
      <c r="G892" s="171">
        <v>889</v>
      </c>
      <c r="H892" s="186">
        <f t="shared" ca="1" si="30"/>
        <v>5.2477975273662941E-3</v>
      </c>
    </row>
    <row r="893" spans="2:8">
      <c r="B893" s="36">
        <v>42549</v>
      </c>
      <c r="C893" s="185">
        <v>982.3</v>
      </c>
      <c r="D893" s="185">
        <f t="shared" si="29"/>
        <v>0.1246851385390428</v>
      </c>
      <c r="E893" s="185">
        <v>5.0647158131681908E-3</v>
      </c>
      <c r="F893" s="171"/>
      <c r="G893" s="171">
        <v>890</v>
      </c>
      <c r="H893" s="186">
        <f t="shared" ca="1" si="30"/>
        <v>1.600435757571473E-2</v>
      </c>
    </row>
    <row r="894" spans="2:8">
      <c r="B894" s="36">
        <v>42461</v>
      </c>
      <c r="C894" s="185">
        <v>873.4</v>
      </c>
      <c r="D894" s="185">
        <f t="shared" si="29"/>
        <v>-0.61775132390914256</v>
      </c>
      <c r="E894" s="185">
        <v>5.0632911392404804E-3</v>
      </c>
      <c r="F894" s="171"/>
      <c r="G894" s="171">
        <v>891</v>
      </c>
      <c r="H894" s="186">
        <f t="shared" ca="1" si="30"/>
        <v>1.4194375633262786E-2</v>
      </c>
    </row>
    <row r="895" spans="2:8">
      <c r="B895" s="36">
        <v>45828</v>
      </c>
      <c r="C895" s="185">
        <v>2284.9</v>
      </c>
      <c r="D895" s="185">
        <f t="shared" si="29"/>
        <v>0.97707017392056761</v>
      </c>
      <c r="E895" s="185">
        <v>5.0585026832057709E-3</v>
      </c>
      <c r="F895" s="171"/>
      <c r="G895" s="171">
        <v>892</v>
      </c>
      <c r="H895" s="186">
        <f t="shared" ca="1" si="30"/>
        <v>-1.1389312777322063E-2</v>
      </c>
    </row>
    <row r="896" spans="2:8">
      <c r="B896" s="36">
        <v>43129</v>
      </c>
      <c r="C896" s="185">
        <v>1155.7</v>
      </c>
      <c r="D896" s="185">
        <f t="shared" si="29"/>
        <v>-0.6231392561916097</v>
      </c>
      <c r="E896" s="185">
        <v>5.0439168623358155E-3</v>
      </c>
      <c r="F896" s="171"/>
      <c r="G896" s="171">
        <v>893</v>
      </c>
      <c r="H896" s="186">
        <f t="shared" ca="1" si="30"/>
        <v>-5.2257331063965884E-3</v>
      </c>
    </row>
    <row r="897" spans="2:8">
      <c r="B897" s="36">
        <v>44368</v>
      </c>
      <c r="C897" s="185">
        <v>3066.65</v>
      </c>
      <c r="D897" s="185">
        <f t="shared" si="29"/>
        <v>1.1301357968950787</v>
      </c>
      <c r="E897" s="185">
        <v>5.0306426768917866E-3</v>
      </c>
      <c r="F897" s="171"/>
      <c r="G897" s="171">
        <v>894</v>
      </c>
      <c r="H897" s="186">
        <f t="shared" ca="1" si="30"/>
        <v>2.3085317129161436E-3</v>
      </c>
    </row>
    <row r="898" spans="2:8">
      <c r="B898" s="36">
        <v>43308</v>
      </c>
      <c r="C898" s="185">
        <v>1439.65</v>
      </c>
      <c r="D898" s="185">
        <f t="shared" si="29"/>
        <v>0.23803586017113146</v>
      </c>
      <c r="E898" s="185">
        <v>5.0263534503822435E-3</v>
      </c>
      <c r="F898" s="171"/>
      <c r="G898" s="171">
        <v>895</v>
      </c>
      <c r="H898" s="186">
        <f t="shared" ca="1" si="30"/>
        <v>4.3131649185474833E-3</v>
      </c>
    </row>
    <row r="899" spans="2:8">
      <c r="B899" s="36">
        <v>42908</v>
      </c>
      <c r="C899" s="185">
        <v>1162.8499999999999</v>
      </c>
      <c r="D899" s="185">
        <f t="shared" si="29"/>
        <v>0.36236892976392709</v>
      </c>
      <c r="E899" s="185">
        <v>5.0127479365627715E-3</v>
      </c>
      <c r="F899" s="171"/>
      <c r="G899" s="171">
        <v>896</v>
      </c>
      <c r="H899" s="186">
        <f t="shared" ca="1" si="30"/>
        <v>-7.0422854821165495E-3</v>
      </c>
    </row>
    <row r="900" spans="2:8">
      <c r="B900" s="36">
        <v>42340</v>
      </c>
      <c r="C900" s="185">
        <v>853.55</v>
      </c>
      <c r="D900" s="185">
        <f t="shared" ref="D900:D963" si="31">(C900-C901)/C901</f>
        <v>-0.71329481710389309</v>
      </c>
      <c r="E900" s="185">
        <v>5.0041210408571764E-3</v>
      </c>
      <c r="F900" s="171"/>
      <c r="G900" s="171">
        <v>897</v>
      </c>
      <c r="H900" s="186">
        <f t="shared" ca="1" si="30"/>
        <v>-1.3592549586485632E-2</v>
      </c>
    </row>
    <row r="901" spans="2:8">
      <c r="B901" s="36">
        <v>45335</v>
      </c>
      <c r="C901" s="185">
        <v>2977.1</v>
      </c>
      <c r="D901" s="185">
        <f t="shared" si="31"/>
        <v>5.8091802462992843E-2</v>
      </c>
      <c r="E901" s="185">
        <v>4.9961178813758651E-3</v>
      </c>
      <c r="F901" s="171"/>
      <c r="G901" s="171">
        <v>898</v>
      </c>
      <c r="H901" s="186">
        <f t="shared" ref="H901:H964" ca="1" si="32">_xlfn.NORM.INV(RAND(),N$6,N$7)</f>
        <v>8.2320466051344111E-3</v>
      </c>
    </row>
    <row r="902" spans="2:8">
      <c r="B902" s="36">
        <v>45029</v>
      </c>
      <c r="C902" s="185">
        <v>2813.65</v>
      </c>
      <c r="D902" s="185">
        <f t="shared" si="31"/>
        <v>-0.12348717309699228</v>
      </c>
      <c r="E902" s="185">
        <v>4.9647289936601809E-3</v>
      </c>
      <c r="F902" s="171"/>
      <c r="G902" s="171">
        <v>899</v>
      </c>
      <c r="H902" s="186">
        <f t="shared" ca="1" si="32"/>
        <v>3.5291377056009467E-2</v>
      </c>
    </row>
    <row r="903" spans="2:8">
      <c r="B903" s="36">
        <v>45089</v>
      </c>
      <c r="C903" s="185">
        <v>3210.05</v>
      </c>
      <c r="D903" s="185">
        <f t="shared" si="31"/>
        <v>1.327388073228204</v>
      </c>
      <c r="E903" s="185">
        <v>4.9621188403983357E-3</v>
      </c>
      <c r="F903" s="171"/>
      <c r="G903" s="171">
        <v>900</v>
      </c>
      <c r="H903" s="186">
        <f t="shared" ca="1" si="32"/>
        <v>-2.4293837833154003E-2</v>
      </c>
    </row>
    <row r="904" spans="2:8">
      <c r="B904" s="36">
        <v>43493</v>
      </c>
      <c r="C904" s="185">
        <v>1379.25</v>
      </c>
      <c r="D904" s="185">
        <f t="shared" si="31"/>
        <v>0.23533363188535603</v>
      </c>
      <c r="E904" s="185">
        <v>4.9546431563991071E-3</v>
      </c>
      <c r="F904" s="171"/>
      <c r="G904" s="171">
        <v>901</v>
      </c>
      <c r="H904" s="186">
        <f t="shared" ca="1" si="32"/>
        <v>1.6060447174167684E-3</v>
      </c>
    </row>
    <row r="905" spans="2:8">
      <c r="B905" s="36">
        <v>42601</v>
      </c>
      <c r="C905" s="185">
        <v>1116.5</v>
      </c>
      <c r="D905" s="185">
        <f t="shared" si="31"/>
        <v>-0.65841644740867644</v>
      </c>
      <c r="E905" s="185">
        <v>4.9504950495049506E-3</v>
      </c>
      <c r="F905" s="171"/>
      <c r="G905" s="171">
        <v>902</v>
      </c>
      <c r="H905" s="186">
        <f t="shared" ca="1" si="32"/>
        <v>-1.8566855608995902E-2</v>
      </c>
    </row>
    <row r="906" spans="2:8">
      <c r="B906" s="36">
        <v>45191</v>
      </c>
      <c r="C906" s="185">
        <v>3268.6</v>
      </c>
      <c r="D906" s="185">
        <f t="shared" si="31"/>
        <v>0.4318380935693007</v>
      </c>
      <c r="E906" s="185">
        <v>4.9345897834006322E-3</v>
      </c>
      <c r="F906" s="171"/>
      <c r="G906" s="171">
        <v>903</v>
      </c>
      <c r="H906" s="186">
        <f t="shared" ca="1" si="32"/>
        <v>3.8419198087637126E-4</v>
      </c>
    </row>
    <row r="907" spans="2:8">
      <c r="B907" s="36">
        <v>45726</v>
      </c>
      <c r="C907" s="185">
        <v>2282.8000000000002</v>
      </c>
      <c r="D907" s="185">
        <f t="shared" si="31"/>
        <v>0.2111308592195667</v>
      </c>
      <c r="E907" s="185">
        <v>4.9083265467832152E-3</v>
      </c>
      <c r="F907" s="171"/>
      <c r="G907" s="171">
        <v>904</v>
      </c>
      <c r="H907" s="186">
        <f t="shared" ca="1" si="32"/>
        <v>1.3204044902286084E-2</v>
      </c>
    </row>
    <row r="908" spans="2:8">
      <c r="B908" s="36">
        <v>44062</v>
      </c>
      <c r="C908" s="185">
        <v>1884.85</v>
      </c>
      <c r="D908" s="185">
        <f t="shared" si="31"/>
        <v>-0.44606409710078915</v>
      </c>
      <c r="E908" s="185">
        <v>4.9049662783567389E-3</v>
      </c>
      <c r="F908" s="171"/>
      <c r="G908" s="171">
        <v>905</v>
      </c>
      <c r="H908" s="186">
        <f t="shared" ca="1" si="32"/>
        <v>8.5005448238301747E-3</v>
      </c>
    </row>
    <row r="909" spans="2:8">
      <c r="B909" s="36">
        <v>45295</v>
      </c>
      <c r="C909" s="185">
        <v>3402.65</v>
      </c>
      <c r="D909" s="185">
        <f t="shared" si="31"/>
        <v>1.3808074447243213</v>
      </c>
      <c r="E909" s="185">
        <v>4.9024674768535339E-3</v>
      </c>
      <c r="F909" s="171"/>
      <c r="G909" s="171">
        <v>906</v>
      </c>
      <c r="H909" s="186">
        <f t="shared" ca="1" si="32"/>
        <v>2.4201500534077394E-2</v>
      </c>
    </row>
    <row r="910" spans="2:8">
      <c r="B910" s="36">
        <v>43622</v>
      </c>
      <c r="C910" s="185">
        <v>1429.2</v>
      </c>
      <c r="D910" s="185">
        <f t="shared" si="31"/>
        <v>-4.8151848151848121E-2</v>
      </c>
      <c r="E910" s="185">
        <v>4.8866233081385447E-3</v>
      </c>
      <c r="F910" s="171"/>
      <c r="G910" s="171">
        <v>907</v>
      </c>
      <c r="H910" s="186">
        <f t="shared" ca="1" si="32"/>
        <v>-7.9666824147322374E-3</v>
      </c>
    </row>
    <row r="911" spans="2:8">
      <c r="B911" s="36">
        <v>43553</v>
      </c>
      <c r="C911" s="185">
        <v>1501.5</v>
      </c>
      <c r="D911" s="185">
        <f t="shared" si="31"/>
        <v>8.7373719086070251E-2</v>
      </c>
      <c r="E911" s="185">
        <v>4.8855574889572709E-3</v>
      </c>
      <c r="F911" s="171"/>
      <c r="G911" s="171">
        <v>908</v>
      </c>
      <c r="H911" s="186">
        <f t="shared" ca="1" si="32"/>
        <v>-2.5050528450784263E-2</v>
      </c>
    </row>
    <row r="912" spans="2:8">
      <c r="B912" s="36">
        <v>43465</v>
      </c>
      <c r="C912" s="185">
        <v>1380.85</v>
      </c>
      <c r="D912" s="185">
        <f t="shared" si="31"/>
        <v>0.38078096095195235</v>
      </c>
      <c r="E912" s="185">
        <v>4.8757413673906182E-3</v>
      </c>
      <c r="F912" s="171"/>
      <c r="G912" s="171">
        <v>909</v>
      </c>
      <c r="H912" s="186">
        <f t="shared" ca="1" si="32"/>
        <v>-1.699857026982729E-2</v>
      </c>
    </row>
    <row r="913" spans="2:8">
      <c r="B913" s="36">
        <v>42773</v>
      </c>
      <c r="C913" s="185">
        <v>1000.05</v>
      </c>
      <c r="D913" s="185">
        <f t="shared" si="31"/>
        <v>-0.34780056738513709</v>
      </c>
      <c r="E913" s="185">
        <v>4.8733922829581082E-3</v>
      </c>
      <c r="F913" s="171"/>
      <c r="G913" s="171">
        <v>910</v>
      </c>
      <c r="H913" s="186">
        <f t="shared" ca="1" si="32"/>
        <v>1.0179838574750438E-2</v>
      </c>
    </row>
    <row r="914" spans="2:8">
      <c r="B914" s="36">
        <v>43725</v>
      </c>
      <c r="C914" s="185">
        <v>1533.35</v>
      </c>
      <c r="D914" s="185">
        <f t="shared" si="31"/>
        <v>0.78161854412362741</v>
      </c>
      <c r="E914" s="185">
        <v>4.849438054982053E-3</v>
      </c>
      <c r="F914" s="171"/>
      <c r="G914" s="171">
        <v>911</v>
      </c>
      <c r="H914" s="186">
        <f t="shared" ca="1" si="32"/>
        <v>-1.9373320386867551E-3</v>
      </c>
    </row>
    <row r="915" spans="2:8">
      <c r="B915" s="36">
        <v>42334</v>
      </c>
      <c r="C915" s="185">
        <v>860.65</v>
      </c>
      <c r="D915" s="185">
        <f t="shared" si="31"/>
        <v>-0.585418723957706</v>
      </c>
      <c r="E915" s="185">
        <v>4.8453006421482515E-3</v>
      </c>
      <c r="F915" s="171"/>
      <c r="G915" s="171">
        <v>912</v>
      </c>
      <c r="H915" s="186">
        <f t="shared" ca="1" si="32"/>
        <v>-1.266522816006958E-2</v>
      </c>
    </row>
    <row r="916" spans="2:8">
      <c r="B916" s="36">
        <v>44123</v>
      </c>
      <c r="C916" s="185">
        <v>2075.9499999999998</v>
      </c>
      <c r="D916" s="185">
        <f t="shared" si="31"/>
        <v>-0.26206810749324616</v>
      </c>
      <c r="E916" s="185">
        <v>4.8403881991335709E-3</v>
      </c>
      <c r="F916" s="171"/>
      <c r="G916" s="171">
        <v>913</v>
      </c>
      <c r="H916" s="186">
        <f t="shared" ca="1" si="32"/>
        <v>1.2018896003264026E-2</v>
      </c>
    </row>
    <row r="917" spans="2:8">
      <c r="B917" s="36">
        <v>45012</v>
      </c>
      <c r="C917" s="185">
        <v>2813.2</v>
      </c>
      <c r="D917" s="185">
        <f t="shared" si="31"/>
        <v>0.71140041367562956</v>
      </c>
      <c r="E917" s="185">
        <v>4.8398907006231943E-3</v>
      </c>
      <c r="F917" s="171"/>
      <c r="G917" s="171">
        <v>914</v>
      </c>
      <c r="H917" s="186">
        <f t="shared" ca="1" si="32"/>
        <v>3.6434422753852769E-5</v>
      </c>
    </row>
    <row r="918" spans="2:8">
      <c r="B918" s="36">
        <v>43991</v>
      </c>
      <c r="C918" s="185">
        <v>1643.8</v>
      </c>
      <c r="D918" s="185">
        <f t="shared" si="31"/>
        <v>-0.35964160498636544</v>
      </c>
      <c r="E918" s="185">
        <v>4.8291460358211771E-3</v>
      </c>
      <c r="F918" s="171"/>
      <c r="G918" s="171">
        <v>915</v>
      </c>
      <c r="H918" s="186">
        <f t="shared" ca="1" si="32"/>
        <v>1.1948490109948183E-2</v>
      </c>
    </row>
    <row r="919" spans="2:8">
      <c r="B919" s="36">
        <v>45903</v>
      </c>
      <c r="C919" s="185">
        <v>2567</v>
      </c>
      <c r="D919" s="185">
        <f t="shared" si="31"/>
        <v>8.6882885934456686E-2</v>
      </c>
      <c r="E919" s="185">
        <v>4.8146553411360172E-3</v>
      </c>
      <c r="F919" s="171"/>
      <c r="G919" s="171">
        <v>916</v>
      </c>
      <c r="H919" s="186">
        <f t="shared" ca="1" si="32"/>
        <v>-1.4354295320588547E-2</v>
      </c>
    </row>
    <row r="920" spans="2:8">
      <c r="B920" s="36">
        <v>45933</v>
      </c>
      <c r="C920" s="185">
        <v>2361.8000000000002</v>
      </c>
      <c r="D920" s="185">
        <f t="shared" si="31"/>
        <v>-0.30428891245434192</v>
      </c>
      <c r="E920" s="185">
        <v>4.8074877685599579E-3</v>
      </c>
      <c r="F920" s="171"/>
      <c r="G920" s="171">
        <v>917</v>
      </c>
      <c r="H920" s="186">
        <f t="shared" ca="1" si="32"/>
        <v>-7.9130807653446013E-3</v>
      </c>
    </row>
    <row r="921" spans="2:8">
      <c r="B921" s="36">
        <v>44578</v>
      </c>
      <c r="C921" s="185">
        <v>3394.8</v>
      </c>
      <c r="D921" s="185">
        <f t="shared" si="31"/>
        <v>2.1868575451771886</v>
      </c>
      <c r="E921" s="185">
        <v>4.7651463580668197E-3</v>
      </c>
      <c r="F921" s="171"/>
      <c r="G921" s="171">
        <v>918</v>
      </c>
      <c r="H921" s="186">
        <f t="shared" ca="1" si="32"/>
        <v>1.2504459168808954E-2</v>
      </c>
    </row>
    <row r="922" spans="2:8">
      <c r="B922" s="36">
        <v>42817</v>
      </c>
      <c r="C922" s="185">
        <v>1065.25</v>
      </c>
      <c r="D922" s="185">
        <f t="shared" si="31"/>
        <v>0.13342554662978132</v>
      </c>
      <c r="E922" s="185">
        <v>4.7632522165628691E-3</v>
      </c>
      <c r="F922" s="171"/>
      <c r="G922" s="171">
        <v>919</v>
      </c>
      <c r="H922" s="186">
        <f t="shared" ca="1" si="32"/>
        <v>1.9798366179163279E-2</v>
      </c>
    </row>
    <row r="923" spans="2:8">
      <c r="B923" s="36">
        <v>42712</v>
      </c>
      <c r="C923" s="185">
        <v>939.85</v>
      </c>
      <c r="D923" s="185">
        <f t="shared" si="31"/>
        <v>0.11152504287150385</v>
      </c>
      <c r="E923" s="185">
        <v>4.7573230703442868E-3</v>
      </c>
      <c r="F923" s="171"/>
      <c r="G923" s="171">
        <v>920</v>
      </c>
      <c r="H923" s="186">
        <f t="shared" ca="1" si="32"/>
        <v>1.5034677692651884E-2</v>
      </c>
    </row>
    <row r="924" spans="2:8">
      <c r="B924" s="36">
        <v>42390</v>
      </c>
      <c r="C924" s="185">
        <v>845.55</v>
      </c>
      <c r="D924" s="185">
        <f t="shared" si="31"/>
        <v>-0.25304770318021208</v>
      </c>
      <c r="E924" s="185">
        <v>4.7531340977957342E-3</v>
      </c>
      <c r="F924" s="171"/>
      <c r="G924" s="171">
        <v>921</v>
      </c>
      <c r="H924" s="186">
        <f t="shared" ca="1" si="32"/>
        <v>-1.3201346085393044E-2</v>
      </c>
    </row>
    <row r="925" spans="2:8">
      <c r="B925" s="36">
        <v>43140</v>
      </c>
      <c r="C925" s="185">
        <v>1132</v>
      </c>
      <c r="D925" s="185">
        <f t="shared" si="31"/>
        <v>0.40673542935255369</v>
      </c>
      <c r="E925" s="185">
        <v>4.7485909554874257E-3</v>
      </c>
      <c r="F925" s="171"/>
      <c r="G925" s="171">
        <v>922</v>
      </c>
      <c r="H925" s="186">
        <f t="shared" ca="1" si="32"/>
        <v>-7.2477105353172906E-3</v>
      </c>
    </row>
    <row r="926" spans="2:8">
      <c r="B926" s="36">
        <v>42319</v>
      </c>
      <c r="C926" s="185">
        <v>804.7</v>
      </c>
      <c r="D926" s="185">
        <f t="shared" si="31"/>
        <v>-0.50368520060443456</v>
      </c>
      <c r="E926" s="185">
        <v>4.7446622549632521E-3</v>
      </c>
      <c r="F926" s="171"/>
      <c r="G926" s="171">
        <v>923</v>
      </c>
      <c r="H926" s="186">
        <f t="shared" ca="1" si="32"/>
        <v>4.6408742669980536E-3</v>
      </c>
    </row>
    <row r="927" spans="2:8">
      <c r="B927" s="36">
        <v>43917</v>
      </c>
      <c r="C927" s="185">
        <v>1621.35</v>
      </c>
      <c r="D927" s="185">
        <f t="shared" si="31"/>
        <v>0.14924156506946409</v>
      </c>
      <c r="E927" s="185">
        <v>4.7406581148911591E-3</v>
      </c>
      <c r="F927" s="171"/>
      <c r="G927" s="171">
        <v>924</v>
      </c>
      <c r="H927" s="186">
        <f t="shared" ca="1" si="32"/>
        <v>-4.9271423901537659E-3</v>
      </c>
    </row>
    <row r="928" spans="2:8">
      <c r="B928" s="36">
        <v>43340</v>
      </c>
      <c r="C928" s="185">
        <v>1410.8</v>
      </c>
      <c r="D928" s="185">
        <f t="shared" si="31"/>
        <v>9.6490887187657762E-2</v>
      </c>
      <c r="E928" s="185">
        <v>4.7359612577002903E-3</v>
      </c>
      <c r="F928" s="171"/>
      <c r="G928" s="171">
        <v>925</v>
      </c>
      <c r="H928" s="186">
        <f t="shared" ca="1" si="32"/>
        <v>7.5998101247207123E-3</v>
      </c>
    </row>
    <row r="929" spans="2:8">
      <c r="B929" s="36">
        <v>43265</v>
      </c>
      <c r="C929" s="185">
        <v>1286.6500000000001</v>
      </c>
      <c r="D929" s="185">
        <f t="shared" si="31"/>
        <v>-6.203754328412605E-2</v>
      </c>
      <c r="E929" s="185">
        <v>4.7243479618930048E-3</v>
      </c>
      <c r="F929" s="171"/>
      <c r="G929" s="171">
        <v>926</v>
      </c>
      <c r="H929" s="186">
        <f t="shared" ca="1" si="32"/>
        <v>8.1195519421495953E-3</v>
      </c>
    </row>
    <row r="930" spans="2:8">
      <c r="B930" s="36">
        <v>43291</v>
      </c>
      <c r="C930" s="185">
        <v>1371.75</v>
      </c>
      <c r="D930" s="185">
        <f t="shared" si="31"/>
        <v>-0.58004224834680385</v>
      </c>
      <c r="E930" s="185">
        <v>4.7242364315535383E-3</v>
      </c>
      <c r="F930" s="171"/>
      <c r="G930" s="171">
        <v>927</v>
      </c>
      <c r="H930" s="186">
        <f t="shared" ca="1" si="32"/>
        <v>-5.9738910626673941E-3</v>
      </c>
    </row>
    <row r="931" spans="2:8">
      <c r="B931" s="36">
        <v>45180</v>
      </c>
      <c r="C931" s="185">
        <v>3266.4</v>
      </c>
      <c r="D931" s="185">
        <f t="shared" si="31"/>
        <v>2.1632771644392799</v>
      </c>
      <c r="E931" s="185">
        <v>4.7215514987465302E-3</v>
      </c>
      <c r="F931" s="171"/>
      <c r="G931" s="171">
        <v>928</v>
      </c>
      <c r="H931" s="186">
        <f t="shared" ca="1" si="32"/>
        <v>1.0243375206823198E-2</v>
      </c>
    </row>
    <row r="932" spans="2:8">
      <c r="B932" s="36">
        <v>42528</v>
      </c>
      <c r="C932" s="185">
        <v>1032.5999999999999</v>
      </c>
      <c r="D932" s="185">
        <f t="shared" si="31"/>
        <v>-0.58329297820823245</v>
      </c>
      <c r="E932" s="185">
        <v>4.7190464607150661E-3</v>
      </c>
      <c r="F932" s="171"/>
      <c r="G932" s="171">
        <v>929</v>
      </c>
      <c r="H932" s="186">
        <f t="shared" ca="1" si="32"/>
        <v>-1.9071041566203427E-4</v>
      </c>
    </row>
    <row r="933" spans="2:8">
      <c r="B933" s="36">
        <v>45610</v>
      </c>
      <c r="C933" s="185">
        <v>2478</v>
      </c>
      <c r="D933" s="185">
        <f t="shared" si="31"/>
        <v>1.3637144083559882</v>
      </c>
      <c r="E933" s="185">
        <v>4.7032111579629861E-3</v>
      </c>
      <c r="F933" s="171"/>
      <c r="G933" s="171">
        <v>930</v>
      </c>
      <c r="H933" s="186">
        <f t="shared" ca="1" si="32"/>
        <v>-1.9067705488295561E-2</v>
      </c>
    </row>
    <row r="934" spans="2:8">
      <c r="B934" s="36">
        <v>42573</v>
      </c>
      <c r="C934" s="185">
        <v>1048.3499999999999</v>
      </c>
      <c r="D934" s="185">
        <f t="shared" si="31"/>
        <v>-0.56658260294360852</v>
      </c>
      <c r="E934" s="185">
        <v>4.6959605155971664E-3</v>
      </c>
      <c r="F934" s="171"/>
      <c r="G934" s="171">
        <v>931</v>
      </c>
      <c r="H934" s="186">
        <f t="shared" ca="1" si="32"/>
        <v>-1.3917049598722231E-2</v>
      </c>
    </row>
    <row r="935" spans="2:8">
      <c r="B935" s="36">
        <v>44274</v>
      </c>
      <c r="C935" s="185">
        <v>2418.8000000000002</v>
      </c>
      <c r="D935" s="185">
        <f t="shared" si="31"/>
        <v>-0.1680825451418744</v>
      </c>
      <c r="E935" s="185">
        <v>4.6936656282451431E-3</v>
      </c>
      <c r="F935" s="171"/>
      <c r="G935" s="171">
        <v>932</v>
      </c>
      <c r="H935" s="186">
        <f t="shared" ca="1" si="32"/>
        <v>4.9461819947255901E-3</v>
      </c>
    </row>
    <row r="936" spans="2:8">
      <c r="B936" s="36">
        <v>45435</v>
      </c>
      <c r="C936" s="185">
        <v>2907.5</v>
      </c>
      <c r="D936" s="185">
        <f t="shared" si="31"/>
        <v>2.3335244210043564</v>
      </c>
      <c r="E936" s="185">
        <v>4.6821817930510837E-3</v>
      </c>
      <c r="F936" s="171"/>
      <c r="G936" s="171">
        <v>933</v>
      </c>
      <c r="H936" s="186">
        <f t="shared" ca="1" si="32"/>
        <v>2.5134001510049449E-3</v>
      </c>
    </row>
    <row r="937" spans="2:8">
      <c r="B937" s="36">
        <v>42726</v>
      </c>
      <c r="C937" s="185">
        <v>872.2</v>
      </c>
      <c r="D937" s="185">
        <f t="shared" si="31"/>
        <v>-0.48459152016546014</v>
      </c>
      <c r="E937" s="185">
        <v>4.6650924379428305E-3</v>
      </c>
      <c r="F937" s="171"/>
      <c r="G937" s="171">
        <v>934</v>
      </c>
      <c r="H937" s="186">
        <f t="shared" ca="1" si="32"/>
        <v>1.1786428833775033E-2</v>
      </c>
    </row>
    <row r="938" spans="2:8">
      <c r="B938" s="36">
        <v>44011</v>
      </c>
      <c r="C938" s="185">
        <v>1692.25</v>
      </c>
      <c r="D938" s="185">
        <f t="shared" si="31"/>
        <v>-0.41428423092897682</v>
      </c>
      <c r="E938" s="185">
        <v>4.6604132035145502E-3</v>
      </c>
      <c r="F938" s="171"/>
      <c r="G938" s="171">
        <v>935</v>
      </c>
      <c r="H938" s="186">
        <f t="shared" ca="1" si="32"/>
        <v>1.1628016667441551E-2</v>
      </c>
    </row>
    <row r="939" spans="2:8">
      <c r="B939" s="36">
        <v>45987</v>
      </c>
      <c r="C939" s="185">
        <v>2889.2</v>
      </c>
      <c r="D939" s="185">
        <f t="shared" si="31"/>
        <v>-0.1185820189755637</v>
      </c>
      <c r="E939" s="185">
        <v>4.6595729883857134E-3</v>
      </c>
      <c r="F939" s="171"/>
      <c r="G939" s="171">
        <v>936</v>
      </c>
      <c r="H939" s="186">
        <f t="shared" ca="1" si="32"/>
        <v>2.1704092337155008E-3</v>
      </c>
    </row>
    <row r="940" spans="2:8">
      <c r="B940" s="36">
        <v>45182</v>
      </c>
      <c r="C940" s="185">
        <v>3277.9</v>
      </c>
      <c r="D940" s="185">
        <f t="shared" si="31"/>
        <v>7.5532368671457253E-2</v>
      </c>
      <c r="E940" s="185">
        <v>4.6587182394949803E-3</v>
      </c>
      <c r="F940" s="171"/>
      <c r="G940" s="171">
        <v>937</v>
      </c>
      <c r="H940" s="186">
        <f t="shared" ca="1" si="32"/>
        <v>-1.6238387982952154E-2</v>
      </c>
    </row>
    <row r="941" spans="2:8">
      <c r="B941" s="36">
        <v>44649</v>
      </c>
      <c r="C941" s="185">
        <v>3047.7</v>
      </c>
      <c r="D941" s="185">
        <f t="shared" si="31"/>
        <v>0.19884352135945246</v>
      </c>
      <c r="E941" s="185">
        <v>4.6479430379746537E-3</v>
      </c>
      <c r="F941" s="171"/>
      <c r="G941" s="171">
        <v>938</v>
      </c>
      <c r="H941" s="186">
        <f t="shared" ca="1" si="32"/>
        <v>1.6446118350111295E-3</v>
      </c>
    </row>
    <row r="942" spans="2:8">
      <c r="B942" s="36">
        <v>46149</v>
      </c>
      <c r="C942" s="185">
        <v>2542.1999999999998</v>
      </c>
      <c r="D942" s="185">
        <f t="shared" si="31"/>
        <v>-0.13498247643676214</v>
      </c>
      <c r="E942" s="185">
        <v>4.6235921754593234E-3</v>
      </c>
      <c r="F942" s="171"/>
      <c r="G942" s="171">
        <v>939</v>
      </c>
      <c r="H942" s="186">
        <f t="shared" ca="1" si="32"/>
        <v>-1.5406678437959915E-2</v>
      </c>
    </row>
    <row r="943" spans="2:8">
      <c r="B943" s="36">
        <v>44356</v>
      </c>
      <c r="C943" s="185">
        <v>2938.9</v>
      </c>
      <c r="D943" s="185">
        <f t="shared" si="31"/>
        <v>0.21231746555564734</v>
      </c>
      <c r="E943" s="185">
        <v>4.6147535379777119E-3</v>
      </c>
      <c r="F943" s="171"/>
      <c r="G943" s="171">
        <v>940</v>
      </c>
      <c r="H943" s="186">
        <f t="shared" ca="1" si="32"/>
        <v>2.6615719222347456E-2</v>
      </c>
    </row>
    <row r="944" spans="2:8">
      <c r="B944" s="36">
        <v>46078</v>
      </c>
      <c r="C944" s="185">
        <v>2424.1999999999998</v>
      </c>
      <c r="D944" s="185">
        <f t="shared" si="31"/>
        <v>-0.22184059320129693</v>
      </c>
      <c r="E944" s="185">
        <v>4.5998922547759767E-3</v>
      </c>
      <c r="F944" s="171"/>
      <c r="G944" s="171">
        <v>941</v>
      </c>
      <c r="H944" s="186">
        <f t="shared" ca="1" si="32"/>
        <v>1.1859379037547258E-2</v>
      </c>
    </row>
    <row r="945" spans="2:8">
      <c r="B945" s="36">
        <v>44889</v>
      </c>
      <c r="C945" s="185">
        <v>3115.3</v>
      </c>
      <c r="D945" s="185">
        <f t="shared" si="31"/>
        <v>-4.5533702928536052E-3</v>
      </c>
      <c r="E945" s="185">
        <v>4.5952177488270103E-3</v>
      </c>
      <c r="F945" s="171"/>
      <c r="G945" s="171">
        <v>942</v>
      </c>
      <c r="H945" s="186">
        <f t="shared" ca="1" si="32"/>
        <v>3.3931690654237824E-2</v>
      </c>
    </row>
    <row r="946" spans="2:8">
      <c r="B946" s="36">
        <v>44890</v>
      </c>
      <c r="C946" s="185">
        <v>3129.55</v>
      </c>
      <c r="D946" s="185">
        <f t="shared" si="31"/>
        <v>6.1098208079746481E-2</v>
      </c>
      <c r="E946" s="185">
        <v>4.5741983115590787E-3</v>
      </c>
      <c r="F946" s="171"/>
      <c r="G946" s="171">
        <v>943</v>
      </c>
      <c r="H946" s="186">
        <f t="shared" ca="1" si="32"/>
        <v>-1.0587844814749491E-2</v>
      </c>
    </row>
    <row r="947" spans="2:8">
      <c r="B947" s="36">
        <v>44343</v>
      </c>
      <c r="C947" s="185">
        <v>2949.35</v>
      </c>
      <c r="D947" s="185">
        <f t="shared" si="31"/>
        <v>2.3482999375603111</v>
      </c>
      <c r="E947" s="185">
        <v>4.5641104242238771E-3</v>
      </c>
      <c r="F947" s="171"/>
      <c r="G947" s="171">
        <v>944</v>
      </c>
      <c r="H947" s="186">
        <f t="shared" ca="1" si="32"/>
        <v>-1.0703275853388343E-2</v>
      </c>
    </row>
    <row r="948" spans="2:8">
      <c r="B948" s="36">
        <v>42733</v>
      </c>
      <c r="C948" s="185">
        <v>880.85</v>
      </c>
      <c r="D948" s="185">
        <f t="shared" si="31"/>
        <v>-0.75240330559928048</v>
      </c>
      <c r="E948" s="185">
        <v>4.5617836574100472E-3</v>
      </c>
      <c r="F948" s="171"/>
      <c r="G948" s="171">
        <v>945</v>
      </c>
      <c r="H948" s="186">
        <f t="shared" ca="1" si="32"/>
        <v>6.1197405758619504E-3</v>
      </c>
    </row>
    <row r="949" spans="2:8">
      <c r="B949" s="36">
        <v>44573</v>
      </c>
      <c r="C949" s="185">
        <v>3557.6</v>
      </c>
      <c r="D949" s="185">
        <f t="shared" si="31"/>
        <v>2.1772796284719118</v>
      </c>
      <c r="E949" s="185">
        <v>4.5602789817730284E-3</v>
      </c>
      <c r="F949" s="171"/>
      <c r="G949" s="171">
        <v>946</v>
      </c>
      <c r="H949" s="186">
        <f t="shared" ca="1" si="32"/>
        <v>3.9027822836047361E-3</v>
      </c>
    </row>
    <row r="950" spans="2:8">
      <c r="B950" s="36">
        <v>43159</v>
      </c>
      <c r="C950" s="185">
        <v>1119.7</v>
      </c>
      <c r="D950" s="185">
        <f t="shared" si="31"/>
        <v>0.34506576971589881</v>
      </c>
      <c r="E950" s="185">
        <v>4.5305701341227774E-3</v>
      </c>
      <c r="F950" s="171"/>
      <c r="G950" s="171">
        <v>947</v>
      </c>
      <c r="H950" s="186">
        <f t="shared" ca="1" si="32"/>
        <v>-1.9295636392446885E-3</v>
      </c>
    </row>
    <row r="951" spans="2:8">
      <c r="B951" s="36">
        <v>42307</v>
      </c>
      <c r="C951" s="185">
        <v>832.45</v>
      </c>
      <c r="D951" s="185">
        <f t="shared" si="31"/>
        <v>-0.28054103107039446</v>
      </c>
      <c r="E951" s="185">
        <v>4.5251598889827441E-3</v>
      </c>
      <c r="F951" s="171"/>
      <c r="G951" s="171">
        <v>948</v>
      </c>
      <c r="H951" s="186">
        <f t="shared" ca="1" si="32"/>
        <v>-9.8790460350376428E-4</v>
      </c>
    </row>
    <row r="952" spans="2:8">
      <c r="B952" s="36">
        <v>42907</v>
      </c>
      <c r="C952" s="185">
        <v>1157.05</v>
      </c>
      <c r="D952" s="185">
        <f t="shared" si="31"/>
        <v>-0.49542104574593343</v>
      </c>
      <c r="E952" s="185">
        <v>4.5144767113773892E-3</v>
      </c>
      <c r="F952" s="171"/>
      <c r="G952" s="171">
        <v>949</v>
      </c>
      <c r="H952" s="186">
        <f t="shared" ca="1" si="32"/>
        <v>1.0244400025478887E-2</v>
      </c>
    </row>
    <row r="953" spans="2:8">
      <c r="B953" s="36">
        <v>45727</v>
      </c>
      <c r="C953" s="185">
        <v>2293.1</v>
      </c>
      <c r="D953" s="185">
        <f t="shared" si="31"/>
        <v>-8.2686614929194435E-2</v>
      </c>
      <c r="E953" s="185">
        <v>4.5120028035744381E-3</v>
      </c>
      <c r="F953" s="171"/>
      <c r="G953" s="171">
        <v>950</v>
      </c>
      <c r="H953" s="186">
        <f t="shared" ca="1" si="32"/>
        <v>6.3606079123146014E-3</v>
      </c>
    </row>
    <row r="954" spans="2:8">
      <c r="B954" s="36">
        <v>45917</v>
      </c>
      <c r="C954" s="185">
        <v>2499.8000000000002</v>
      </c>
      <c r="D954" s="185">
        <f t="shared" si="31"/>
        <v>0.82860904868146756</v>
      </c>
      <c r="E954" s="185">
        <v>4.5005223820623131E-3</v>
      </c>
      <c r="F954" s="171"/>
      <c r="G954" s="171">
        <v>951</v>
      </c>
      <c r="H954" s="186">
        <f t="shared" ca="1" si="32"/>
        <v>-2.7700512081613591E-2</v>
      </c>
    </row>
    <row r="955" spans="2:8">
      <c r="B955" s="36">
        <v>43644</v>
      </c>
      <c r="C955" s="185">
        <v>1367.05</v>
      </c>
      <c r="D955" s="185">
        <f t="shared" si="31"/>
        <v>-0.58805183064637634</v>
      </c>
      <c r="E955" s="185">
        <v>4.4821631948270754E-3</v>
      </c>
      <c r="F955" s="171"/>
      <c r="G955" s="171">
        <v>952</v>
      </c>
      <c r="H955" s="186">
        <f t="shared" ca="1" si="32"/>
        <v>2.1585622103977256E-2</v>
      </c>
    </row>
    <row r="956" spans="2:8">
      <c r="B956" s="36">
        <v>45104</v>
      </c>
      <c r="C956" s="185">
        <v>3318.5</v>
      </c>
      <c r="D956" s="185">
        <f t="shared" si="31"/>
        <v>0.96634373240897098</v>
      </c>
      <c r="E956" s="185">
        <v>4.4798256500288109E-3</v>
      </c>
      <c r="F956" s="171"/>
      <c r="G956" s="171">
        <v>953</v>
      </c>
      <c r="H956" s="186">
        <f t="shared" ca="1" si="32"/>
        <v>-2.0247057154477556E-3</v>
      </c>
    </row>
    <row r="957" spans="2:8">
      <c r="B957" s="36">
        <v>44013</v>
      </c>
      <c r="C957" s="185">
        <v>1687.65</v>
      </c>
      <c r="D957" s="185">
        <f t="shared" si="31"/>
        <v>0.86800597708783001</v>
      </c>
      <c r="E957" s="185">
        <v>4.4638871529327738E-3</v>
      </c>
      <c r="F957" s="171"/>
      <c r="G957" s="171">
        <v>954</v>
      </c>
      <c r="H957" s="186">
        <f t="shared" ca="1" si="32"/>
        <v>-2.5719765991180886E-2</v>
      </c>
    </row>
    <row r="958" spans="2:8">
      <c r="B958" s="36">
        <v>42233</v>
      </c>
      <c r="C958" s="185">
        <v>903.45</v>
      </c>
      <c r="D958" s="185">
        <f t="shared" si="31"/>
        <v>-0.72652974740060228</v>
      </c>
      <c r="E958" s="185">
        <v>4.4471621546500638E-3</v>
      </c>
      <c r="F958" s="171"/>
      <c r="G958" s="171">
        <v>955</v>
      </c>
      <c r="H958" s="186">
        <f t="shared" ca="1" si="32"/>
        <v>-7.5000239446094974E-4</v>
      </c>
    </row>
    <row r="959" spans="2:8">
      <c r="B959" s="36">
        <v>44477</v>
      </c>
      <c r="C959" s="185">
        <v>3303.65</v>
      </c>
      <c r="D959" s="185">
        <f t="shared" si="31"/>
        <v>0.76594948550046782</v>
      </c>
      <c r="E959" s="185">
        <v>4.4389717395600277E-3</v>
      </c>
      <c r="F959" s="171"/>
      <c r="G959" s="171">
        <v>956</v>
      </c>
      <c r="H959" s="186">
        <f t="shared" ca="1" si="32"/>
        <v>-1.5754582632362783E-2</v>
      </c>
    </row>
    <row r="960" spans="2:8">
      <c r="B960" s="36">
        <v>43871</v>
      </c>
      <c r="C960" s="185">
        <v>1870.75</v>
      </c>
      <c r="D960" s="185">
        <f t="shared" si="31"/>
        <v>-0.45024023979899203</v>
      </c>
      <c r="E960" s="185">
        <v>4.4295302013422815E-3</v>
      </c>
      <c r="F960" s="171"/>
      <c r="G960" s="171">
        <v>957</v>
      </c>
      <c r="H960" s="186">
        <f t="shared" ca="1" si="32"/>
        <v>-1.3522325974458915E-3</v>
      </c>
    </row>
    <row r="961" spans="2:8">
      <c r="B961" s="36">
        <v>45287</v>
      </c>
      <c r="C961" s="185">
        <v>3402.85</v>
      </c>
      <c r="D961" s="185">
        <f t="shared" si="31"/>
        <v>2.7906316141249854</v>
      </c>
      <c r="E961" s="185">
        <v>4.4275868175981817E-3</v>
      </c>
      <c r="F961" s="171"/>
      <c r="G961" s="171">
        <v>958</v>
      </c>
      <c r="H961" s="186">
        <f t="shared" ca="1" si="32"/>
        <v>-5.0283092752569248E-3</v>
      </c>
    </row>
    <row r="962" spans="2:8">
      <c r="B962" s="36">
        <v>42440</v>
      </c>
      <c r="C962" s="185">
        <v>897.7</v>
      </c>
      <c r="D962" s="185">
        <f t="shared" si="31"/>
        <v>-0.69475330681084024</v>
      </c>
      <c r="E962" s="185">
        <v>4.4195804195804704E-3</v>
      </c>
      <c r="F962" s="171"/>
      <c r="G962" s="171">
        <v>959</v>
      </c>
      <c r="H962" s="186">
        <f t="shared" ca="1" si="32"/>
        <v>1.5464158797463426E-2</v>
      </c>
    </row>
    <row r="963" spans="2:8">
      <c r="B963" s="36">
        <v>45477</v>
      </c>
      <c r="C963" s="185">
        <v>2940.9</v>
      </c>
      <c r="D963" s="185">
        <f t="shared" si="31"/>
        <v>0.28947253036348503</v>
      </c>
      <c r="E963" s="185">
        <v>4.4057377049180639E-3</v>
      </c>
      <c r="F963" s="171"/>
      <c r="G963" s="171">
        <v>960</v>
      </c>
      <c r="H963" s="186">
        <f t="shared" ca="1" si="32"/>
        <v>1.5354086992571559E-2</v>
      </c>
    </row>
    <row r="964" spans="2:8">
      <c r="B964" s="36">
        <v>45826</v>
      </c>
      <c r="C964" s="185">
        <v>2280.6999999999998</v>
      </c>
      <c r="D964" s="185">
        <f t="shared" ref="D964:D1027" si="33">(C964-C965)/C965</f>
        <v>-0.21696736648756296</v>
      </c>
      <c r="E964" s="185">
        <v>4.4039283040472107E-3</v>
      </c>
      <c r="F964" s="171"/>
      <c r="G964" s="171">
        <v>961</v>
      </c>
      <c r="H964" s="186">
        <f t="shared" ca="1" si="32"/>
        <v>-1.2172009938274407E-2</v>
      </c>
    </row>
    <row r="965" spans="2:8">
      <c r="B965" s="36">
        <v>45044</v>
      </c>
      <c r="C965" s="185">
        <v>2912.65</v>
      </c>
      <c r="D965" s="185">
        <f t="shared" si="33"/>
        <v>-9.4691200696236003E-2</v>
      </c>
      <c r="E965" s="185">
        <v>4.3967033345977445E-3</v>
      </c>
      <c r="F965" s="171"/>
      <c r="G965" s="171">
        <v>962</v>
      </c>
      <c r="H965" s="186">
        <f t="shared" ref="H965:H1028" ca="1" si="34">_xlfn.NORM.INV(RAND(),N$6,N$7)</f>
        <v>2.2209072706440586E-3</v>
      </c>
    </row>
    <row r="966" spans="2:8">
      <c r="B966" s="36">
        <v>45152</v>
      </c>
      <c r="C966" s="185">
        <v>3217.3</v>
      </c>
      <c r="D966" s="185">
        <f t="shared" si="33"/>
        <v>1.8604578795287843</v>
      </c>
      <c r="E966" s="185">
        <v>4.3861702957933915E-3</v>
      </c>
      <c r="F966" s="171"/>
      <c r="G966" s="171">
        <v>963</v>
      </c>
      <c r="H966" s="186">
        <f t="shared" ca="1" si="34"/>
        <v>-6.8681265708205449E-3</v>
      </c>
    </row>
    <row r="967" spans="2:8">
      <c r="B967" s="36">
        <v>43151</v>
      </c>
      <c r="C967" s="185">
        <v>1124.75</v>
      </c>
      <c r="D967" s="185">
        <f t="shared" si="33"/>
        <v>-0.38496240601503762</v>
      </c>
      <c r="E967" s="185">
        <v>4.3755860159843648E-3</v>
      </c>
      <c r="F967" s="171"/>
      <c r="G967" s="171">
        <v>964</v>
      </c>
      <c r="H967" s="186">
        <f t="shared" ca="1" si="34"/>
        <v>-1.0273316311148145E-2</v>
      </c>
    </row>
    <row r="968" spans="2:8">
      <c r="B968" s="36">
        <v>43886</v>
      </c>
      <c r="C968" s="185">
        <v>1828.75</v>
      </c>
      <c r="D968" s="185">
        <f t="shared" si="33"/>
        <v>-0.25048157711381619</v>
      </c>
      <c r="E968" s="185">
        <v>4.3662126537785837E-3</v>
      </c>
      <c r="F968" s="171"/>
      <c r="G968" s="171">
        <v>965</v>
      </c>
      <c r="H968" s="186">
        <f t="shared" ca="1" si="34"/>
        <v>-8.8131439481949642E-3</v>
      </c>
    </row>
    <row r="969" spans="2:8">
      <c r="B969" s="36">
        <v>46052</v>
      </c>
      <c r="C969" s="185">
        <v>2439.9</v>
      </c>
      <c r="D969" s="185">
        <f t="shared" si="33"/>
        <v>0.29857895577199423</v>
      </c>
      <c r="E969" s="185">
        <v>4.3633968632939149E-3</v>
      </c>
      <c r="F969" s="171"/>
      <c r="G969" s="171">
        <v>966</v>
      </c>
      <c r="H969" s="186">
        <f t="shared" ca="1" si="34"/>
        <v>2.1792678745600296E-2</v>
      </c>
    </row>
    <row r="970" spans="2:8">
      <c r="B970" s="36">
        <v>43872</v>
      </c>
      <c r="C970" s="185">
        <v>1878.9</v>
      </c>
      <c r="D970" s="185">
        <f t="shared" si="33"/>
        <v>-0.30420130723795058</v>
      </c>
      <c r="E970" s="185">
        <v>4.3565414940532361E-3</v>
      </c>
      <c r="F970" s="171"/>
      <c r="G970" s="171">
        <v>967</v>
      </c>
      <c r="H970" s="186">
        <f t="shared" ca="1" si="34"/>
        <v>-5.3936295827240561E-3</v>
      </c>
    </row>
    <row r="971" spans="2:8">
      <c r="B971" s="36">
        <v>44194</v>
      </c>
      <c r="C971" s="185">
        <v>2700.35</v>
      </c>
      <c r="D971" s="185">
        <f t="shared" si="33"/>
        <v>-0.17714903860803849</v>
      </c>
      <c r="E971" s="185">
        <v>4.3516262808471979E-3</v>
      </c>
      <c r="F971" s="171"/>
      <c r="G971" s="171">
        <v>968</v>
      </c>
      <c r="H971" s="186">
        <f t="shared" ca="1" si="34"/>
        <v>-2.2299247053916289E-2</v>
      </c>
    </row>
    <row r="972" spans="2:8">
      <c r="B972" s="36">
        <v>44554</v>
      </c>
      <c r="C972" s="185">
        <v>3281.7</v>
      </c>
      <c r="D972" s="185">
        <f t="shared" si="33"/>
        <v>1.1266241130155847</v>
      </c>
      <c r="E972" s="185">
        <v>4.3304616608773041E-3</v>
      </c>
      <c r="F972" s="171"/>
      <c r="G972" s="171">
        <v>969</v>
      </c>
      <c r="H972" s="186">
        <f t="shared" ca="1" si="34"/>
        <v>-2.089491404613935E-2</v>
      </c>
    </row>
    <row r="973" spans="2:8">
      <c r="B973" s="36">
        <v>43717</v>
      </c>
      <c r="C973" s="185">
        <v>1543.15</v>
      </c>
      <c r="D973" s="185">
        <f t="shared" si="33"/>
        <v>-0.32219879650371142</v>
      </c>
      <c r="E973" s="185">
        <v>4.3280182232346837E-3</v>
      </c>
      <c r="F973" s="171"/>
      <c r="G973" s="171">
        <v>970</v>
      </c>
      <c r="H973" s="186">
        <f t="shared" ca="1" si="34"/>
        <v>6.1090403544017307E-3</v>
      </c>
    </row>
    <row r="974" spans="2:8">
      <c r="B974" s="36">
        <v>45832</v>
      </c>
      <c r="C974" s="185">
        <v>2276.6999999999998</v>
      </c>
      <c r="D974" s="185">
        <f t="shared" si="33"/>
        <v>1.6058143527526607</v>
      </c>
      <c r="E974" s="185">
        <v>4.3230843883716643E-3</v>
      </c>
      <c r="F974" s="171"/>
      <c r="G974" s="171">
        <v>971</v>
      </c>
      <c r="H974" s="186">
        <f t="shared" ca="1" si="34"/>
        <v>8.4847158109324118E-3</v>
      </c>
    </row>
    <row r="975" spans="2:8">
      <c r="B975" s="36">
        <v>42446</v>
      </c>
      <c r="C975" s="185">
        <v>873.7</v>
      </c>
      <c r="D975" s="185">
        <f t="shared" si="33"/>
        <v>-0.73515815638309168</v>
      </c>
      <c r="E975" s="185">
        <v>4.3105925627909651E-3</v>
      </c>
      <c r="F975" s="171"/>
      <c r="G975" s="171">
        <v>972</v>
      </c>
      <c r="H975" s="186">
        <f t="shared" ca="1" si="34"/>
        <v>-8.0756393817701388E-3</v>
      </c>
    </row>
    <row r="976" spans="2:8">
      <c r="B976" s="36">
        <v>45545</v>
      </c>
      <c r="C976" s="185">
        <v>3298.95</v>
      </c>
      <c r="D976" s="185">
        <f t="shared" si="33"/>
        <v>1.967615706382404</v>
      </c>
      <c r="E976" s="185">
        <v>4.3077204091572195E-3</v>
      </c>
      <c r="F976" s="171"/>
      <c r="G976" s="171">
        <v>973</v>
      </c>
      <c r="H976" s="186">
        <f t="shared" ca="1" si="34"/>
        <v>-1.1365935336687125E-2</v>
      </c>
    </row>
    <row r="977" spans="2:8">
      <c r="B977" s="36">
        <v>43182</v>
      </c>
      <c r="C977" s="185">
        <v>1111.6500000000001</v>
      </c>
      <c r="D977" s="185">
        <f t="shared" si="33"/>
        <v>-0.65484747341457727</v>
      </c>
      <c r="E977" s="185">
        <v>4.2912638901436437E-3</v>
      </c>
      <c r="F977" s="171"/>
      <c r="G977" s="171">
        <v>974</v>
      </c>
      <c r="H977" s="186">
        <f t="shared" ca="1" si="34"/>
        <v>-4.197741770303509E-3</v>
      </c>
    </row>
    <row r="978" spans="2:8">
      <c r="B978" s="36">
        <v>45084</v>
      </c>
      <c r="C978" s="185">
        <v>3220.75</v>
      </c>
      <c r="D978" s="185">
        <f t="shared" si="33"/>
        <v>1.4310299279163681</v>
      </c>
      <c r="E978" s="185">
        <v>4.2874961022762708E-3</v>
      </c>
      <c r="F978" s="171"/>
      <c r="G978" s="171">
        <v>975</v>
      </c>
      <c r="H978" s="186">
        <f t="shared" ca="1" si="34"/>
        <v>1.7437339430900048E-2</v>
      </c>
    </row>
    <row r="979" spans="2:8">
      <c r="B979" s="36">
        <v>43348</v>
      </c>
      <c r="C979" s="185">
        <v>1324.85</v>
      </c>
      <c r="D979" s="185">
        <f t="shared" si="33"/>
        <v>0.63561728395061712</v>
      </c>
      <c r="E979" s="185">
        <v>4.282898726500806E-3</v>
      </c>
      <c r="F979" s="171"/>
      <c r="G979" s="171">
        <v>976</v>
      </c>
      <c r="H979" s="186">
        <f t="shared" ca="1" si="34"/>
        <v>-1.863708195628308E-2</v>
      </c>
    </row>
    <row r="980" spans="2:8">
      <c r="B980" s="36">
        <v>42313</v>
      </c>
      <c r="C980" s="185">
        <v>810</v>
      </c>
      <c r="D980" s="185">
        <f t="shared" si="33"/>
        <v>-0.54869623356362829</v>
      </c>
      <c r="E980" s="185">
        <v>4.2774781476660412E-3</v>
      </c>
      <c r="F980" s="171"/>
      <c r="G980" s="171">
        <v>977</v>
      </c>
      <c r="H980" s="186">
        <f t="shared" ca="1" si="34"/>
        <v>-7.6072300520902787E-3</v>
      </c>
    </row>
    <row r="981" spans="2:8">
      <c r="B981" s="36">
        <v>43752</v>
      </c>
      <c r="C981" s="185">
        <v>1794.8</v>
      </c>
      <c r="D981" s="185">
        <f t="shared" si="33"/>
        <v>0.59254658385093162</v>
      </c>
      <c r="E981" s="185">
        <v>4.2524619516561713E-3</v>
      </c>
      <c r="F981" s="171"/>
      <c r="G981" s="171">
        <v>978</v>
      </c>
      <c r="H981" s="186">
        <f t="shared" ca="1" si="34"/>
        <v>-6.3401402306805998E-3</v>
      </c>
    </row>
    <row r="982" spans="2:8">
      <c r="B982" s="36">
        <v>42583</v>
      </c>
      <c r="C982" s="185">
        <v>1127</v>
      </c>
      <c r="D982" s="185">
        <f t="shared" si="33"/>
        <v>0.48377328681456133</v>
      </c>
      <c r="E982" s="185">
        <v>4.2325685007796833E-3</v>
      </c>
      <c r="F982" s="171"/>
      <c r="G982" s="171">
        <v>979</v>
      </c>
      <c r="H982" s="186">
        <f t="shared" ca="1" si="34"/>
        <v>1.211951757898924E-2</v>
      </c>
    </row>
    <row r="983" spans="2:8">
      <c r="B983" s="36">
        <v>42158</v>
      </c>
      <c r="C983" s="185">
        <v>759.55</v>
      </c>
      <c r="D983" s="185">
        <f t="shared" si="33"/>
        <v>-0.74239443784975401</v>
      </c>
      <c r="E983" s="185">
        <v>4.2308455080319052E-3</v>
      </c>
      <c r="F983" s="171"/>
      <c r="G983" s="171">
        <v>980</v>
      </c>
      <c r="H983" s="186">
        <f t="shared" ca="1" si="34"/>
        <v>-6.4570779085997157E-3</v>
      </c>
    </row>
    <row r="984" spans="2:8">
      <c r="B984" s="36">
        <v>45492</v>
      </c>
      <c r="C984" s="185">
        <v>2948.5</v>
      </c>
      <c r="D984" s="185">
        <f t="shared" si="33"/>
        <v>2.4604776714981513</v>
      </c>
      <c r="E984" s="185">
        <v>4.223289397500116E-3</v>
      </c>
      <c r="F984" s="171"/>
      <c r="G984" s="171">
        <v>981</v>
      </c>
      <c r="H984" s="186">
        <f t="shared" ca="1" si="34"/>
        <v>-1.8408922414136934E-2</v>
      </c>
    </row>
    <row r="985" spans="2:8">
      <c r="B985" s="36">
        <v>42212</v>
      </c>
      <c r="C985" s="185">
        <v>852.05</v>
      </c>
      <c r="D985" s="185">
        <f t="shared" si="33"/>
        <v>-0.56282709081580296</v>
      </c>
      <c r="E985" s="185">
        <v>4.1838538597524511E-3</v>
      </c>
      <c r="F985" s="171"/>
      <c r="G985" s="171">
        <v>982</v>
      </c>
      <c r="H985" s="186">
        <f t="shared" ca="1" si="34"/>
        <v>1.1356013022659209E-2</v>
      </c>
    </row>
    <row r="986" spans="2:8">
      <c r="B986" s="36">
        <v>44097</v>
      </c>
      <c r="C986" s="185">
        <v>1949</v>
      </c>
      <c r="D986" s="185">
        <f t="shared" si="33"/>
        <v>-0.19754611330698293</v>
      </c>
      <c r="E986" s="185">
        <v>4.1474535665524375E-3</v>
      </c>
      <c r="F986" s="171"/>
      <c r="G986" s="171">
        <v>983</v>
      </c>
      <c r="H986" s="186">
        <f t="shared" ca="1" si="34"/>
        <v>7.3502307904434461E-3</v>
      </c>
    </row>
    <row r="987" spans="2:8">
      <c r="B987" s="36">
        <v>44277</v>
      </c>
      <c r="C987" s="185">
        <v>2428.8000000000002</v>
      </c>
      <c r="D987" s="185">
        <f t="shared" si="33"/>
        <v>1.7320584926884142</v>
      </c>
      <c r="E987" s="185">
        <v>4.1342814618819243E-3</v>
      </c>
      <c r="F987" s="171"/>
      <c r="G987" s="171">
        <v>984</v>
      </c>
      <c r="H987" s="186">
        <f t="shared" ca="1" si="34"/>
        <v>3.1281452574571308E-3</v>
      </c>
    </row>
    <row r="988" spans="2:8">
      <c r="B988" s="36">
        <v>42480</v>
      </c>
      <c r="C988" s="185">
        <v>889</v>
      </c>
      <c r="D988" s="185">
        <f t="shared" si="33"/>
        <v>-0.51059730250481694</v>
      </c>
      <c r="E988" s="185">
        <v>4.1226633534760006E-3</v>
      </c>
      <c r="F988" s="171"/>
      <c r="G988" s="171">
        <v>985</v>
      </c>
      <c r="H988" s="186">
        <f t="shared" ca="1" si="34"/>
        <v>7.7762793245784835E-3</v>
      </c>
    </row>
    <row r="989" spans="2:8">
      <c r="B989" s="36">
        <v>43944</v>
      </c>
      <c r="C989" s="185">
        <v>1816.5</v>
      </c>
      <c r="D989" s="185">
        <f t="shared" si="33"/>
        <v>-0.45753449202651852</v>
      </c>
      <c r="E989" s="185">
        <v>4.1181835770155856E-3</v>
      </c>
      <c r="F989" s="171"/>
      <c r="G989" s="171">
        <v>986</v>
      </c>
      <c r="H989" s="186">
        <f t="shared" ca="1" si="34"/>
        <v>-1.0451059363112424E-2</v>
      </c>
    </row>
    <row r="990" spans="2:8">
      <c r="B990" s="36">
        <v>45565</v>
      </c>
      <c r="C990" s="185">
        <v>3348.6</v>
      </c>
      <c r="D990" s="185">
        <f t="shared" si="33"/>
        <v>-1.8193013062026354E-2</v>
      </c>
      <c r="E990" s="185">
        <v>4.1080692074724331E-3</v>
      </c>
      <c r="F990" s="171"/>
      <c r="G990" s="171">
        <v>987</v>
      </c>
      <c r="H990" s="186">
        <f t="shared" ca="1" si="34"/>
        <v>-8.0479509211030201E-3</v>
      </c>
    </row>
    <row r="991" spans="2:8">
      <c r="B991" s="36">
        <v>45119</v>
      </c>
      <c r="C991" s="185">
        <v>3410.65</v>
      </c>
      <c r="D991" s="185">
        <f t="shared" si="33"/>
        <v>0.51312082695592365</v>
      </c>
      <c r="E991" s="185">
        <v>4.0773669335845229E-3</v>
      </c>
      <c r="F991" s="171"/>
      <c r="G991" s="171">
        <v>988</v>
      </c>
      <c r="H991" s="186">
        <f t="shared" ca="1" si="34"/>
        <v>-7.5768179664327589E-3</v>
      </c>
    </row>
    <row r="992" spans="2:8">
      <c r="B992" s="36">
        <v>45708</v>
      </c>
      <c r="C992" s="185">
        <v>2254.0500000000002</v>
      </c>
      <c r="D992" s="185">
        <f t="shared" si="33"/>
        <v>-0.18970072795901854</v>
      </c>
      <c r="E992" s="185">
        <v>4.0759053855405989E-3</v>
      </c>
      <c r="F992" s="171"/>
      <c r="G992" s="171">
        <v>989</v>
      </c>
      <c r="H992" s="186">
        <f t="shared" ca="1" si="34"/>
        <v>-8.5992352427351707E-3</v>
      </c>
    </row>
    <row r="993" spans="2:8">
      <c r="B993" s="36">
        <v>45016</v>
      </c>
      <c r="C993" s="185">
        <v>2781.75</v>
      </c>
      <c r="D993" s="185">
        <f t="shared" si="33"/>
        <v>1.3928003096641006</v>
      </c>
      <c r="E993" s="185">
        <v>4.0606388738494859E-3</v>
      </c>
      <c r="F993" s="171"/>
      <c r="G993" s="171">
        <v>990</v>
      </c>
      <c r="H993" s="186">
        <f t="shared" ca="1" si="34"/>
        <v>3.9193443875720171E-2</v>
      </c>
    </row>
    <row r="994" spans="2:8">
      <c r="B994" s="36">
        <v>42888</v>
      </c>
      <c r="C994" s="185">
        <v>1162.55</v>
      </c>
      <c r="D994" s="185">
        <f t="shared" si="33"/>
        <v>0.15820672478206721</v>
      </c>
      <c r="E994" s="185">
        <v>4.0592477436628633E-3</v>
      </c>
      <c r="F994" s="171"/>
      <c r="G994" s="171">
        <v>991</v>
      </c>
      <c r="H994" s="186">
        <f t="shared" ca="1" si="34"/>
        <v>-5.3969100164934572E-3</v>
      </c>
    </row>
    <row r="995" spans="2:8">
      <c r="B995" s="36">
        <v>42775</v>
      </c>
      <c r="C995" s="185">
        <v>1003.75</v>
      </c>
      <c r="D995" s="185">
        <f t="shared" si="33"/>
        <v>-0.40895039010746359</v>
      </c>
      <c r="E995" s="185">
        <v>4.051215364609337E-3</v>
      </c>
      <c r="F995" s="171"/>
      <c r="G995" s="171">
        <v>992</v>
      </c>
      <c r="H995" s="186">
        <f t="shared" ca="1" si="34"/>
        <v>-2.4064501752713463E-2</v>
      </c>
    </row>
    <row r="996" spans="2:8">
      <c r="B996" s="36">
        <v>44015</v>
      </c>
      <c r="C996" s="185">
        <v>1698.25</v>
      </c>
      <c r="D996" s="185">
        <f t="shared" si="33"/>
        <v>-0.27657082002129924</v>
      </c>
      <c r="E996" s="185">
        <v>4.0498994915454112E-3</v>
      </c>
      <c r="F996" s="171"/>
      <c r="G996" s="171">
        <v>993</v>
      </c>
      <c r="H996" s="186">
        <f t="shared" ca="1" si="34"/>
        <v>1.7747607693139208E-2</v>
      </c>
    </row>
    <row r="997" spans="2:8">
      <c r="B997" s="36">
        <v>45666</v>
      </c>
      <c r="C997" s="185">
        <v>2347.5</v>
      </c>
      <c r="D997" s="185">
        <f t="shared" si="33"/>
        <v>-0.22514523369421705</v>
      </c>
      <c r="E997" s="185">
        <v>4.0418297299030462E-3</v>
      </c>
      <c r="F997" s="171"/>
      <c r="G997" s="171">
        <v>994</v>
      </c>
      <c r="H997" s="186">
        <f t="shared" ca="1" si="34"/>
        <v>2.0102155363835625E-2</v>
      </c>
    </row>
    <row r="998" spans="2:8">
      <c r="B998" s="36">
        <v>44382</v>
      </c>
      <c r="C998" s="185">
        <v>3029.6</v>
      </c>
      <c r="D998" s="185">
        <f t="shared" si="33"/>
        <v>2.4495872473669227</v>
      </c>
      <c r="E998" s="185">
        <v>4.026578733699015E-3</v>
      </c>
      <c r="F998" s="171"/>
      <c r="G998" s="171">
        <v>995</v>
      </c>
      <c r="H998" s="186">
        <f t="shared" ca="1" si="34"/>
        <v>1.4631030790279741E-2</v>
      </c>
    </row>
    <row r="999" spans="2:8">
      <c r="B999" s="36">
        <v>42229</v>
      </c>
      <c r="C999" s="185">
        <v>878.25</v>
      </c>
      <c r="D999" s="185">
        <f t="shared" si="33"/>
        <v>-0.7183651872755259</v>
      </c>
      <c r="E999" s="185">
        <v>4.0011431837667904E-3</v>
      </c>
      <c r="F999" s="171"/>
      <c r="G999" s="171">
        <v>996</v>
      </c>
      <c r="H999" s="186">
        <f t="shared" ca="1" si="34"/>
        <v>1.5442422720794467E-2</v>
      </c>
    </row>
    <row r="1000" spans="2:8">
      <c r="B1000" s="36">
        <v>45505</v>
      </c>
      <c r="C1000" s="185">
        <v>3118.4</v>
      </c>
      <c r="D1000" s="185">
        <f t="shared" si="33"/>
        <v>0.11668546668815237</v>
      </c>
      <c r="E1000" s="185">
        <v>3.9922730199613947E-3</v>
      </c>
      <c r="F1000" s="171"/>
      <c r="G1000" s="171">
        <v>997</v>
      </c>
      <c r="H1000" s="186">
        <f t="shared" ca="1" si="34"/>
        <v>-2.2235929946783469E-2</v>
      </c>
    </row>
    <row r="1001" spans="2:8">
      <c r="B1001" s="36">
        <v>44333</v>
      </c>
      <c r="C1001" s="185">
        <v>2792.55</v>
      </c>
      <c r="D1001" s="185">
        <f t="shared" si="33"/>
        <v>8.5412979883708658E-3</v>
      </c>
      <c r="E1001" s="185">
        <v>3.990724262525073E-3</v>
      </c>
      <c r="F1001" s="171"/>
      <c r="G1001" s="171">
        <v>998</v>
      </c>
      <c r="H1001" s="186">
        <f t="shared" ca="1" si="34"/>
        <v>2.5090087237458397E-2</v>
      </c>
    </row>
    <row r="1002" spans="2:8">
      <c r="B1002" s="36">
        <v>44984</v>
      </c>
      <c r="C1002" s="185">
        <v>2768.9</v>
      </c>
      <c r="D1002" s="185">
        <f t="shared" si="33"/>
        <v>0.54855848550096487</v>
      </c>
      <c r="E1002" s="185">
        <v>3.9885420065992241E-3</v>
      </c>
      <c r="F1002" s="171"/>
      <c r="G1002" s="171">
        <v>999</v>
      </c>
      <c r="H1002" s="186">
        <f t="shared" ca="1" si="34"/>
        <v>-4.3688281012279416E-2</v>
      </c>
    </row>
    <row r="1003" spans="2:8">
      <c r="B1003" s="36">
        <v>43854</v>
      </c>
      <c r="C1003" s="185">
        <v>1788.05</v>
      </c>
      <c r="D1003" s="185">
        <f t="shared" si="33"/>
        <v>0.58705010429148341</v>
      </c>
      <c r="E1003" s="185">
        <v>3.9866363457704643E-3</v>
      </c>
      <c r="F1003" s="171"/>
      <c r="G1003" s="171">
        <v>1000</v>
      </c>
      <c r="H1003" s="186">
        <f t="shared" ca="1" si="34"/>
        <v>1.4566866994974137E-2</v>
      </c>
    </row>
    <row r="1004" spans="2:8">
      <c r="B1004" s="36">
        <v>43139</v>
      </c>
      <c r="C1004" s="185">
        <v>1126.6500000000001</v>
      </c>
      <c r="D1004" s="185">
        <f t="shared" si="33"/>
        <v>-0.61585147552721753</v>
      </c>
      <c r="E1004" s="185">
        <v>3.9654250579219796E-3</v>
      </c>
      <c r="F1004" s="171"/>
      <c r="G1004" s="171">
        <v>1001</v>
      </c>
      <c r="H1004" s="186">
        <f t="shared" ca="1" si="34"/>
        <v>3.7628355552727949E-2</v>
      </c>
    </row>
    <row r="1005" spans="2:8">
      <c r="B1005" s="36">
        <v>44354</v>
      </c>
      <c r="C1005" s="185">
        <v>2932.85</v>
      </c>
      <c r="D1005" s="185">
        <f t="shared" si="33"/>
        <v>0.49144397264105361</v>
      </c>
      <c r="E1005" s="185">
        <v>3.9537192345872477E-3</v>
      </c>
      <c r="F1005" s="171"/>
      <c r="G1005" s="171">
        <v>1002</v>
      </c>
      <c r="H1005" s="186">
        <f t="shared" ca="1" si="34"/>
        <v>-3.0756294050902785E-3</v>
      </c>
    </row>
    <row r="1006" spans="2:8">
      <c r="B1006" s="36">
        <v>44067</v>
      </c>
      <c r="C1006" s="185">
        <v>1966.45</v>
      </c>
      <c r="D1006" s="185">
        <f t="shared" si="33"/>
        <v>0.43636098024177356</v>
      </c>
      <c r="E1006" s="185">
        <v>3.9310784939374831E-3</v>
      </c>
      <c r="F1006" s="171"/>
      <c r="G1006" s="171">
        <v>1003</v>
      </c>
      <c r="H1006" s="186">
        <f t="shared" ca="1" si="34"/>
        <v>-2.1169640667119179E-2</v>
      </c>
    </row>
    <row r="1007" spans="2:8">
      <c r="B1007" s="36">
        <v>43294</v>
      </c>
      <c r="C1007" s="185">
        <v>1369.05</v>
      </c>
      <c r="D1007" s="185">
        <f t="shared" si="33"/>
        <v>-0.20786321819128625</v>
      </c>
      <c r="E1007" s="185">
        <v>3.9231502529881272E-3</v>
      </c>
      <c r="F1007" s="171"/>
      <c r="G1007" s="171">
        <v>1004</v>
      </c>
      <c r="H1007" s="186">
        <f t="shared" ca="1" si="34"/>
        <v>-6.8833034846353322E-3</v>
      </c>
    </row>
    <row r="1008" spans="2:8">
      <c r="B1008" s="36">
        <v>43808</v>
      </c>
      <c r="C1008" s="185">
        <v>1728.3</v>
      </c>
      <c r="D1008" s="185">
        <f t="shared" si="33"/>
        <v>-2.7159381948157948E-2</v>
      </c>
      <c r="E1008" s="185">
        <v>3.9208852487583861E-3</v>
      </c>
      <c r="F1008" s="171"/>
      <c r="G1008" s="171">
        <v>1005</v>
      </c>
      <c r="H1008" s="186">
        <f t="shared" ca="1" si="34"/>
        <v>6.1193321272559791E-3</v>
      </c>
    </row>
    <row r="1009" spans="2:8">
      <c r="B1009" s="36">
        <v>43735</v>
      </c>
      <c r="C1009" s="185">
        <v>1776.55</v>
      </c>
      <c r="D1009" s="185">
        <f t="shared" si="33"/>
        <v>-0.14816235525400984</v>
      </c>
      <c r="E1009" s="185">
        <v>3.8990760884919976E-3</v>
      </c>
      <c r="F1009" s="171"/>
      <c r="G1009" s="171">
        <v>1006</v>
      </c>
      <c r="H1009" s="186">
        <f t="shared" ca="1" si="34"/>
        <v>2.1485914652379424E-3</v>
      </c>
    </row>
    <row r="1010" spans="2:8">
      <c r="B1010" s="36">
        <v>44119</v>
      </c>
      <c r="C1010" s="185">
        <v>2085.5500000000002</v>
      </c>
      <c r="D1010" s="185">
        <f t="shared" si="33"/>
        <v>-0.38395758256040641</v>
      </c>
      <c r="E1010" s="185">
        <v>3.899010806517781E-3</v>
      </c>
      <c r="F1010" s="171"/>
      <c r="G1010" s="171">
        <v>1007</v>
      </c>
      <c r="H1010" s="186">
        <f t="shared" ca="1" si="34"/>
        <v>-1.3815691203658784E-2</v>
      </c>
    </row>
    <row r="1011" spans="2:8">
      <c r="B1011" s="36">
        <v>45140</v>
      </c>
      <c r="C1011" s="185">
        <v>3385.4</v>
      </c>
      <c r="D1011" s="185">
        <f t="shared" si="33"/>
        <v>2.6485347402252817E-2</v>
      </c>
      <c r="E1011" s="185">
        <v>3.8845891528036971E-3</v>
      </c>
      <c r="F1011" s="171"/>
      <c r="G1011" s="171">
        <v>1008</v>
      </c>
      <c r="H1011" s="186">
        <f t="shared" ca="1" si="34"/>
        <v>-3.2280020877056333E-3</v>
      </c>
    </row>
    <row r="1012" spans="2:8">
      <c r="B1012" s="36">
        <v>45307</v>
      </c>
      <c r="C1012" s="185">
        <v>3298.05</v>
      </c>
      <c r="D1012" s="185">
        <f t="shared" si="33"/>
        <v>0.23148874201859537</v>
      </c>
      <c r="E1012" s="185">
        <v>3.8809241165190392E-3</v>
      </c>
      <c r="F1012" s="171"/>
      <c r="G1012" s="171">
        <v>1009</v>
      </c>
      <c r="H1012" s="186">
        <f t="shared" ca="1" si="34"/>
        <v>4.599727176458495E-3</v>
      </c>
    </row>
    <row r="1013" spans="2:8">
      <c r="B1013" s="36">
        <v>44733</v>
      </c>
      <c r="C1013" s="185">
        <v>2678.1</v>
      </c>
      <c r="D1013" s="185">
        <f t="shared" si="33"/>
        <v>-4.1738974863583536E-2</v>
      </c>
      <c r="E1013" s="185">
        <v>3.8796738824852062E-3</v>
      </c>
      <c r="F1013" s="171"/>
      <c r="G1013" s="171">
        <v>1010</v>
      </c>
      <c r="H1013" s="186">
        <f t="shared" ca="1" si="34"/>
        <v>-3.4297559612693224E-3</v>
      </c>
    </row>
    <row r="1014" spans="2:8">
      <c r="B1014" s="36">
        <v>44972</v>
      </c>
      <c r="C1014" s="185">
        <v>2794.75</v>
      </c>
      <c r="D1014" s="185">
        <f t="shared" si="33"/>
        <v>1.8576175869120655</v>
      </c>
      <c r="E1014" s="185">
        <v>3.8793800176009563E-3</v>
      </c>
      <c r="F1014" s="171"/>
      <c r="G1014" s="171">
        <v>1011</v>
      </c>
      <c r="H1014" s="186">
        <f t="shared" ca="1" si="34"/>
        <v>1.64836362698479E-2</v>
      </c>
    </row>
    <row r="1015" spans="2:8">
      <c r="B1015" s="36">
        <v>42760</v>
      </c>
      <c r="C1015" s="185">
        <v>978</v>
      </c>
      <c r="D1015" s="185">
        <f t="shared" si="33"/>
        <v>-0.66335065918557024</v>
      </c>
      <c r="E1015" s="185">
        <v>3.8491147036181679E-3</v>
      </c>
      <c r="F1015" s="171"/>
      <c r="G1015" s="171">
        <v>1012</v>
      </c>
      <c r="H1015" s="186">
        <f t="shared" ca="1" si="34"/>
        <v>1.8973046794419555E-2</v>
      </c>
    </row>
    <row r="1016" spans="2:8">
      <c r="B1016" s="36">
        <v>45042</v>
      </c>
      <c r="C1016" s="185">
        <v>2905.1</v>
      </c>
      <c r="D1016" s="185">
        <f t="shared" si="33"/>
        <v>0.69304738038347213</v>
      </c>
      <c r="E1016" s="185">
        <v>3.8355217691775773E-3</v>
      </c>
      <c r="F1016" s="171"/>
      <c r="G1016" s="171">
        <v>1013</v>
      </c>
      <c r="H1016" s="186">
        <f t="shared" ca="1" si="34"/>
        <v>-1.8743434894491796E-3</v>
      </c>
    </row>
    <row r="1017" spans="2:8">
      <c r="B1017" s="36">
        <v>44047</v>
      </c>
      <c r="C1017" s="185">
        <v>1715.9</v>
      </c>
      <c r="D1017" s="185">
        <f t="shared" si="33"/>
        <v>0.25573566541036996</v>
      </c>
      <c r="E1017" s="185">
        <v>3.8318659139440032E-3</v>
      </c>
      <c r="F1017" s="171"/>
      <c r="G1017" s="171">
        <v>1014</v>
      </c>
      <c r="H1017" s="186">
        <f t="shared" ca="1" si="34"/>
        <v>4.6836943699736146E-3</v>
      </c>
    </row>
    <row r="1018" spans="2:8">
      <c r="B1018" s="36">
        <v>43460</v>
      </c>
      <c r="C1018" s="185">
        <v>1366.45</v>
      </c>
      <c r="D1018" s="185">
        <f t="shared" si="33"/>
        <v>-0.59049702563795192</v>
      </c>
      <c r="E1018" s="185">
        <v>3.8200183654729441E-3</v>
      </c>
      <c r="F1018" s="171"/>
      <c r="G1018" s="171">
        <v>1015</v>
      </c>
      <c r="H1018" s="186">
        <f t="shared" ca="1" si="34"/>
        <v>1.0201594613906351E-2</v>
      </c>
    </row>
    <row r="1019" spans="2:8">
      <c r="B1019" s="36">
        <v>45278</v>
      </c>
      <c r="C1019" s="185">
        <v>3336.85</v>
      </c>
      <c r="D1019" s="185">
        <f t="shared" si="33"/>
        <v>7.366148923002639E-3</v>
      </c>
      <c r="E1019" s="185">
        <v>3.8054268696227941E-3</v>
      </c>
      <c r="F1019" s="171"/>
      <c r="G1019" s="171">
        <v>1016</v>
      </c>
      <c r="H1019" s="186">
        <f t="shared" ca="1" si="34"/>
        <v>1.4321976676876336E-2</v>
      </c>
    </row>
    <row r="1020" spans="2:8">
      <c r="B1020" s="36">
        <v>45281</v>
      </c>
      <c r="C1020" s="185">
        <v>3312.45</v>
      </c>
      <c r="D1020" s="185">
        <f t="shared" si="33"/>
        <v>1.5465971796443843E-2</v>
      </c>
      <c r="E1020" s="185">
        <v>3.787936180851225E-3</v>
      </c>
      <c r="F1020" s="171"/>
      <c r="G1020" s="171">
        <v>1017</v>
      </c>
      <c r="H1020" s="186">
        <f t="shared" ca="1" si="34"/>
        <v>8.3457306865064584E-4</v>
      </c>
    </row>
    <row r="1021" spans="2:8">
      <c r="B1021" s="36">
        <v>44609</v>
      </c>
      <c r="C1021" s="185">
        <v>3262</v>
      </c>
      <c r="D1021" s="185">
        <f t="shared" si="33"/>
        <v>1.3151171043293115</v>
      </c>
      <c r="E1021" s="185">
        <v>3.7849647659784543E-3</v>
      </c>
      <c r="F1021" s="171"/>
      <c r="G1021" s="171">
        <v>1018</v>
      </c>
      <c r="H1021" s="186">
        <f t="shared" ca="1" si="34"/>
        <v>-3.6759323244462488E-2</v>
      </c>
    </row>
    <row r="1022" spans="2:8">
      <c r="B1022" s="36">
        <v>43476</v>
      </c>
      <c r="C1022" s="185">
        <v>1409</v>
      </c>
      <c r="D1022" s="185">
        <f t="shared" si="33"/>
        <v>-0.58961364265222016</v>
      </c>
      <c r="E1022" s="185">
        <v>3.7757355560304583E-3</v>
      </c>
      <c r="F1022" s="171"/>
      <c r="G1022" s="171">
        <v>1019</v>
      </c>
      <c r="H1022" s="186">
        <f t="shared" ca="1" si="34"/>
        <v>1.255947131386761E-2</v>
      </c>
    </row>
    <row r="1023" spans="2:8">
      <c r="B1023" s="36">
        <v>44785</v>
      </c>
      <c r="C1023" s="185">
        <v>3433.35</v>
      </c>
      <c r="D1023" s="185">
        <f t="shared" si="33"/>
        <v>1.9237418036276934</v>
      </c>
      <c r="E1023" s="185">
        <v>3.7714335833004698E-3</v>
      </c>
      <c r="F1023" s="171"/>
      <c r="G1023" s="171">
        <v>1020</v>
      </c>
      <c r="H1023" s="186">
        <f t="shared" ca="1" si="34"/>
        <v>8.2182349780124692E-3</v>
      </c>
    </row>
    <row r="1024" spans="2:8">
      <c r="B1024" s="36">
        <v>42634</v>
      </c>
      <c r="C1024" s="185">
        <v>1174.3</v>
      </c>
      <c r="D1024" s="185">
        <f t="shared" si="33"/>
        <v>-0.57048280907095827</v>
      </c>
      <c r="E1024" s="185">
        <v>3.761005214120748E-3</v>
      </c>
      <c r="F1024" s="171"/>
      <c r="G1024" s="171">
        <v>1021</v>
      </c>
      <c r="H1024" s="186">
        <f t="shared" ca="1" si="34"/>
        <v>-5.794559148520886E-3</v>
      </c>
    </row>
    <row r="1025" spans="2:8">
      <c r="B1025" s="36">
        <v>46191</v>
      </c>
      <c r="C1025" s="185">
        <v>2734</v>
      </c>
      <c r="D1025" s="185">
        <f t="shared" si="33"/>
        <v>0.53785577680278995</v>
      </c>
      <c r="E1025" s="185">
        <v>3.7447683383507666E-3</v>
      </c>
      <c r="F1025" s="171"/>
      <c r="G1025" s="171">
        <v>1022</v>
      </c>
      <c r="H1025" s="186">
        <f t="shared" ca="1" si="34"/>
        <v>1.6693994528527441E-2</v>
      </c>
    </row>
    <row r="1026" spans="2:8">
      <c r="B1026" s="36">
        <v>43783</v>
      </c>
      <c r="C1026" s="185">
        <v>1777.8</v>
      </c>
      <c r="D1026" s="185">
        <f t="shared" si="33"/>
        <v>-0.44581430508580244</v>
      </c>
      <c r="E1026" s="185">
        <v>3.7262872628725774E-3</v>
      </c>
      <c r="F1026" s="171"/>
      <c r="G1026" s="171">
        <v>1023</v>
      </c>
      <c r="H1026" s="186">
        <f t="shared" ca="1" si="34"/>
        <v>-1.1458963817943313E-2</v>
      </c>
    </row>
    <row r="1027" spans="2:8">
      <c r="B1027" s="36">
        <v>44851</v>
      </c>
      <c r="C1027" s="185">
        <v>3207.95</v>
      </c>
      <c r="D1027" s="185">
        <f t="shared" si="33"/>
        <v>0.3288939519469759</v>
      </c>
      <c r="E1027" s="185">
        <v>3.7076436907480708E-3</v>
      </c>
      <c r="F1027" s="171"/>
      <c r="G1027" s="171">
        <v>1024</v>
      </c>
      <c r="H1027" s="186">
        <f t="shared" ca="1" si="34"/>
        <v>1.1340594145919754E-2</v>
      </c>
    </row>
    <row r="1028" spans="2:8">
      <c r="B1028" s="36">
        <v>45868</v>
      </c>
      <c r="C1028" s="185">
        <v>2414</v>
      </c>
      <c r="D1028" s="185">
        <f t="shared" ref="D1028:D1091" si="35">(C1028-C1029)/C1029</f>
        <v>1.4974136147320505</v>
      </c>
      <c r="E1028" s="185">
        <v>3.7004698349341362E-3</v>
      </c>
      <c r="F1028" s="171"/>
      <c r="G1028" s="171">
        <v>1025</v>
      </c>
      <c r="H1028" s="186">
        <f t="shared" ca="1" si="34"/>
        <v>-9.7491308644862655E-3</v>
      </c>
    </row>
    <row r="1029" spans="2:8">
      <c r="B1029" s="36">
        <v>42755</v>
      </c>
      <c r="C1029" s="185">
        <v>966.6</v>
      </c>
      <c r="D1029" s="185">
        <f t="shared" si="35"/>
        <v>-0.67812187812187819</v>
      </c>
      <c r="E1029" s="185">
        <v>3.6862052852915926E-3</v>
      </c>
      <c r="F1029" s="171"/>
      <c r="G1029" s="171">
        <v>1026</v>
      </c>
      <c r="H1029" s="186">
        <f t="shared" ref="H1029:H1092" ca="1" si="36">_xlfn.NORM.INV(RAND(),N$6,N$7)</f>
        <v>-1.3659829246496938E-2</v>
      </c>
    </row>
    <row r="1030" spans="2:8">
      <c r="B1030" s="36">
        <v>45595</v>
      </c>
      <c r="C1030" s="185">
        <v>3003</v>
      </c>
      <c r="D1030" s="185">
        <f t="shared" si="35"/>
        <v>1.8709369024856597</v>
      </c>
      <c r="E1030" s="185">
        <v>3.6764705882352941E-3</v>
      </c>
      <c r="F1030" s="171"/>
      <c r="G1030" s="171">
        <v>1027</v>
      </c>
      <c r="H1030" s="186">
        <f t="shared" ca="1" si="36"/>
        <v>1.5570998803785372E-3</v>
      </c>
    </row>
    <row r="1031" spans="2:8">
      <c r="B1031" s="36">
        <v>42678</v>
      </c>
      <c r="C1031" s="185">
        <v>1046</v>
      </c>
      <c r="D1031" s="185">
        <f t="shared" si="35"/>
        <v>-0.2551714316231708</v>
      </c>
      <c r="E1031" s="185">
        <v>3.6461331798118926E-3</v>
      </c>
      <c r="F1031" s="171"/>
      <c r="G1031" s="171">
        <v>1028</v>
      </c>
      <c r="H1031" s="186">
        <f t="shared" ca="1" si="36"/>
        <v>-6.3789072048157979E-4</v>
      </c>
    </row>
    <row r="1032" spans="2:8">
      <c r="B1032" s="36">
        <v>43329</v>
      </c>
      <c r="C1032" s="185">
        <v>1404.35</v>
      </c>
      <c r="D1032" s="185">
        <f t="shared" si="35"/>
        <v>6.2010814080992176E-2</v>
      </c>
      <c r="E1032" s="185">
        <v>3.6448097194925204E-3</v>
      </c>
      <c r="F1032" s="171"/>
      <c r="G1032" s="171">
        <v>1029</v>
      </c>
      <c r="H1032" s="186">
        <f t="shared" ca="1" si="36"/>
        <v>6.3316380252920949E-5</v>
      </c>
    </row>
    <row r="1033" spans="2:8">
      <c r="B1033" s="36">
        <v>43350</v>
      </c>
      <c r="C1033" s="185">
        <v>1322.35</v>
      </c>
      <c r="D1033" s="185">
        <f t="shared" si="35"/>
        <v>-0.5564890744746861</v>
      </c>
      <c r="E1033" s="185">
        <v>3.6431254980835298E-3</v>
      </c>
      <c r="F1033" s="171"/>
      <c r="G1033" s="171">
        <v>1030</v>
      </c>
      <c r="H1033" s="186">
        <f t="shared" ca="1" si="36"/>
        <v>1.1329072356180969E-2</v>
      </c>
    </row>
    <row r="1034" spans="2:8">
      <c r="B1034" s="36">
        <v>45229</v>
      </c>
      <c r="C1034" s="185">
        <v>2981.55</v>
      </c>
      <c r="D1034" s="185">
        <f t="shared" si="35"/>
        <v>1.802735476593345</v>
      </c>
      <c r="E1034" s="185">
        <v>3.6354455945468928E-3</v>
      </c>
      <c r="F1034" s="171"/>
      <c r="G1034" s="171">
        <v>1031</v>
      </c>
      <c r="H1034" s="186">
        <f t="shared" ca="1" si="36"/>
        <v>-7.5943063449806477E-3</v>
      </c>
    </row>
    <row r="1035" spans="2:8">
      <c r="B1035" s="36">
        <v>42578</v>
      </c>
      <c r="C1035" s="185">
        <v>1063.8</v>
      </c>
      <c r="D1035" s="185">
        <f t="shared" si="35"/>
        <v>-0.67446486221827817</v>
      </c>
      <c r="E1035" s="185">
        <v>3.6322468040944468E-3</v>
      </c>
      <c r="F1035" s="171"/>
      <c r="G1035" s="171">
        <v>1032</v>
      </c>
      <c r="H1035" s="186">
        <f t="shared" ca="1" si="36"/>
        <v>8.5355252689834765E-3</v>
      </c>
    </row>
    <row r="1036" spans="2:8">
      <c r="B1036" s="36">
        <v>45170</v>
      </c>
      <c r="C1036" s="185">
        <v>3267.85</v>
      </c>
      <c r="D1036" s="185">
        <f t="shared" si="35"/>
        <v>0.33955728632916576</v>
      </c>
      <c r="E1036" s="185">
        <v>3.6240229726201153E-3</v>
      </c>
      <c r="F1036" s="171"/>
      <c r="G1036" s="171">
        <v>1033</v>
      </c>
      <c r="H1036" s="186">
        <f t="shared" ca="1" si="36"/>
        <v>2.2385759873676615E-2</v>
      </c>
    </row>
    <row r="1037" spans="2:8">
      <c r="B1037" s="36">
        <v>45841</v>
      </c>
      <c r="C1037" s="185">
        <v>2439.5</v>
      </c>
      <c r="D1037" s="185">
        <f t="shared" si="35"/>
        <v>-0.16524089789214347</v>
      </c>
      <c r="E1037" s="185">
        <v>3.6203562759699603E-3</v>
      </c>
      <c r="F1037" s="171"/>
      <c r="G1037" s="171">
        <v>1034</v>
      </c>
      <c r="H1037" s="186">
        <f t="shared" ca="1" si="36"/>
        <v>1.8362089773803734E-2</v>
      </c>
    </row>
    <row r="1038" spans="2:8">
      <c r="B1038" s="36">
        <v>45457</v>
      </c>
      <c r="C1038" s="185">
        <v>2922.4</v>
      </c>
      <c r="D1038" s="185">
        <f t="shared" si="35"/>
        <v>0.13762967864997963</v>
      </c>
      <c r="E1038" s="185">
        <v>3.5886605195831912E-3</v>
      </c>
      <c r="F1038" s="171"/>
      <c r="G1038" s="171">
        <v>1035</v>
      </c>
      <c r="H1038" s="186">
        <f t="shared" ca="1" si="36"/>
        <v>6.1993645553544826E-3</v>
      </c>
    </row>
    <row r="1039" spans="2:8">
      <c r="B1039" s="36">
        <v>44327</v>
      </c>
      <c r="C1039" s="185">
        <v>2568.85</v>
      </c>
      <c r="D1039" s="185">
        <f t="shared" si="35"/>
        <v>1.7235474978795586</v>
      </c>
      <c r="E1039" s="185">
        <v>3.5746376528499792E-3</v>
      </c>
      <c r="F1039" s="171"/>
      <c r="G1039" s="171">
        <v>1036</v>
      </c>
      <c r="H1039" s="186">
        <f t="shared" ca="1" si="36"/>
        <v>-2.4885763618765337E-3</v>
      </c>
    </row>
    <row r="1040" spans="2:8">
      <c r="B1040" s="36">
        <v>42713</v>
      </c>
      <c r="C1040" s="185">
        <v>943.2</v>
      </c>
      <c r="D1040" s="185">
        <f t="shared" si="35"/>
        <v>-0.66222604211431024</v>
      </c>
      <c r="E1040" s="185">
        <v>3.5643985742405946E-3</v>
      </c>
      <c r="F1040" s="171"/>
      <c r="G1040" s="171">
        <v>1037</v>
      </c>
      <c r="H1040" s="186">
        <f t="shared" ca="1" si="36"/>
        <v>1.3156950991481202E-2</v>
      </c>
    </row>
    <row r="1041" spans="2:8">
      <c r="B1041" s="36">
        <v>46007</v>
      </c>
      <c r="C1041" s="185">
        <v>2792.4</v>
      </c>
      <c r="D1041" s="185">
        <f t="shared" si="35"/>
        <v>-7.3139158576051744E-2</v>
      </c>
      <c r="E1041" s="185">
        <v>3.5579514824798171E-3</v>
      </c>
      <c r="F1041" s="171"/>
      <c r="G1041" s="171">
        <v>1038</v>
      </c>
      <c r="H1041" s="186">
        <f t="shared" ca="1" si="36"/>
        <v>-7.5186978806815871E-3</v>
      </c>
    </row>
    <row r="1042" spans="2:8">
      <c r="B1042" s="36">
        <v>45342</v>
      </c>
      <c r="C1042" s="185">
        <v>3012.75</v>
      </c>
      <c r="D1042" s="185">
        <f t="shared" si="35"/>
        <v>1.4137843978793235E-2</v>
      </c>
      <c r="E1042" s="185">
        <v>3.547516738283232E-3</v>
      </c>
      <c r="F1042" s="171"/>
      <c r="G1042" s="171">
        <v>1039</v>
      </c>
      <c r="H1042" s="186">
        <f t="shared" ca="1" si="36"/>
        <v>1.9742943740524273E-2</v>
      </c>
    </row>
    <row r="1043" spans="2:8">
      <c r="B1043" s="36">
        <v>45226</v>
      </c>
      <c r="C1043" s="185">
        <v>2970.75</v>
      </c>
      <c r="D1043" s="185">
        <f t="shared" si="35"/>
        <v>6.0111337115940411E-2</v>
      </c>
      <c r="E1043" s="185">
        <v>3.54699771978718E-3</v>
      </c>
      <c r="F1043" s="171"/>
      <c r="G1043" s="171">
        <v>1040</v>
      </c>
      <c r="H1043" s="186">
        <f t="shared" ca="1" si="36"/>
        <v>1.8781299481175628E-2</v>
      </c>
    </row>
    <row r="1044" spans="2:8">
      <c r="B1044" s="36">
        <v>46013</v>
      </c>
      <c r="C1044" s="185">
        <v>2802.3</v>
      </c>
      <c r="D1044" s="185">
        <f t="shared" si="35"/>
        <v>2.244529350468913</v>
      </c>
      <c r="E1044" s="185">
        <v>3.5453373442200582E-3</v>
      </c>
      <c r="F1044" s="171"/>
      <c r="G1044" s="171">
        <v>1041</v>
      </c>
      <c r="H1044" s="186">
        <f t="shared" ca="1" si="36"/>
        <v>1.9283695130166263E-2</v>
      </c>
    </row>
    <row r="1045" spans="2:8">
      <c r="B1045" s="36">
        <v>42335</v>
      </c>
      <c r="C1045" s="185">
        <v>863.7</v>
      </c>
      <c r="D1045" s="185">
        <f t="shared" si="35"/>
        <v>-0.24000175986625016</v>
      </c>
      <c r="E1045" s="185">
        <v>3.5438331493639324E-3</v>
      </c>
      <c r="F1045" s="171"/>
      <c r="G1045" s="171">
        <v>1042</v>
      </c>
      <c r="H1045" s="186">
        <f t="shared" ca="1" si="36"/>
        <v>-1.1854197242244426E-3</v>
      </c>
    </row>
    <row r="1046" spans="2:8">
      <c r="B1046" s="36">
        <v>43007</v>
      </c>
      <c r="C1046" s="185">
        <v>1136.45</v>
      </c>
      <c r="D1046" s="185">
        <f t="shared" si="35"/>
        <v>-0.64229395193654493</v>
      </c>
      <c r="E1046" s="185">
        <v>3.5321647754867763E-3</v>
      </c>
      <c r="F1046" s="171"/>
      <c r="G1046" s="171">
        <v>1043</v>
      </c>
      <c r="H1046" s="186">
        <f t="shared" ca="1" si="36"/>
        <v>-2.4911787408993788E-2</v>
      </c>
    </row>
    <row r="1047" spans="2:8">
      <c r="B1047" s="36">
        <v>45210</v>
      </c>
      <c r="C1047" s="185">
        <v>3177.05</v>
      </c>
      <c r="D1047" s="185">
        <f t="shared" si="35"/>
        <v>-4.3388585279195431E-2</v>
      </c>
      <c r="E1047" s="185">
        <v>3.5060566338698858E-3</v>
      </c>
      <c r="F1047" s="171"/>
      <c r="G1047" s="171">
        <v>1044</v>
      </c>
      <c r="H1047" s="186">
        <f t="shared" ca="1" si="36"/>
        <v>-2.424459953126336E-3</v>
      </c>
    </row>
    <row r="1048" spans="2:8">
      <c r="B1048" s="36">
        <v>44481</v>
      </c>
      <c r="C1048" s="185">
        <v>3321.15</v>
      </c>
      <c r="D1048" s="185">
        <f t="shared" si="35"/>
        <v>0.29381172208262735</v>
      </c>
      <c r="E1048" s="185">
        <v>3.5050082337477629E-3</v>
      </c>
      <c r="F1048" s="171"/>
      <c r="G1048" s="171">
        <v>1045</v>
      </c>
      <c r="H1048" s="186">
        <f t="shared" ca="1" si="36"/>
        <v>1.1410300371772816E-2</v>
      </c>
    </row>
    <row r="1049" spans="2:8">
      <c r="B1049" s="36">
        <v>44323</v>
      </c>
      <c r="C1049" s="185">
        <v>2566.9499999999998</v>
      </c>
      <c r="D1049" s="185">
        <f t="shared" si="35"/>
        <v>0.73430849266941423</v>
      </c>
      <c r="E1049" s="185">
        <v>3.49882720875677E-3</v>
      </c>
      <c r="F1049" s="171"/>
      <c r="G1049" s="171">
        <v>1046</v>
      </c>
      <c r="H1049" s="186">
        <f t="shared" ca="1" si="36"/>
        <v>-2.0117497792542852E-2</v>
      </c>
    </row>
    <row r="1050" spans="2:8">
      <c r="B1050" s="36">
        <v>43503</v>
      </c>
      <c r="C1050" s="185">
        <v>1480.1</v>
      </c>
      <c r="D1050" s="185">
        <f t="shared" si="35"/>
        <v>0.74437242192103703</v>
      </c>
      <c r="E1050" s="185">
        <v>3.4916437845349765E-3</v>
      </c>
      <c r="F1050" s="171"/>
      <c r="G1050" s="171">
        <v>1047</v>
      </c>
      <c r="H1050" s="186">
        <f t="shared" ca="1" si="36"/>
        <v>8.8808141590799791E-3</v>
      </c>
    </row>
    <row r="1051" spans="2:8">
      <c r="B1051" s="36">
        <v>42209</v>
      </c>
      <c r="C1051" s="185">
        <v>848.5</v>
      </c>
      <c r="D1051" s="185">
        <f t="shared" si="35"/>
        <v>-0.71235337989016201</v>
      </c>
      <c r="E1051" s="185">
        <v>3.4888534090237663E-3</v>
      </c>
      <c r="F1051" s="171"/>
      <c r="G1051" s="171">
        <v>1048</v>
      </c>
      <c r="H1051" s="186">
        <f t="shared" ca="1" si="36"/>
        <v>6.4773885019808082E-3</v>
      </c>
    </row>
    <row r="1052" spans="2:8">
      <c r="B1052" s="36">
        <v>45489</v>
      </c>
      <c r="C1052" s="185">
        <v>2949.8</v>
      </c>
      <c r="D1052" s="185">
        <f t="shared" si="35"/>
        <v>0.15062508532756033</v>
      </c>
      <c r="E1052" s="185">
        <v>3.4869282713340475E-3</v>
      </c>
      <c r="F1052" s="171"/>
      <c r="G1052" s="171">
        <v>1049</v>
      </c>
      <c r="H1052" s="186">
        <f t="shared" ca="1" si="36"/>
        <v>2.7579264505296817E-3</v>
      </c>
    </row>
    <row r="1053" spans="2:8">
      <c r="B1053" s="36">
        <v>44287</v>
      </c>
      <c r="C1053" s="185">
        <v>2563.65</v>
      </c>
      <c r="D1053" s="185">
        <f t="shared" si="35"/>
        <v>-9.9921004125340093E-2</v>
      </c>
      <c r="E1053" s="185">
        <v>3.4837068206282772E-3</v>
      </c>
      <c r="F1053" s="171"/>
      <c r="G1053" s="171">
        <v>1050</v>
      </c>
      <c r="H1053" s="186">
        <f t="shared" ca="1" si="36"/>
        <v>-1.8603922574407492E-2</v>
      </c>
    </row>
    <row r="1054" spans="2:8">
      <c r="B1054" s="36">
        <v>44712</v>
      </c>
      <c r="C1054" s="185">
        <v>2848.25</v>
      </c>
      <c r="D1054" s="185">
        <f t="shared" si="35"/>
        <v>2.3128816516429196</v>
      </c>
      <c r="E1054" s="185">
        <v>3.45258856065817E-3</v>
      </c>
      <c r="F1054" s="171"/>
      <c r="G1054" s="171">
        <v>1051</v>
      </c>
      <c r="H1054" s="186">
        <f t="shared" ca="1" si="36"/>
        <v>1.9504438173326907E-2</v>
      </c>
    </row>
    <row r="1055" spans="2:8">
      <c r="B1055" s="36">
        <v>42289</v>
      </c>
      <c r="C1055" s="185">
        <v>859.75</v>
      </c>
      <c r="D1055" s="185">
        <f t="shared" si="35"/>
        <v>-0.62729755505462115</v>
      </c>
      <c r="E1055" s="185">
        <v>3.4430438842204081E-3</v>
      </c>
      <c r="F1055" s="171"/>
      <c r="G1055" s="171">
        <v>1052</v>
      </c>
      <c r="H1055" s="186">
        <f t="shared" ca="1" si="36"/>
        <v>-2.5612375344476771E-3</v>
      </c>
    </row>
    <row r="1056" spans="2:8">
      <c r="B1056" s="36">
        <v>45786</v>
      </c>
      <c r="C1056" s="185">
        <v>2306.8000000000002</v>
      </c>
      <c r="D1056" s="185">
        <f t="shared" si="35"/>
        <v>1.3204908962881001</v>
      </c>
      <c r="E1056" s="185">
        <v>3.4364261168385274E-3</v>
      </c>
      <c r="F1056" s="171"/>
      <c r="G1056" s="171">
        <v>1053</v>
      </c>
      <c r="H1056" s="186">
        <f t="shared" ca="1" si="36"/>
        <v>9.8252552263696684E-4</v>
      </c>
    </row>
    <row r="1057" spans="2:8">
      <c r="B1057" s="36">
        <v>42558</v>
      </c>
      <c r="C1057" s="185">
        <v>994.1</v>
      </c>
      <c r="D1057" s="185">
        <f t="shared" si="35"/>
        <v>-0.64977364406630378</v>
      </c>
      <c r="E1057" s="185">
        <v>3.4319168264862997E-3</v>
      </c>
      <c r="F1057" s="171"/>
      <c r="G1057" s="171">
        <v>1054</v>
      </c>
      <c r="H1057" s="186">
        <f t="shared" ca="1" si="36"/>
        <v>6.7374532078958473E-3</v>
      </c>
    </row>
    <row r="1058" spans="2:8">
      <c r="B1058" s="36">
        <v>44711</v>
      </c>
      <c r="C1058" s="185">
        <v>2838.45</v>
      </c>
      <c r="D1058" s="185">
        <f t="shared" si="35"/>
        <v>0.16430124287296433</v>
      </c>
      <c r="E1058" s="185">
        <v>3.4290764471939261E-3</v>
      </c>
      <c r="F1058" s="171"/>
      <c r="G1058" s="171">
        <v>1055</v>
      </c>
      <c r="H1058" s="186">
        <f t="shared" ca="1" si="36"/>
        <v>2.1794737061011944E-2</v>
      </c>
    </row>
    <row r="1059" spans="2:8">
      <c r="B1059" s="36">
        <v>45770</v>
      </c>
      <c r="C1059" s="185">
        <v>2437.9</v>
      </c>
      <c r="D1059" s="185">
        <f t="shared" si="35"/>
        <v>0.37118591636435222</v>
      </c>
      <c r="E1059" s="185">
        <v>3.4162001975634598E-3</v>
      </c>
      <c r="F1059" s="171"/>
      <c r="G1059" s="171">
        <v>1056</v>
      </c>
      <c r="H1059" s="186">
        <f t="shared" ca="1" si="36"/>
        <v>1.7043919030693293E-2</v>
      </c>
    </row>
    <row r="1060" spans="2:8">
      <c r="B1060" s="36">
        <v>43748</v>
      </c>
      <c r="C1060" s="185">
        <v>1777.95</v>
      </c>
      <c r="D1060" s="185">
        <f t="shared" si="35"/>
        <v>0.64040226968676495</v>
      </c>
      <c r="E1060" s="185">
        <v>3.4144139059766095E-3</v>
      </c>
      <c r="F1060" s="171"/>
      <c r="G1060" s="171">
        <v>1057</v>
      </c>
      <c r="H1060" s="186">
        <f t="shared" ca="1" si="36"/>
        <v>-1.3004440290512273E-2</v>
      </c>
    </row>
    <row r="1061" spans="2:8">
      <c r="B1061" s="36">
        <v>42814</v>
      </c>
      <c r="C1061" s="185">
        <v>1083.8499999999999</v>
      </c>
      <c r="D1061" s="185">
        <f t="shared" si="35"/>
        <v>-0.62055384399943991</v>
      </c>
      <c r="E1061" s="185">
        <v>3.3790038881687311E-3</v>
      </c>
      <c r="F1061" s="171"/>
      <c r="G1061" s="171">
        <v>1058</v>
      </c>
      <c r="H1061" s="186">
        <f t="shared" ca="1" si="36"/>
        <v>4.662289790822843E-3</v>
      </c>
    </row>
    <row r="1062" spans="2:8">
      <c r="B1062" s="36">
        <v>45034</v>
      </c>
      <c r="C1062" s="185">
        <v>2856.4</v>
      </c>
      <c r="D1062" s="185">
        <f t="shared" si="35"/>
        <v>0.67138677589233475</v>
      </c>
      <c r="E1062" s="185">
        <v>3.3545848920737593E-3</v>
      </c>
      <c r="F1062" s="171"/>
      <c r="G1062" s="171">
        <v>1059</v>
      </c>
      <c r="H1062" s="186">
        <f t="shared" ca="1" si="36"/>
        <v>9.1206122883727755E-3</v>
      </c>
    </row>
    <row r="1063" spans="2:8">
      <c r="B1063" s="36">
        <v>44025</v>
      </c>
      <c r="C1063" s="185">
        <v>1709</v>
      </c>
      <c r="D1063" s="185">
        <f t="shared" si="35"/>
        <v>0.60333990055352271</v>
      </c>
      <c r="E1063" s="185">
        <v>3.3464451359126669E-3</v>
      </c>
      <c r="F1063" s="171"/>
      <c r="G1063" s="171">
        <v>1060</v>
      </c>
      <c r="H1063" s="186">
        <f t="shared" ca="1" si="36"/>
        <v>-1.9365223722576357E-2</v>
      </c>
    </row>
    <row r="1064" spans="2:8">
      <c r="B1064" s="36">
        <v>42846</v>
      </c>
      <c r="C1064" s="185">
        <v>1065.9000000000001</v>
      </c>
      <c r="D1064" s="185">
        <f t="shared" si="35"/>
        <v>0.28693027467552079</v>
      </c>
      <c r="E1064" s="185">
        <v>3.3416482326918458E-3</v>
      </c>
      <c r="F1064" s="171"/>
      <c r="G1064" s="171">
        <v>1061</v>
      </c>
      <c r="H1064" s="186">
        <f t="shared" ca="1" si="36"/>
        <v>2.5601225361746773E-2</v>
      </c>
    </row>
    <row r="1065" spans="2:8">
      <c r="B1065" s="36">
        <v>42305</v>
      </c>
      <c r="C1065" s="185">
        <v>828.25</v>
      </c>
      <c r="D1065" s="185">
        <f t="shared" si="35"/>
        <v>-3.7813661710037125E-2</v>
      </c>
      <c r="E1065" s="185">
        <v>3.331314354936402E-3</v>
      </c>
      <c r="F1065" s="171"/>
      <c r="G1065" s="171">
        <v>1062</v>
      </c>
      <c r="H1065" s="186">
        <f t="shared" ca="1" si="36"/>
        <v>-8.0488367170281142E-3</v>
      </c>
    </row>
    <row r="1066" spans="2:8">
      <c r="B1066" s="36">
        <v>42415</v>
      </c>
      <c r="C1066" s="185">
        <v>860.8</v>
      </c>
      <c r="D1066" s="185">
        <f t="shared" si="35"/>
        <v>-0.16244222816832893</v>
      </c>
      <c r="E1066" s="185">
        <v>3.3218719039570009E-3</v>
      </c>
      <c r="F1066" s="171"/>
      <c r="G1066" s="171">
        <v>1063</v>
      </c>
      <c r="H1066" s="186">
        <f t="shared" ca="1" si="36"/>
        <v>1.6956990588211769E-2</v>
      </c>
    </row>
    <row r="1067" spans="2:8">
      <c r="B1067" s="36">
        <v>42527</v>
      </c>
      <c r="C1067" s="185">
        <v>1027.75</v>
      </c>
      <c r="D1067" s="185">
        <f t="shared" si="35"/>
        <v>-0.63479852178238927</v>
      </c>
      <c r="E1067" s="185">
        <v>3.3191780153268816E-3</v>
      </c>
      <c r="F1067" s="171"/>
      <c r="G1067" s="171">
        <v>1064</v>
      </c>
      <c r="H1067" s="186">
        <f t="shared" ca="1" si="36"/>
        <v>-1.7000711474535687E-2</v>
      </c>
    </row>
    <row r="1068" spans="2:8">
      <c r="B1068" s="36">
        <v>44202</v>
      </c>
      <c r="C1068" s="185">
        <v>2814.2</v>
      </c>
      <c r="D1068" s="185">
        <f t="shared" si="35"/>
        <v>0.27886210265615397</v>
      </c>
      <c r="E1068" s="185">
        <v>3.3156262255337899E-3</v>
      </c>
      <c r="F1068" s="171"/>
      <c r="G1068" s="171">
        <v>1065</v>
      </c>
      <c r="H1068" s="186">
        <f t="shared" ca="1" si="36"/>
        <v>-6.6804229859047642E-3</v>
      </c>
    </row>
    <row r="1069" spans="2:8">
      <c r="B1069" s="36">
        <v>44153</v>
      </c>
      <c r="C1069" s="185">
        <v>2200.5500000000002</v>
      </c>
      <c r="D1069" s="185">
        <f t="shared" si="35"/>
        <v>-0.35625374815334876</v>
      </c>
      <c r="E1069" s="185">
        <v>3.3055213605069985E-3</v>
      </c>
      <c r="F1069" s="171"/>
      <c r="G1069" s="171">
        <v>1066</v>
      </c>
      <c r="H1069" s="186">
        <f t="shared" ca="1" si="36"/>
        <v>-2.8796695592818302E-2</v>
      </c>
    </row>
    <row r="1070" spans="2:8">
      <c r="B1070" s="36">
        <v>44811</v>
      </c>
      <c r="C1070" s="185">
        <v>3418.35</v>
      </c>
      <c r="D1070" s="185">
        <f t="shared" si="35"/>
        <v>1.863299409473552</v>
      </c>
      <c r="E1070" s="185">
        <v>3.2872048486270984E-3</v>
      </c>
      <c r="F1070" s="171"/>
      <c r="G1070" s="171">
        <v>1067</v>
      </c>
      <c r="H1070" s="186">
        <f t="shared" ca="1" si="36"/>
        <v>7.2068088705640621E-3</v>
      </c>
    </row>
    <row r="1071" spans="2:8">
      <c r="B1071" s="36">
        <v>43117</v>
      </c>
      <c r="C1071" s="185">
        <v>1193.8499999999999</v>
      </c>
      <c r="D1071" s="185">
        <f t="shared" si="35"/>
        <v>-0.17134032067744856</v>
      </c>
      <c r="E1071" s="185">
        <v>3.2774486322953598E-3</v>
      </c>
      <c r="F1071" s="171"/>
      <c r="G1071" s="171">
        <v>1068</v>
      </c>
      <c r="H1071" s="186">
        <f t="shared" ca="1" si="36"/>
        <v>-4.8902236763910768E-3</v>
      </c>
    </row>
    <row r="1072" spans="2:8">
      <c r="B1072" s="36">
        <v>43538</v>
      </c>
      <c r="C1072" s="185">
        <v>1440.7</v>
      </c>
      <c r="D1072" s="185">
        <f t="shared" si="35"/>
        <v>-0.5519445178746365</v>
      </c>
      <c r="E1072" s="185">
        <v>3.2729805013927893E-3</v>
      </c>
      <c r="F1072" s="171"/>
      <c r="G1072" s="171">
        <v>1069</v>
      </c>
      <c r="H1072" s="186">
        <f t="shared" ca="1" si="36"/>
        <v>-2.7068037794357978E-4</v>
      </c>
    </row>
    <row r="1073" spans="2:8">
      <c r="B1073" s="36">
        <v>45187</v>
      </c>
      <c r="C1073" s="185">
        <v>3215.45</v>
      </c>
      <c r="D1073" s="185">
        <f t="shared" si="35"/>
        <v>0.46941620015994506</v>
      </c>
      <c r="E1073" s="185">
        <v>3.2605304212167921E-3</v>
      </c>
      <c r="F1073" s="171"/>
      <c r="G1073" s="171">
        <v>1070</v>
      </c>
      <c r="H1073" s="186">
        <f t="shared" ca="1" si="36"/>
        <v>4.4947592953955944E-3</v>
      </c>
    </row>
    <row r="1074" spans="2:8">
      <c r="B1074" s="36">
        <v>44148</v>
      </c>
      <c r="C1074" s="185">
        <v>2188.25</v>
      </c>
      <c r="D1074" s="185">
        <f t="shared" si="35"/>
        <v>-0.10251414978262646</v>
      </c>
      <c r="E1074" s="185">
        <v>3.2551635605070303E-3</v>
      </c>
      <c r="F1074" s="171"/>
      <c r="G1074" s="171">
        <v>1071</v>
      </c>
      <c r="H1074" s="186">
        <f t="shared" ca="1" si="36"/>
        <v>-6.8776205520579697E-3</v>
      </c>
    </row>
    <row r="1075" spans="2:8">
      <c r="B1075" s="36">
        <v>44265</v>
      </c>
      <c r="C1075" s="185">
        <v>2438.1999999999998</v>
      </c>
      <c r="D1075" s="185">
        <f t="shared" si="35"/>
        <v>0.73599145603417571</v>
      </c>
      <c r="E1075" s="185">
        <v>3.2506274945478483E-3</v>
      </c>
      <c r="F1075" s="171"/>
      <c r="G1075" s="171">
        <v>1072</v>
      </c>
      <c r="H1075" s="186">
        <f t="shared" ca="1" si="36"/>
        <v>-4.4427655747548665E-3</v>
      </c>
    </row>
    <row r="1076" spans="2:8">
      <c r="B1076" s="36">
        <v>43489</v>
      </c>
      <c r="C1076" s="185">
        <v>1404.5</v>
      </c>
      <c r="D1076" s="185">
        <f t="shared" si="35"/>
        <v>2.2086380671687885E-2</v>
      </c>
      <c r="E1076" s="185">
        <v>3.2501160755740951E-3</v>
      </c>
      <c r="F1076" s="171"/>
      <c r="G1076" s="171">
        <v>1073</v>
      </c>
      <c r="H1076" s="186">
        <f t="shared" ca="1" si="36"/>
        <v>1.0352124847404644E-2</v>
      </c>
    </row>
    <row r="1077" spans="2:8">
      <c r="B1077" s="36">
        <v>43462</v>
      </c>
      <c r="C1077" s="185">
        <v>1374.15</v>
      </c>
      <c r="D1077" s="185">
        <f t="shared" si="35"/>
        <v>-0.23473394035585998</v>
      </c>
      <c r="E1077" s="185">
        <v>3.2488866175075163E-3</v>
      </c>
      <c r="F1077" s="171"/>
      <c r="G1077" s="171">
        <v>1074</v>
      </c>
      <c r="H1077" s="186">
        <f t="shared" ca="1" si="36"/>
        <v>-2.4557732923077653E-3</v>
      </c>
    </row>
    <row r="1078" spans="2:8">
      <c r="B1078" s="36">
        <v>44054</v>
      </c>
      <c r="C1078" s="185">
        <v>1795.65</v>
      </c>
      <c r="D1078" s="185">
        <f t="shared" si="35"/>
        <v>3.2576193214491136E-2</v>
      </c>
      <c r="E1078" s="185">
        <v>3.2404950135487233E-3</v>
      </c>
      <c r="F1078" s="171"/>
      <c r="G1078" s="171">
        <v>1075</v>
      </c>
      <c r="H1078" s="186">
        <f t="shared" ca="1" si="36"/>
        <v>-1.882732174939419E-2</v>
      </c>
    </row>
    <row r="1079" spans="2:8">
      <c r="B1079" s="36">
        <v>43838</v>
      </c>
      <c r="C1079" s="185">
        <v>1739</v>
      </c>
      <c r="D1079" s="185">
        <f t="shared" si="35"/>
        <v>-0.25862767250015989</v>
      </c>
      <c r="E1079" s="185">
        <v>3.2306449751932091E-3</v>
      </c>
      <c r="F1079" s="171"/>
      <c r="G1079" s="171">
        <v>1076</v>
      </c>
      <c r="H1079" s="186">
        <f t="shared" ca="1" si="36"/>
        <v>1.5064941891290162E-2</v>
      </c>
    </row>
    <row r="1080" spans="2:8">
      <c r="B1080" s="36">
        <v>45744</v>
      </c>
      <c r="C1080" s="185">
        <v>2345.65</v>
      </c>
      <c r="D1080" s="185">
        <f t="shared" si="35"/>
        <v>1.6935178274100018</v>
      </c>
      <c r="E1080" s="185">
        <v>3.2291176596382456E-3</v>
      </c>
      <c r="F1080" s="171"/>
      <c r="G1080" s="171">
        <v>1077</v>
      </c>
      <c r="H1080" s="186">
        <f t="shared" ca="1" si="36"/>
        <v>1.9258643535802022E-3</v>
      </c>
    </row>
    <row r="1081" spans="2:8">
      <c r="B1081" s="36">
        <v>42437</v>
      </c>
      <c r="C1081" s="185">
        <v>870.85</v>
      </c>
      <c r="D1081" s="185">
        <f t="shared" si="35"/>
        <v>-0.37902880775812897</v>
      </c>
      <c r="E1081" s="185">
        <v>3.2256206439722E-3</v>
      </c>
      <c r="F1081" s="171"/>
      <c r="G1081" s="171">
        <v>1078</v>
      </c>
      <c r="H1081" s="186">
        <f t="shared" ca="1" si="36"/>
        <v>-1.2967739528394599E-3</v>
      </c>
    </row>
    <row r="1082" spans="2:8">
      <c r="B1082" s="36">
        <v>43521</v>
      </c>
      <c r="C1082" s="185">
        <v>1402.4</v>
      </c>
      <c r="D1082" s="185">
        <f t="shared" si="35"/>
        <v>0.69382209070596057</v>
      </c>
      <c r="E1082" s="185">
        <v>3.2191143858645108E-3</v>
      </c>
      <c r="F1082" s="171"/>
      <c r="G1082" s="171">
        <v>1079</v>
      </c>
      <c r="H1082" s="186">
        <f t="shared" ca="1" si="36"/>
        <v>2.3674961324702985E-2</v>
      </c>
    </row>
    <row r="1083" spans="2:8">
      <c r="B1083" s="36">
        <v>42328</v>
      </c>
      <c r="C1083" s="185">
        <v>827.95</v>
      </c>
      <c r="D1083" s="185">
        <f t="shared" si="35"/>
        <v>-0.7369039863995297</v>
      </c>
      <c r="E1083" s="185">
        <v>3.2109535926330922E-3</v>
      </c>
      <c r="F1083" s="171"/>
      <c r="G1083" s="171">
        <v>1080</v>
      </c>
      <c r="H1083" s="186">
        <f t="shared" ca="1" si="36"/>
        <v>-9.0939358412599515E-3</v>
      </c>
    </row>
    <row r="1084" spans="2:8">
      <c r="B1084" s="36">
        <v>45076</v>
      </c>
      <c r="C1084" s="185">
        <v>3146.95</v>
      </c>
      <c r="D1084" s="185">
        <f t="shared" si="35"/>
        <v>-1.0533100661856027E-2</v>
      </c>
      <c r="E1084" s="185">
        <v>3.2037999298669792E-3</v>
      </c>
      <c r="F1084" s="171"/>
      <c r="G1084" s="171">
        <v>1081</v>
      </c>
      <c r="H1084" s="186">
        <f t="shared" ca="1" si="36"/>
        <v>-5.0887465063306284E-3</v>
      </c>
    </row>
    <row r="1085" spans="2:8">
      <c r="B1085" s="36">
        <v>45198</v>
      </c>
      <c r="C1085" s="185">
        <v>3180.45</v>
      </c>
      <c r="D1085" s="185">
        <f t="shared" si="35"/>
        <v>0.62118972372311132</v>
      </c>
      <c r="E1085" s="185">
        <v>3.1857681328559652E-3</v>
      </c>
      <c r="F1085" s="171"/>
      <c r="G1085" s="171">
        <v>1082</v>
      </c>
      <c r="H1085" s="186">
        <f t="shared" ca="1" si="36"/>
        <v>1.0371879328625894E-2</v>
      </c>
    </row>
    <row r="1086" spans="2:8">
      <c r="B1086" s="36">
        <v>44103</v>
      </c>
      <c r="C1086" s="185">
        <v>1961.8</v>
      </c>
      <c r="D1086" s="185">
        <f t="shared" si="35"/>
        <v>0.73526159833709259</v>
      </c>
      <c r="E1086" s="185">
        <v>3.1703824913070391E-3</v>
      </c>
      <c r="F1086" s="171"/>
      <c r="G1086" s="171">
        <v>1083</v>
      </c>
      <c r="H1086" s="186">
        <f t="shared" ca="1" si="36"/>
        <v>-1.3312389068325818E-2</v>
      </c>
    </row>
    <row r="1087" spans="2:8">
      <c r="B1087" s="36">
        <v>42584</v>
      </c>
      <c r="C1087" s="185">
        <v>1130.55</v>
      </c>
      <c r="D1087" s="185">
        <f t="shared" si="35"/>
        <v>-1.5286124902011981E-2</v>
      </c>
      <c r="E1087" s="185">
        <v>3.149955634427644E-3</v>
      </c>
      <c r="F1087" s="171"/>
      <c r="G1087" s="171">
        <v>1084</v>
      </c>
      <c r="H1087" s="186">
        <f t="shared" ca="1" si="36"/>
        <v>3.7491303906646931E-3</v>
      </c>
    </row>
    <row r="1088" spans="2:8">
      <c r="B1088" s="36">
        <v>42902</v>
      </c>
      <c r="C1088" s="185">
        <v>1148.0999999999999</v>
      </c>
      <c r="D1088" s="185">
        <f t="shared" si="35"/>
        <v>-0.54482020378226226</v>
      </c>
      <c r="E1088" s="185">
        <v>3.1454783748360938E-3</v>
      </c>
      <c r="F1088" s="171"/>
      <c r="G1088" s="171">
        <v>1085</v>
      </c>
      <c r="H1088" s="186">
        <f t="shared" ca="1" si="36"/>
        <v>3.1485697551221485E-2</v>
      </c>
    </row>
    <row r="1089" spans="2:8">
      <c r="B1089" s="36">
        <v>45950</v>
      </c>
      <c r="C1089" s="185">
        <v>2522.3000000000002</v>
      </c>
      <c r="D1089" s="185">
        <f t="shared" si="35"/>
        <v>0.38420590495006041</v>
      </c>
      <c r="E1089" s="185">
        <v>3.1419026407890913E-3</v>
      </c>
      <c r="F1089" s="171"/>
      <c r="G1089" s="171">
        <v>1086</v>
      </c>
      <c r="H1089" s="186">
        <f t="shared" ca="1" si="36"/>
        <v>-1.5139015158263106E-2</v>
      </c>
    </row>
    <row r="1090" spans="2:8">
      <c r="B1090" s="36">
        <v>43945</v>
      </c>
      <c r="C1090" s="185">
        <v>1822.2</v>
      </c>
      <c r="D1090" s="185">
        <f t="shared" si="35"/>
        <v>1.4277364949486566E-2</v>
      </c>
      <c r="E1090" s="185">
        <v>3.1379025598679026E-3</v>
      </c>
      <c r="F1090" s="171"/>
      <c r="G1090" s="171">
        <v>1087</v>
      </c>
      <c r="H1090" s="186">
        <f t="shared" ca="1" si="36"/>
        <v>-1.3903293311247002E-3</v>
      </c>
    </row>
    <row r="1091" spans="2:8">
      <c r="B1091" s="36">
        <v>43774</v>
      </c>
      <c r="C1091" s="185">
        <v>1796.55</v>
      </c>
      <c r="D1091" s="185">
        <f t="shared" si="35"/>
        <v>-0.41863926866758355</v>
      </c>
      <c r="E1091" s="185">
        <v>3.1268321282000664E-3</v>
      </c>
      <c r="F1091" s="171"/>
      <c r="G1091" s="171">
        <v>1088</v>
      </c>
      <c r="H1091" s="186">
        <f t="shared" ca="1" si="36"/>
        <v>2.9009373640641264E-2</v>
      </c>
    </row>
    <row r="1092" spans="2:8">
      <c r="B1092" s="36">
        <v>44917</v>
      </c>
      <c r="C1092" s="185">
        <v>3090.25</v>
      </c>
      <c r="D1092" s="185">
        <f t="shared" ref="D1092:D1155" si="37">(C1092-C1093)/C1093</f>
        <v>-5.471075710032987E-3</v>
      </c>
      <c r="E1092" s="185">
        <v>3.1162254718971349E-3</v>
      </c>
      <c r="F1092" s="171"/>
      <c r="G1092" s="171">
        <v>1089</v>
      </c>
      <c r="H1092" s="186">
        <f t="shared" ca="1" si="36"/>
        <v>-2.0407134852330814E-2</v>
      </c>
    </row>
    <row r="1093" spans="2:8">
      <c r="B1093" s="36">
        <v>44887</v>
      </c>
      <c r="C1093" s="185">
        <v>3107.25</v>
      </c>
      <c r="D1093" s="185">
        <f t="shared" si="37"/>
        <v>0.37425090113000586</v>
      </c>
      <c r="E1093" s="185">
        <v>3.1153150826446576E-3</v>
      </c>
      <c r="F1093" s="171"/>
      <c r="G1093" s="171">
        <v>1090</v>
      </c>
      <c r="H1093" s="186">
        <f t="shared" ref="H1093:H1156" ca="1" si="38">_xlfn.NORM.INV(RAND(),N$6,N$7)</f>
        <v>-1.7633962817660678E-2</v>
      </c>
    </row>
    <row r="1094" spans="2:8">
      <c r="B1094" s="36">
        <v>45709</v>
      </c>
      <c r="C1094" s="185">
        <v>2261.0500000000002</v>
      </c>
      <c r="D1094" s="185">
        <f t="shared" si="37"/>
        <v>-0.31196652719665269</v>
      </c>
      <c r="E1094" s="185">
        <v>3.1055211729997113E-3</v>
      </c>
      <c r="F1094" s="171"/>
      <c r="G1094" s="171">
        <v>1091</v>
      </c>
      <c r="H1094" s="186">
        <f t="shared" ca="1" si="38"/>
        <v>-9.1783829016924903E-3</v>
      </c>
    </row>
    <row r="1095" spans="2:8">
      <c r="B1095" s="36">
        <v>44552</v>
      </c>
      <c r="C1095" s="185">
        <v>3286.25</v>
      </c>
      <c r="D1095" s="185">
        <f t="shared" si="37"/>
        <v>1.4830934300502474</v>
      </c>
      <c r="E1095" s="185">
        <v>3.0828869252018097E-3</v>
      </c>
      <c r="F1095" s="171"/>
      <c r="G1095" s="171">
        <v>1092</v>
      </c>
      <c r="H1095" s="186">
        <f t="shared" ca="1" si="38"/>
        <v>-1.4892623530258944E-3</v>
      </c>
    </row>
    <row r="1096" spans="2:8">
      <c r="B1096" s="36">
        <v>43420</v>
      </c>
      <c r="C1096" s="185">
        <v>1323.45</v>
      </c>
      <c r="D1096" s="185">
        <f t="shared" si="37"/>
        <v>-0.55129682997118157</v>
      </c>
      <c r="E1096" s="185">
        <v>3.0695770804910977E-3</v>
      </c>
      <c r="F1096" s="171"/>
      <c r="G1096" s="171">
        <v>1093</v>
      </c>
      <c r="H1096" s="186">
        <f t="shared" ca="1" si="38"/>
        <v>8.1151990542949852E-3</v>
      </c>
    </row>
    <row r="1097" spans="2:8">
      <c r="B1097" s="36">
        <v>45324</v>
      </c>
      <c r="C1097" s="185">
        <v>2949.5</v>
      </c>
      <c r="D1097" s="185">
        <f t="shared" si="37"/>
        <v>3.9361477200648323E-2</v>
      </c>
      <c r="E1097" s="185">
        <v>3.0607039619112396E-3</v>
      </c>
      <c r="F1097" s="171"/>
      <c r="G1097" s="171">
        <v>1094</v>
      </c>
      <c r="H1097" s="186">
        <f t="shared" ca="1" si="38"/>
        <v>-8.3246575288309869E-3</v>
      </c>
    </row>
    <row r="1098" spans="2:8">
      <c r="B1098" s="36">
        <v>45357</v>
      </c>
      <c r="C1098" s="185">
        <v>2837.8</v>
      </c>
      <c r="D1098" s="185">
        <f t="shared" si="37"/>
        <v>2.9269885024119646E-2</v>
      </c>
      <c r="E1098" s="185">
        <v>3.0574554194723116E-3</v>
      </c>
      <c r="F1098" s="171"/>
      <c r="G1098" s="171">
        <v>1095</v>
      </c>
      <c r="H1098" s="186">
        <f t="shared" ca="1" si="38"/>
        <v>-2.743222104924396E-3</v>
      </c>
    </row>
    <row r="1099" spans="2:8">
      <c r="B1099" s="36">
        <v>44958</v>
      </c>
      <c r="C1099" s="185">
        <v>2757.1</v>
      </c>
      <c r="D1099" s="185">
        <f t="shared" si="37"/>
        <v>1.0723063625089253</v>
      </c>
      <c r="E1099" s="185">
        <v>3.0559901044130283E-3</v>
      </c>
      <c r="F1099" s="171"/>
      <c r="G1099" s="171">
        <v>1096</v>
      </c>
      <c r="H1099" s="186">
        <f t="shared" ca="1" si="38"/>
        <v>-1.0494648417097126E-2</v>
      </c>
    </row>
    <row r="1100" spans="2:8">
      <c r="B1100" s="36">
        <v>43287</v>
      </c>
      <c r="C1100" s="185">
        <v>1330.45</v>
      </c>
      <c r="D1100" s="185">
        <f t="shared" si="37"/>
        <v>-0.57223695844385503</v>
      </c>
      <c r="E1100" s="185">
        <v>3.0533775633292781E-3</v>
      </c>
      <c r="F1100" s="171"/>
      <c r="G1100" s="171">
        <v>1097</v>
      </c>
      <c r="H1100" s="186">
        <f t="shared" ca="1" si="38"/>
        <v>1.2879334964122996E-2</v>
      </c>
    </row>
    <row r="1101" spans="2:8">
      <c r="B1101" s="36">
        <v>45064</v>
      </c>
      <c r="C1101" s="185">
        <v>3110.25</v>
      </c>
      <c r="D1101" s="185">
        <f t="shared" si="37"/>
        <v>1.0723256821134692</v>
      </c>
      <c r="E1101" s="185">
        <v>3.0152536360411198E-3</v>
      </c>
      <c r="F1101" s="171"/>
      <c r="G1101" s="171">
        <v>1098</v>
      </c>
      <c r="H1101" s="186">
        <f t="shared" ca="1" si="38"/>
        <v>-1.293493615078704E-2</v>
      </c>
    </row>
    <row r="1102" spans="2:8">
      <c r="B1102" s="36">
        <v>43672</v>
      </c>
      <c r="C1102" s="185">
        <v>1500.85</v>
      </c>
      <c r="D1102" s="185">
        <f t="shared" si="37"/>
        <v>-0.52493471551792359</v>
      </c>
      <c r="E1102" s="185">
        <v>3.00731780666288E-3</v>
      </c>
      <c r="F1102" s="171"/>
      <c r="G1102" s="171">
        <v>1099</v>
      </c>
      <c r="H1102" s="186">
        <f t="shared" ca="1" si="38"/>
        <v>9.3293527854358908E-3</v>
      </c>
    </row>
    <row r="1103" spans="2:8">
      <c r="B1103" s="36">
        <v>44868</v>
      </c>
      <c r="C1103" s="185">
        <v>3159.25</v>
      </c>
      <c r="D1103" s="185">
        <f t="shared" si="37"/>
        <v>1.8172373818441232</v>
      </c>
      <c r="E1103" s="185">
        <v>3.0001904882849127E-3</v>
      </c>
      <c r="F1103" s="171"/>
      <c r="G1103" s="171">
        <v>1100</v>
      </c>
      <c r="H1103" s="186">
        <f t="shared" ca="1" si="38"/>
        <v>-1.2808402385271632E-2</v>
      </c>
    </row>
    <row r="1104" spans="2:8">
      <c r="B1104" s="36">
        <v>42858</v>
      </c>
      <c r="C1104" s="185">
        <v>1121.4000000000001</v>
      </c>
      <c r="D1104" s="185">
        <f t="shared" si="37"/>
        <v>-0.66125962845491615</v>
      </c>
      <c r="E1104" s="185">
        <v>2.9962881803140616E-3</v>
      </c>
      <c r="F1104" s="171"/>
      <c r="G1104" s="171">
        <v>1101</v>
      </c>
      <c r="H1104" s="186">
        <f t="shared" ca="1" si="38"/>
        <v>-5.5459151627898764E-3</v>
      </c>
    </row>
    <row r="1105" spans="2:8">
      <c r="B1105" s="36">
        <v>45555</v>
      </c>
      <c r="C1105" s="185">
        <v>3310.5</v>
      </c>
      <c r="D1105" s="185">
        <f t="shared" si="37"/>
        <v>0.43361337259657035</v>
      </c>
      <c r="E1105" s="185">
        <v>2.9842606759274411E-3</v>
      </c>
      <c r="F1105" s="171"/>
      <c r="G1105" s="171">
        <v>1102</v>
      </c>
      <c r="H1105" s="186">
        <f t="shared" ca="1" si="38"/>
        <v>1.6166150980705462E-2</v>
      </c>
    </row>
    <row r="1106" spans="2:8">
      <c r="B1106" s="36">
        <v>45798</v>
      </c>
      <c r="C1106" s="185">
        <v>2309.1999999999998</v>
      </c>
      <c r="D1106" s="185">
        <f t="shared" si="37"/>
        <v>1.602648633417864</v>
      </c>
      <c r="E1106" s="185">
        <v>2.953439888811556E-3</v>
      </c>
      <c r="F1106" s="171"/>
      <c r="G1106" s="171">
        <v>1103</v>
      </c>
      <c r="H1106" s="186">
        <f t="shared" ca="1" si="38"/>
        <v>-1.8384555479963572E-3</v>
      </c>
    </row>
    <row r="1107" spans="2:8">
      <c r="B1107" s="36">
        <v>42237</v>
      </c>
      <c r="C1107" s="185">
        <v>887.25</v>
      </c>
      <c r="D1107" s="185">
        <f t="shared" si="37"/>
        <v>-0.61252074416979652</v>
      </c>
      <c r="E1107" s="185">
        <v>2.9390154298310324E-3</v>
      </c>
      <c r="F1107" s="171"/>
      <c r="G1107" s="171">
        <v>1104</v>
      </c>
      <c r="H1107" s="186">
        <f t="shared" ca="1" si="38"/>
        <v>2.913513832198802E-3</v>
      </c>
    </row>
    <row r="1108" spans="2:8">
      <c r="B1108" s="36">
        <v>45834</v>
      </c>
      <c r="C1108" s="185">
        <v>2289.8000000000002</v>
      </c>
      <c r="D1108" s="185">
        <f t="shared" si="37"/>
        <v>1.6039688406209134</v>
      </c>
      <c r="E1108" s="185">
        <v>2.9346064561343232E-3</v>
      </c>
      <c r="F1108" s="171"/>
      <c r="G1108" s="171">
        <v>1105</v>
      </c>
      <c r="H1108" s="186">
        <f t="shared" ca="1" si="38"/>
        <v>-4.5480879716223023E-5</v>
      </c>
    </row>
    <row r="1109" spans="2:8">
      <c r="B1109" s="36">
        <v>42353</v>
      </c>
      <c r="C1109" s="185">
        <v>879.35</v>
      </c>
      <c r="D1109" s="185">
        <f t="shared" si="37"/>
        <v>-0.69585293303818485</v>
      </c>
      <c r="E1109" s="185">
        <v>2.9083029197081072E-3</v>
      </c>
      <c r="F1109" s="171"/>
      <c r="G1109" s="171">
        <v>1106</v>
      </c>
      <c r="H1109" s="186">
        <f t="shared" ca="1" si="38"/>
        <v>-1.1616282422736454E-2</v>
      </c>
    </row>
    <row r="1110" spans="2:8">
      <c r="B1110" s="36">
        <v>45040</v>
      </c>
      <c r="C1110" s="185">
        <v>2891.2</v>
      </c>
      <c r="D1110" s="185">
        <f t="shared" si="37"/>
        <v>1.2257120862201691</v>
      </c>
      <c r="E1110" s="185">
        <v>2.8964392875105915E-3</v>
      </c>
      <c r="F1110" s="171"/>
      <c r="G1110" s="171">
        <v>1107</v>
      </c>
      <c r="H1110" s="186">
        <f t="shared" ca="1" si="38"/>
        <v>1.4545095203085381E-2</v>
      </c>
    </row>
    <row r="1111" spans="2:8">
      <c r="B1111" s="36">
        <v>43354</v>
      </c>
      <c r="C1111" s="185">
        <v>1299</v>
      </c>
      <c r="D1111" s="185">
        <f t="shared" si="37"/>
        <v>-0.5956231419365885</v>
      </c>
      <c r="E1111" s="185">
        <v>2.8951939779965257E-3</v>
      </c>
      <c r="F1111" s="171"/>
      <c r="G1111" s="171">
        <v>1108</v>
      </c>
      <c r="H1111" s="186">
        <f t="shared" ca="1" si="38"/>
        <v>-1.6025558166478902E-2</v>
      </c>
    </row>
    <row r="1112" spans="2:8">
      <c r="B1112" s="36">
        <v>44594</v>
      </c>
      <c r="C1112" s="185">
        <v>3212.35</v>
      </c>
      <c r="D1112" s="185">
        <f t="shared" si="37"/>
        <v>2.4235852072897797</v>
      </c>
      <c r="E1112" s="185">
        <v>2.8878274171895975E-3</v>
      </c>
      <c r="F1112" s="171"/>
      <c r="G1112" s="171">
        <v>1109</v>
      </c>
      <c r="H1112" s="186">
        <f t="shared" ca="1" si="38"/>
        <v>1.0258968154152635E-2</v>
      </c>
    </row>
    <row r="1113" spans="2:8">
      <c r="B1113" s="36">
        <v>42751</v>
      </c>
      <c r="C1113" s="185">
        <v>938.3</v>
      </c>
      <c r="D1113" s="185">
        <f t="shared" si="37"/>
        <v>-0.5483405136104359</v>
      </c>
      <c r="E1113" s="185">
        <v>2.8858486532705556E-3</v>
      </c>
      <c r="F1113" s="171"/>
      <c r="G1113" s="171">
        <v>1110</v>
      </c>
      <c r="H1113" s="186">
        <f t="shared" ca="1" si="38"/>
        <v>1.6441240159917127E-2</v>
      </c>
    </row>
    <row r="1114" spans="2:8">
      <c r="B1114" s="36">
        <v>44118</v>
      </c>
      <c r="C1114" s="185">
        <v>2077.4499999999998</v>
      </c>
      <c r="D1114" s="185">
        <f t="shared" si="37"/>
        <v>-0.21751822068212209</v>
      </c>
      <c r="E1114" s="185">
        <v>2.8723147477672305E-3</v>
      </c>
      <c r="F1114" s="171"/>
      <c r="G1114" s="171">
        <v>1111</v>
      </c>
      <c r="H1114" s="186">
        <f t="shared" ca="1" si="38"/>
        <v>-1.1606723147208496E-2</v>
      </c>
    </row>
    <row r="1115" spans="2:8">
      <c r="B1115" s="36">
        <v>44189</v>
      </c>
      <c r="C1115" s="185">
        <v>2654.95</v>
      </c>
      <c r="D1115" s="185">
        <f t="shared" si="37"/>
        <v>6.594531657766893E-2</v>
      </c>
      <c r="E1115" s="185">
        <v>2.8707953236254782E-3</v>
      </c>
      <c r="F1115" s="171"/>
      <c r="G1115" s="171">
        <v>1112</v>
      </c>
      <c r="H1115" s="186">
        <f t="shared" ca="1" si="38"/>
        <v>5.8770767202131766E-3</v>
      </c>
    </row>
    <row r="1116" spans="2:8">
      <c r="B1116" s="36">
        <v>45919</v>
      </c>
      <c r="C1116" s="185">
        <v>2490.6999999999998</v>
      </c>
      <c r="D1116" s="185">
        <f t="shared" si="37"/>
        <v>0.70818188052945608</v>
      </c>
      <c r="E1116" s="185">
        <v>2.858753422451244E-3</v>
      </c>
      <c r="F1116" s="171"/>
      <c r="G1116" s="171">
        <v>1113</v>
      </c>
      <c r="H1116" s="186">
        <f t="shared" ca="1" si="38"/>
        <v>1.0726831663190196E-2</v>
      </c>
    </row>
    <row r="1117" spans="2:8">
      <c r="B1117" s="36">
        <v>43501</v>
      </c>
      <c r="C1117" s="185">
        <v>1458.1</v>
      </c>
      <c r="D1117" s="185">
        <f t="shared" si="37"/>
        <v>0.42517837943505021</v>
      </c>
      <c r="E1117" s="185">
        <v>2.854293476391804E-3</v>
      </c>
      <c r="F1117" s="171"/>
      <c r="G1117" s="171">
        <v>1114</v>
      </c>
      <c r="H1117" s="186">
        <f t="shared" ca="1" si="38"/>
        <v>3.7281880498042423E-2</v>
      </c>
    </row>
    <row r="1118" spans="2:8">
      <c r="B1118" s="36">
        <v>42523</v>
      </c>
      <c r="C1118" s="185">
        <v>1023.1</v>
      </c>
      <c r="D1118" s="185">
        <f t="shared" si="37"/>
        <v>-0.6314414884994326</v>
      </c>
      <c r="E1118" s="185">
        <v>2.8425798862967821E-3</v>
      </c>
      <c r="F1118" s="171"/>
      <c r="G1118" s="171">
        <v>1115</v>
      </c>
      <c r="H1118" s="186">
        <f t="shared" ca="1" si="38"/>
        <v>-3.3651932592646218E-3</v>
      </c>
    </row>
    <row r="1119" spans="2:8">
      <c r="B1119" s="36">
        <v>44965</v>
      </c>
      <c r="C1119" s="185">
        <v>2775.95</v>
      </c>
      <c r="D1119" s="185">
        <f t="shared" si="37"/>
        <v>0.2157888974050147</v>
      </c>
      <c r="E1119" s="185">
        <v>2.8358802066399008E-3</v>
      </c>
      <c r="F1119" s="171"/>
      <c r="G1119" s="171">
        <v>1116</v>
      </c>
      <c r="H1119" s="186">
        <f t="shared" ca="1" si="38"/>
        <v>-4.5467442131682054E-3</v>
      </c>
    </row>
    <row r="1120" spans="2:8">
      <c r="B1120" s="36">
        <v>45650</v>
      </c>
      <c r="C1120" s="185">
        <v>2283.25</v>
      </c>
      <c r="D1120" s="185">
        <f t="shared" si="37"/>
        <v>-0.23298508465466278</v>
      </c>
      <c r="E1120" s="185">
        <v>2.8329234012648532E-3</v>
      </c>
      <c r="F1120" s="171"/>
      <c r="G1120" s="171">
        <v>1117</v>
      </c>
      <c r="H1120" s="186">
        <f t="shared" ca="1" si="38"/>
        <v>6.5562555876152295E-3</v>
      </c>
    </row>
    <row r="1121" spans="2:8">
      <c r="B1121" s="36">
        <v>45996</v>
      </c>
      <c r="C1121" s="185">
        <v>2976.8</v>
      </c>
      <c r="D1121" s="185">
        <f t="shared" si="37"/>
        <v>2.8950605168465819</v>
      </c>
      <c r="E1121" s="185">
        <v>2.8298073035979282E-3</v>
      </c>
      <c r="F1121" s="171"/>
      <c r="G1121" s="171">
        <v>1118</v>
      </c>
      <c r="H1121" s="186">
        <f t="shared" ca="1" si="38"/>
        <v>1.5271640060954446E-2</v>
      </c>
    </row>
    <row r="1122" spans="2:8">
      <c r="B1122" s="36">
        <v>42187</v>
      </c>
      <c r="C1122" s="185">
        <v>764.25</v>
      </c>
      <c r="D1122" s="185">
        <f t="shared" si="37"/>
        <v>-0.66525776356707989</v>
      </c>
      <c r="E1122" s="185">
        <v>2.8211520797795267E-3</v>
      </c>
      <c r="F1122" s="171"/>
      <c r="G1122" s="171">
        <v>1119</v>
      </c>
      <c r="H1122" s="186">
        <f t="shared" ca="1" si="38"/>
        <v>-1.3604021903246093E-2</v>
      </c>
    </row>
    <row r="1123" spans="2:8">
      <c r="B1123" s="36">
        <v>45833</v>
      </c>
      <c r="C1123" s="185">
        <v>2283.1</v>
      </c>
      <c r="D1123" s="185">
        <f t="shared" si="37"/>
        <v>0.77652414115083823</v>
      </c>
      <c r="E1123" s="185">
        <v>2.8110862212852336E-3</v>
      </c>
      <c r="F1123" s="171"/>
      <c r="G1123" s="171">
        <v>1120</v>
      </c>
      <c r="H1123" s="186">
        <f t="shared" ca="1" si="38"/>
        <v>1.1253427417050816E-2</v>
      </c>
    </row>
    <row r="1124" spans="2:8">
      <c r="B1124" s="36">
        <v>43370</v>
      </c>
      <c r="C1124" s="185">
        <v>1285.1500000000001</v>
      </c>
      <c r="D1124" s="185">
        <f t="shared" si="37"/>
        <v>-0.55460248145837665</v>
      </c>
      <c r="E1124" s="185">
        <v>2.8090983574578727E-3</v>
      </c>
      <c r="F1124" s="171"/>
      <c r="G1124" s="171">
        <v>1121</v>
      </c>
      <c r="H1124" s="186">
        <f t="shared" ca="1" si="38"/>
        <v>1.3477007069786207E-2</v>
      </c>
    </row>
    <row r="1125" spans="2:8">
      <c r="B1125" s="36">
        <v>45362</v>
      </c>
      <c r="C1125" s="185">
        <v>2885.4</v>
      </c>
      <c r="D1125" s="185">
        <f t="shared" si="37"/>
        <v>-8.7490710140573386E-2</v>
      </c>
      <c r="E1125" s="185">
        <v>2.7977131735799198E-3</v>
      </c>
      <c r="F1125" s="171"/>
      <c r="G1125" s="171">
        <v>1122</v>
      </c>
      <c r="H1125" s="186">
        <f t="shared" ca="1" si="38"/>
        <v>-2.6924846287489909E-2</v>
      </c>
    </row>
    <row r="1126" spans="2:8">
      <c r="B1126" s="36">
        <v>44657</v>
      </c>
      <c r="C1126" s="185">
        <v>3162.05</v>
      </c>
      <c r="D1126" s="185">
        <f t="shared" si="37"/>
        <v>0.41383858707802379</v>
      </c>
      <c r="E1126" s="185">
        <v>2.7907714263062499E-3</v>
      </c>
      <c r="F1126" s="171"/>
      <c r="G1126" s="171">
        <v>1123</v>
      </c>
      <c r="H1126" s="186">
        <f t="shared" ca="1" si="38"/>
        <v>1.2212654229466027E-3</v>
      </c>
    </row>
    <row r="1127" spans="2:8">
      <c r="B1127" s="36">
        <v>45814</v>
      </c>
      <c r="C1127" s="185">
        <v>2236.5</v>
      </c>
      <c r="D1127" s="185">
        <f t="shared" si="37"/>
        <v>0.36251484967559167</v>
      </c>
      <c r="E1127" s="185">
        <v>2.779895081379105E-3</v>
      </c>
      <c r="F1127" s="171"/>
      <c r="G1127" s="171">
        <v>1124</v>
      </c>
      <c r="H1127" s="186">
        <f t="shared" ca="1" si="38"/>
        <v>6.9762430517922702E-3</v>
      </c>
    </row>
    <row r="1128" spans="2:8">
      <c r="B1128" s="36">
        <v>43987</v>
      </c>
      <c r="C1128" s="185">
        <v>1641.45</v>
      </c>
      <c r="D1128" s="185">
        <f t="shared" si="37"/>
        <v>-0.48604305283757337</v>
      </c>
      <c r="E1128" s="185">
        <v>2.7796444498747355E-3</v>
      </c>
      <c r="F1128" s="171"/>
      <c r="G1128" s="171">
        <v>1125</v>
      </c>
      <c r="H1128" s="186">
        <f t="shared" ca="1" si="38"/>
        <v>-2.0393094718085068E-2</v>
      </c>
    </row>
    <row r="1129" spans="2:8">
      <c r="B1129" s="36">
        <v>44908</v>
      </c>
      <c r="C1129" s="185">
        <v>3193.75</v>
      </c>
      <c r="D1129" s="185">
        <f t="shared" si="37"/>
        <v>4.8575087005056083E-2</v>
      </c>
      <c r="E1129" s="185">
        <v>2.7629947094931421E-3</v>
      </c>
      <c r="F1129" s="171"/>
      <c r="G1129" s="171">
        <v>1126</v>
      </c>
      <c r="H1129" s="186">
        <f t="shared" ca="1" si="38"/>
        <v>-2.0677563802478673E-2</v>
      </c>
    </row>
    <row r="1130" spans="2:8">
      <c r="B1130" s="36">
        <v>45579</v>
      </c>
      <c r="C1130" s="185">
        <v>3045.8</v>
      </c>
      <c r="D1130" s="185">
        <f t="shared" si="37"/>
        <v>-7.806398886097396E-2</v>
      </c>
      <c r="E1130" s="185">
        <v>2.7325102880659037E-3</v>
      </c>
      <c r="F1130" s="171"/>
      <c r="G1130" s="171">
        <v>1127</v>
      </c>
      <c r="H1130" s="186">
        <f t="shared" ca="1" si="38"/>
        <v>-1.3824705633236968E-2</v>
      </c>
    </row>
    <row r="1131" spans="2:8">
      <c r="B1131" s="36">
        <v>45103</v>
      </c>
      <c r="C1131" s="185">
        <v>3303.7</v>
      </c>
      <c r="D1131" s="185">
        <f t="shared" si="37"/>
        <v>0.10942458485148679</v>
      </c>
      <c r="E1131" s="185">
        <v>2.7316599386894105E-3</v>
      </c>
      <c r="F1131" s="171"/>
      <c r="G1131" s="171">
        <v>1128</v>
      </c>
      <c r="H1131" s="186">
        <f t="shared" ca="1" si="38"/>
        <v>1.6821438332033405E-2</v>
      </c>
    </row>
    <row r="1132" spans="2:8">
      <c r="B1132" s="36">
        <v>45502</v>
      </c>
      <c r="C1132" s="185">
        <v>2977.85</v>
      </c>
      <c r="D1132" s="185">
        <f t="shared" si="37"/>
        <v>-9.6950766478142936E-2</v>
      </c>
      <c r="E1132" s="185">
        <v>2.7275023150096504E-3</v>
      </c>
      <c r="F1132" s="171"/>
      <c r="G1132" s="171">
        <v>1129</v>
      </c>
      <c r="H1132" s="186">
        <f t="shared" ca="1" si="38"/>
        <v>-1.7032006894965507E-2</v>
      </c>
    </row>
    <row r="1133" spans="2:8">
      <c r="B1133" s="36">
        <v>44543</v>
      </c>
      <c r="C1133" s="185">
        <v>3297.55</v>
      </c>
      <c r="D1133" s="185">
        <f t="shared" si="37"/>
        <v>1.5849958844510641</v>
      </c>
      <c r="E1133" s="185">
        <v>2.7215228364654482E-3</v>
      </c>
      <c r="F1133" s="171"/>
      <c r="G1133" s="171">
        <v>1130</v>
      </c>
      <c r="H1133" s="186">
        <f t="shared" ca="1" si="38"/>
        <v>-1.8582165697557679E-2</v>
      </c>
    </row>
    <row r="1134" spans="2:8">
      <c r="B1134" s="36">
        <v>43271</v>
      </c>
      <c r="C1134" s="185">
        <v>1275.6500000000001</v>
      </c>
      <c r="D1134" s="185">
        <f t="shared" si="37"/>
        <v>-0.43540320439054614</v>
      </c>
      <c r="E1134" s="185">
        <v>2.7118377613583127E-3</v>
      </c>
      <c r="F1134" s="171"/>
      <c r="G1134" s="171">
        <v>1131</v>
      </c>
      <c r="H1134" s="186">
        <f t="shared" ca="1" si="38"/>
        <v>-7.1306377079720555E-3</v>
      </c>
    </row>
    <row r="1135" spans="2:8">
      <c r="B1135" s="36">
        <v>45810</v>
      </c>
      <c r="C1135" s="185">
        <v>2259.4</v>
      </c>
      <c r="D1135" s="185">
        <f t="shared" si="37"/>
        <v>-0.31844165246376377</v>
      </c>
      <c r="E1135" s="185">
        <v>2.7071406381750803E-3</v>
      </c>
      <c r="F1135" s="171"/>
      <c r="G1135" s="171">
        <v>1132</v>
      </c>
      <c r="H1135" s="186">
        <f t="shared" ca="1" si="38"/>
        <v>2.1256817113298854E-2</v>
      </c>
    </row>
    <row r="1136" spans="2:8">
      <c r="B1136" s="36">
        <v>44441</v>
      </c>
      <c r="C1136" s="185">
        <v>3315.05</v>
      </c>
      <c r="D1136" s="185">
        <f t="shared" si="37"/>
        <v>2.3485353535353539</v>
      </c>
      <c r="E1136" s="185">
        <v>2.6919528757013717E-3</v>
      </c>
      <c r="F1136" s="171"/>
      <c r="G1136" s="171">
        <v>1133</v>
      </c>
      <c r="H1136" s="186">
        <f t="shared" ca="1" si="38"/>
        <v>1.1880648857178886E-2</v>
      </c>
    </row>
    <row r="1137" spans="2:8">
      <c r="B1137" s="36">
        <v>42545</v>
      </c>
      <c r="C1137" s="185">
        <v>990</v>
      </c>
      <c r="D1137" s="185">
        <f t="shared" si="37"/>
        <v>-0.60469573550551037</v>
      </c>
      <c r="E1137" s="185">
        <v>2.6839519927077298E-3</v>
      </c>
      <c r="F1137" s="171"/>
      <c r="G1137" s="171">
        <v>1134</v>
      </c>
      <c r="H1137" s="186">
        <f t="shared" ca="1" si="38"/>
        <v>-2.6165094165790062E-2</v>
      </c>
    </row>
    <row r="1138" spans="2:8">
      <c r="B1138" s="36">
        <v>45847</v>
      </c>
      <c r="C1138" s="185">
        <v>2504.4</v>
      </c>
      <c r="D1138" s="185">
        <f t="shared" si="37"/>
        <v>-1.7612677990036515E-2</v>
      </c>
      <c r="E1138" s="185">
        <v>2.6824678704409151E-3</v>
      </c>
      <c r="F1138" s="171"/>
      <c r="G1138" s="171">
        <v>1135</v>
      </c>
      <c r="H1138" s="186">
        <f t="shared" ca="1" si="38"/>
        <v>-1.3049342040094704E-2</v>
      </c>
    </row>
    <row r="1139" spans="2:8">
      <c r="B1139" s="36">
        <v>45910</v>
      </c>
      <c r="C1139" s="185">
        <v>2549.3000000000002</v>
      </c>
      <c r="D1139" s="185">
        <f t="shared" si="37"/>
        <v>-0.24514390619448054</v>
      </c>
      <c r="E1139" s="185">
        <v>2.6745329400197373E-3</v>
      </c>
      <c r="F1139" s="171"/>
      <c r="G1139" s="171">
        <v>1136</v>
      </c>
      <c r="H1139" s="186">
        <f t="shared" ca="1" si="38"/>
        <v>-1.1577186862905082E-2</v>
      </c>
    </row>
    <row r="1140" spans="2:8">
      <c r="B1140" s="36">
        <v>45547</v>
      </c>
      <c r="C1140" s="185">
        <v>3377.2</v>
      </c>
      <c r="D1140" s="185">
        <f t="shared" si="37"/>
        <v>0.87278877613264561</v>
      </c>
      <c r="E1140" s="185">
        <v>2.6720503533044357E-3</v>
      </c>
      <c r="F1140" s="171"/>
      <c r="G1140" s="171">
        <v>1137</v>
      </c>
      <c r="H1140" s="186">
        <f t="shared" ca="1" si="38"/>
        <v>-1.2732222821013484E-3</v>
      </c>
    </row>
    <row r="1141" spans="2:8">
      <c r="B1141" s="36">
        <v>44056</v>
      </c>
      <c r="C1141" s="185">
        <v>1803.3</v>
      </c>
      <c r="D1141" s="185">
        <f t="shared" si="37"/>
        <v>-0.38963258812977031</v>
      </c>
      <c r="E1141" s="185">
        <v>2.6688907422852126E-3</v>
      </c>
      <c r="F1141" s="171"/>
      <c r="G1141" s="171">
        <v>1138</v>
      </c>
      <c r="H1141" s="186">
        <f t="shared" ca="1" si="38"/>
        <v>-1.3393920880995835E-2</v>
      </c>
    </row>
    <row r="1142" spans="2:8">
      <c r="B1142" s="36">
        <v>44944</v>
      </c>
      <c r="C1142" s="185">
        <v>2954.45</v>
      </c>
      <c r="D1142" s="185">
        <f t="shared" si="37"/>
        <v>0.19596413463679233</v>
      </c>
      <c r="E1142" s="185">
        <v>2.6640874227923401E-3</v>
      </c>
      <c r="F1142" s="171"/>
      <c r="G1142" s="171">
        <v>1139</v>
      </c>
      <c r="H1142" s="186">
        <f t="shared" ca="1" si="38"/>
        <v>-1.7650566655814152E-2</v>
      </c>
    </row>
    <row r="1143" spans="2:8">
      <c r="B1143" s="36">
        <v>44229</v>
      </c>
      <c r="C1143" s="185">
        <v>2470.35</v>
      </c>
      <c r="D1143" s="185">
        <f t="shared" si="37"/>
        <v>1.2939455845482399</v>
      </c>
      <c r="E1143" s="185">
        <v>2.6584950077115539E-3</v>
      </c>
      <c r="F1143" s="171"/>
      <c r="G1143" s="171">
        <v>1140</v>
      </c>
      <c r="H1143" s="186">
        <f t="shared" ca="1" si="38"/>
        <v>1.5260417926817035E-2</v>
      </c>
    </row>
    <row r="1144" spans="2:8">
      <c r="B1144" s="36">
        <v>42673</v>
      </c>
      <c r="C1144" s="185">
        <v>1076.9000000000001</v>
      </c>
      <c r="D1144" s="185">
        <f t="shared" si="37"/>
        <v>-0.65926277487739282</v>
      </c>
      <c r="E1144" s="185">
        <v>2.6535077510359264E-3</v>
      </c>
      <c r="F1144" s="171"/>
      <c r="G1144" s="171">
        <v>1141</v>
      </c>
      <c r="H1144" s="186">
        <f t="shared" ca="1" si="38"/>
        <v>1.3392937232509014E-2</v>
      </c>
    </row>
    <row r="1145" spans="2:8">
      <c r="B1145" s="36">
        <v>44509</v>
      </c>
      <c r="C1145" s="185">
        <v>3160.5</v>
      </c>
      <c r="D1145" s="185">
        <f t="shared" si="37"/>
        <v>4.3448116477929247E-2</v>
      </c>
      <c r="E1145" s="185">
        <v>2.6489856129942764E-3</v>
      </c>
      <c r="F1145" s="171"/>
      <c r="G1145" s="171">
        <v>1142</v>
      </c>
      <c r="H1145" s="186">
        <f t="shared" ca="1" si="38"/>
        <v>6.54631151526957E-3</v>
      </c>
    </row>
    <row r="1146" spans="2:8">
      <c r="B1146" s="36">
        <v>45054</v>
      </c>
      <c r="C1146" s="185">
        <v>3028.9</v>
      </c>
      <c r="D1146" s="185">
        <f t="shared" si="37"/>
        <v>1.1605678008417148</v>
      </c>
      <c r="E1146" s="185">
        <v>2.6482174186500712E-3</v>
      </c>
      <c r="F1146" s="171"/>
      <c r="G1146" s="171">
        <v>1143</v>
      </c>
      <c r="H1146" s="186">
        <f t="shared" ca="1" si="38"/>
        <v>1.8301993503495873E-3</v>
      </c>
    </row>
    <row r="1147" spans="2:8">
      <c r="B1147" s="36">
        <v>43517</v>
      </c>
      <c r="C1147" s="185">
        <v>1401.9</v>
      </c>
      <c r="D1147" s="185">
        <f t="shared" si="37"/>
        <v>-0.57246111619396156</v>
      </c>
      <c r="E1147" s="185">
        <v>2.6462594764697792E-3</v>
      </c>
      <c r="F1147" s="171"/>
      <c r="G1147" s="171">
        <v>1144</v>
      </c>
      <c r="H1147" s="186">
        <f t="shared" ca="1" si="38"/>
        <v>1.0623945939432753E-2</v>
      </c>
    </row>
    <row r="1148" spans="2:8">
      <c r="B1148" s="36">
        <v>45091</v>
      </c>
      <c r="C1148" s="185">
        <v>3279</v>
      </c>
      <c r="D1148" s="185">
        <f t="shared" si="37"/>
        <v>4.5882972106597739E-2</v>
      </c>
      <c r="E1148" s="185">
        <v>2.6449768373415969E-3</v>
      </c>
      <c r="F1148" s="171"/>
      <c r="G1148" s="171">
        <v>1145</v>
      </c>
      <c r="H1148" s="186">
        <f t="shared" ca="1" si="38"/>
        <v>-7.0161058638274366E-3</v>
      </c>
    </row>
    <row r="1149" spans="2:8">
      <c r="B1149" s="36">
        <v>44655</v>
      </c>
      <c r="C1149" s="185">
        <v>3135.15</v>
      </c>
      <c r="D1149" s="185">
        <f t="shared" si="37"/>
        <v>-5.8527649734988987E-2</v>
      </c>
      <c r="E1149" s="185">
        <v>2.6223636450855539E-3</v>
      </c>
      <c r="F1149" s="171"/>
      <c r="G1149" s="171">
        <v>1146</v>
      </c>
      <c r="H1149" s="186">
        <f t="shared" ca="1" si="38"/>
        <v>1.3363665605314845E-2</v>
      </c>
    </row>
    <row r="1150" spans="2:8">
      <c r="B1150" s="36">
        <v>44462</v>
      </c>
      <c r="C1150" s="185">
        <v>3330.05</v>
      </c>
      <c r="D1150" s="185">
        <f t="shared" si="37"/>
        <v>2.9383241677014964</v>
      </c>
      <c r="E1150" s="185">
        <v>2.6194168034083349E-3</v>
      </c>
      <c r="F1150" s="171"/>
      <c r="G1150" s="171">
        <v>1147</v>
      </c>
      <c r="H1150" s="186">
        <f t="shared" ca="1" si="38"/>
        <v>1.3671194015005127E-2</v>
      </c>
    </row>
    <row r="1151" spans="2:8">
      <c r="B1151" s="36">
        <v>42208</v>
      </c>
      <c r="C1151" s="185">
        <v>845.55</v>
      </c>
      <c r="D1151" s="185">
        <f t="shared" si="37"/>
        <v>-0.12168899968837653</v>
      </c>
      <c r="E1151" s="185">
        <v>2.6086440979426473E-3</v>
      </c>
      <c r="F1151" s="171"/>
      <c r="G1151" s="171">
        <v>1148</v>
      </c>
      <c r="H1151" s="186">
        <f t="shared" ca="1" si="38"/>
        <v>-2.4572257173494532E-3</v>
      </c>
    </row>
    <row r="1152" spans="2:8">
      <c r="B1152" s="36">
        <v>42753</v>
      </c>
      <c r="C1152" s="185">
        <v>962.7</v>
      </c>
      <c r="D1152" s="185">
        <f t="shared" si="37"/>
        <v>-0.46773926024216289</v>
      </c>
      <c r="E1152" s="185">
        <v>2.6036242449489688E-3</v>
      </c>
      <c r="F1152" s="171"/>
      <c r="G1152" s="171">
        <v>1149</v>
      </c>
      <c r="H1152" s="186">
        <f t="shared" ca="1" si="38"/>
        <v>-3.538927745757434E-3</v>
      </c>
    </row>
    <row r="1153" spans="2:8">
      <c r="B1153" s="36">
        <v>43822</v>
      </c>
      <c r="C1153" s="185">
        <v>1808.7</v>
      </c>
      <c r="D1153" s="185">
        <f t="shared" si="37"/>
        <v>-0.48846811940551776</v>
      </c>
      <c r="E1153" s="185">
        <v>2.5775338820986618E-3</v>
      </c>
      <c r="F1153" s="171"/>
      <c r="G1153" s="171">
        <v>1150</v>
      </c>
      <c r="H1153" s="186">
        <f t="shared" ca="1" si="38"/>
        <v>4.7844190709725471E-3</v>
      </c>
    </row>
    <row r="1154" spans="2:8">
      <c r="B1154" s="36">
        <v>45127</v>
      </c>
      <c r="C1154" s="185">
        <v>3535.85</v>
      </c>
      <c r="D1154" s="185">
        <f t="shared" si="37"/>
        <v>1.0553682497238854</v>
      </c>
      <c r="E1154" s="185">
        <v>2.5660655551774207E-3</v>
      </c>
      <c r="F1154" s="171"/>
      <c r="G1154" s="171">
        <v>1151</v>
      </c>
      <c r="H1154" s="186">
        <f t="shared" ca="1" si="38"/>
        <v>8.1173715685760213E-3</v>
      </c>
    </row>
    <row r="1155" spans="2:8">
      <c r="B1155" s="36">
        <v>44048</v>
      </c>
      <c r="C1155" s="185">
        <v>1720.3</v>
      </c>
      <c r="D1155" s="185">
        <f t="shared" si="37"/>
        <v>-0.26038822846578813</v>
      </c>
      <c r="E1155" s="185">
        <v>2.5642519960369856E-3</v>
      </c>
      <c r="F1155" s="171"/>
      <c r="G1155" s="171">
        <v>1152</v>
      </c>
      <c r="H1155" s="186">
        <f t="shared" ca="1" si="38"/>
        <v>-8.2761571391539532E-3</v>
      </c>
    </row>
    <row r="1156" spans="2:8">
      <c r="B1156" s="36">
        <v>45741</v>
      </c>
      <c r="C1156" s="185">
        <v>2325.9499999999998</v>
      </c>
      <c r="D1156" s="185">
        <f t="shared" ref="D1156:D1219" si="39">(C1156-C1157)/C1157</f>
        <v>3.8254659078227796E-2</v>
      </c>
      <c r="E1156" s="185">
        <v>2.5430486411929208E-3</v>
      </c>
      <c r="F1156" s="171"/>
      <c r="G1156" s="171">
        <v>1153</v>
      </c>
      <c r="H1156" s="186">
        <f t="shared" ca="1" si="38"/>
        <v>-1.2963491451775871E-2</v>
      </c>
    </row>
    <row r="1157" spans="2:8">
      <c r="B1157" s="36">
        <v>45701</v>
      </c>
      <c r="C1157" s="185">
        <v>2240.25</v>
      </c>
      <c r="D1157" s="185">
        <f t="shared" si="39"/>
        <v>-0.28177548370549671</v>
      </c>
      <c r="E1157" s="185">
        <v>2.5284167188759023E-3</v>
      </c>
      <c r="F1157" s="171"/>
      <c r="G1157" s="171">
        <v>1154</v>
      </c>
      <c r="H1157" s="186">
        <f t="shared" ref="H1157:H1220" ca="1" si="40">_xlfn.NORM.INV(RAND(),N$6,N$7)</f>
        <v>-3.2365640028556237E-3</v>
      </c>
    </row>
    <row r="1158" spans="2:8">
      <c r="B1158" s="36">
        <v>44923</v>
      </c>
      <c r="C1158" s="185">
        <v>3119.15</v>
      </c>
      <c r="D1158" s="185">
        <f t="shared" si="39"/>
        <v>1.7983223433364732</v>
      </c>
      <c r="E1158" s="185">
        <v>2.5230610998617647E-3</v>
      </c>
      <c r="F1158" s="171"/>
      <c r="G1158" s="171">
        <v>1155</v>
      </c>
      <c r="H1158" s="186">
        <f t="shared" ca="1" si="40"/>
        <v>-6.885080254131596E-3</v>
      </c>
    </row>
    <row r="1159" spans="2:8">
      <c r="B1159" s="36">
        <v>43158</v>
      </c>
      <c r="C1159" s="185">
        <v>1114.6500000000001</v>
      </c>
      <c r="D1159" s="185">
        <f t="shared" si="39"/>
        <v>0.26974995728199586</v>
      </c>
      <c r="E1159" s="185">
        <v>2.5183253136665754E-3</v>
      </c>
      <c r="F1159" s="171"/>
      <c r="G1159" s="171">
        <v>1156</v>
      </c>
      <c r="H1159" s="186">
        <f t="shared" ca="1" si="40"/>
        <v>-1.7090293764297663E-2</v>
      </c>
    </row>
    <row r="1160" spans="2:8">
      <c r="B1160" s="36">
        <v>42377</v>
      </c>
      <c r="C1160" s="185">
        <v>877.85</v>
      </c>
      <c r="D1160" s="185">
        <f t="shared" si="39"/>
        <v>-0.38372705254659695</v>
      </c>
      <c r="E1160" s="185">
        <v>2.5124193456290134E-3</v>
      </c>
      <c r="F1160" s="171"/>
      <c r="G1160" s="171">
        <v>1157</v>
      </c>
      <c r="H1160" s="186">
        <f t="shared" ca="1" si="40"/>
        <v>-1.9694185679168488E-2</v>
      </c>
    </row>
    <row r="1161" spans="2:8">
      <c r="B1161" s="36">
        <v>43627</v>
      </c>
      <c r="C1161" s="185">
        <v>1424.45</v>
      </c>
      <c r="D1161" s="185">
        <f t="shared" si="39"/>
        <v>-0.41977596741344192</v>
      </c>
      <c r="E1161" s="185">
        <v>2.4984164965866384E-3</v>
      </c>
      <c r="F1161" s="171"/>
      <c r="G1161" s="171">
        <v>1158</v>
      </c>
      <c r="H1161" s="186">
        <f t="shared" ca="1" si="40"/>
        <v>1.8857693162186728E-2</v>
      </c>
    </row>
    <row r="1162" spans="2:8">
      <c r="B1162" s="36">
        <v>45764</v>
      </c>
      <c r="C1162" s="185">
        <v>2455</v>
      </c>
      <c r="D1162" s="185">
        <f t="shared" si="39"/>
        <v>-0.21363250532519734</v>
      </c>
      <c r="E1162" s="185">
        <v>2.4909142880476577E-3</v>
      </c>
      <c r="F1162" s="171"/>
      <c r="G1162" s="171">
        <v>1159</v>
      </c>
      <c r="H1162" s="186">
        <f t="shared" ca="1" si="40"/>
        <v>2.2573254866639768E-2</v>
      </c>
    </row>
    <row r="1163" spans="2:8">
      <c r="B1163" s="36">
        <v>45216</v>
      </c>
      <c r="C1163" s="185">
        <v>3121.95</v>
      </c>
      <c r="D1163" s="185">
        <f t="shared" si="39"/>
        <v>2.162268928842745</v>
      </c>
      <c r="E1163" s="185">
        <v>2.4886006036863402E-3</v>
      </c>
      <c r="F1163" s="171"/>
      <c r="G1163" s="171">
        <v>1160</v>
      </c>
      <c r="H1163" s="186">
        <f t="shared" ca="1" si="40"/>
        <v>-4.7633413366221457E-4</v>
      </c>
    </row>
    <row r="1164" spans="2:8">
      <c r="B1164" s="36">
        <v>42543</v>
      </c>
      <c r="C1164" s="185">
        <v>987.25</v>
      </c>
      <c r="D1164" s="185">
        <f t="shared" si="39"/>
        <v>-0.57053680180963984</v>
      </c>
      <c r="E1164" s="185">
        <v>2.4878147847279099E-3</v>
      </c>
      <c r="F1164" s="171"/>
      <c r="G1164" s="171">
        <v>1161</v>
      </c>
      <c r="H1164" s="186">
        <f t="shared" ca="1" si="40"/>
        <v>-1.1843205178278937E-2</v>
      </c>
    </row>
    <row r="1165" spans="2:8">
      <c r="B1165" s="36">
        <v>46086</v>
      </c>
      <c r="C1165" s="185">
        <v>2298.8000000000002</v>
      </c>
      <c r="D1165" s="185">
        <f t="shared" si="39"/>
        <v>-0.24225793160280176</v>
      </c>
      <c r="E1165" s="185">
        <v>2.4857180236362449E-3</v>
      </c>
      <c r="F1165" s="171"/>
      <c r="G1165" s="171">
        <v>1162</v>
      </c>
      <c r="H1165" s="186">
        <f t="shared" ca="1" si="40"/>
        <v>6.1826849719285914E-3</v>
      </c>
    </row>
    <row r="1166" spans="2:8">
      <c r="B1166" s="36">
        <v>45518</v>
      </c>
      <c r="C1166" s="185">
        <v>3033.75</v>
      </c>
      <c r="D1166" s="185">
        <f t="shared" si="39"/>
        <v>0.13832501594686883</v>
      </c>
      <c r="E1166" s="185">
        <v>2.445189750028943E-3</v>
      </c>
      <c r="F1166" s="171"/>
      <c r="G1166" s="171">
        <v>1163</v>
      </c>
      <c r="H1166" s="186">
        <f t="shared" ca="1" si="40"/>
        <v>-2.0262127129504284E-2</v>
      </c>
    </row>
    <row r="1167" spans="2:8">
      <c r="B1167" s="36">
        <v>46197</v>
      </c>
      <c r="C1167" s="185">
        <v>2665.1</v>
      </c>
      <c r="D1167" s="185">
        <f t="shared" si="39"/>
        <v>9.953173669987829E-2</v>
      </c>
      <c r="E1167" s="185">
        <v>2.4448958098247198E-3</v>
      </c>
      <c r="F1167" s="171"/>
      <c r="G1167" s="171">
        <v>1164</v>
      </c>
      <c r="H1167" s="186">
        <f t="shared" ca="1" si="40"/>
        <v>3.0630215833288683E-3</v>
      </c>
    </row>
    <row r="1168" spans="2:8">
      <c r="B1168" s="36">
        <v>44259</v>
      </c>
      <c r="C1168" s="185">
        <v>2423.85</v>
      </c>
      <c r="D1168" s="185">
        <f t="shared" si="39"/>
        <v>-0.21128158404243208</v>
      </c>
      <c r="E1168" s="185">
        <v>2.440083541843335E-3</v>
      </c>
      <c r="F1168" s="171"/>
      <c r="G1168" s="171">
        <v>1165</v>
      </c>
      <c r="H1168" s="186">
        <f t="shared" ca="1" si="40"/>
        <v>-7.1564476205468412E-3</v>
      </c>
    </row>
    <row r="1169" spans="2:8">
      <c r="B1169" s="36">
        <v>44876</v>
      </c>
      <c r="C1169" s="185">
        <v>3073.15</v>
      </c>
      <c r="D1169" s="185">
        <f t="shared" si="39"/>
        <v>-7.5257654404573812E-2</v>
      </c>
      <c r="E1169" s="185">
        <v>2.4301138402323362E-3</v>
      </c>
      <c r="F1169" s="171"/>
      <c r="G1169" s="171">
        <v>1166</v>
      </c>
      <c r="H1169" s="186">
        <f t="shared" ca="1" si="40"/>
        <v>-2.2120468653284899E-2</v>
      </c>
    </row>
    <row r="1170" spans="2:8">
      <c r="B1170" s="36">
        <v>45097</v>
      </c>
      <c r="C1170" s="185">
        <v>3323.25</v>
      </c>
      <c r="D1170" s="185">
        <f t="shared" si="39"/>
        <v>1.3653866685647176</v>
      </c>
      <c r="E1170" s="185">
        <v>2.4282094594595145E-3</v>
      </c>
      <c r="F1170" s="171"/>
      <c r="G1170" s="171">
        <v>1167</v>
      </c>
      <c r="H1170" s="186">
        <f t="shared" ca="1" si="40"/>
        <v>-3.298061416312907E-3</v>
      </c>
    </row>
    <row r="1171" spans="2:8">
      <c r="B1171" s="36">
        <v>43523</v>
      </c>
      <c r="C1171" s="185">
        <v>1404.95</v>
      </c>
      <c r="D1171" s="185">
        <f t="shared" si="39"/>
        <v>-0.53889955529299782</v>
      </c>
      <c r="E1171" s="185">
        <v>2.4258856266277272E-3</v>
      </c>
      <c r="F1171" s="171"/>
      <c r="G1171" s="171">
        <v>1168</v>
      </c>
      <c r="H1171" s="186">
        <f t="shared" ca="1" si="40"/>
        <v>7.2063516620235295E-3</v>
      </c>
    </row>
    <row r="1172" spans="2:8">
      <c r="B1172" s="36">
        <v>44435</v>
      </c>
      <c r="C1172" s="185">
        <v>3046.95</v>
      </c>
      <c r="D1172" s="185">
        <f t="shared" si="39"/>
        <v>7.7669902912621325E-2</v>
      </c>
      <c r="E1172" s="185">
        <v>2.401592288585767E-3</v>
      </c>
      <c r="F1172" s="171"/>
      <c r="G1172" s="171">
        <v>1169</v>
      </c>
      <c r="H1172" s="186">
        <f t="shared" ca="1" si="40"/>
        <v>1.7516247693950184E-2</v>
      </c>
    </row>
    <row r="1173" spans="2:8">
      <c r="B1173" s="36">
        <v>45430</v>
      </c>
      <c r="C1173" s="185">
        <v>2827.35</v>
      </c>
      <c r="D1173" s="185">
        <f t="shared" si="39"/>
        <v>3.6798679867986767E-2</v>
      </c>
      <c r="E1173" s="185">
        <v>2.3931078493937461E-3</v>
      </c>
      <c r="F1173" s="171"/>
      <c r="G1173" s="171">
        <v>1170</v>
      </c>
      <c r="H1173" s="186">
        <f t="shared" ca="1" si="40"/>
        <v>-1.139620630559166E-2</v>
      </c>
    </row>
    <row r="1174" spans="2:8">
      <c r="B1174" s="36">
        <v>46189</v>
      </c>
      <c r="C1174" s="185">
        <v>2727</v>
      </c>
      <c r="D1174" s="185">
        <f t="shared" si="39"/>
        <v>0.99094692268379936</v>
      </c>
      <c r="E1174" s="185">
        <v>2.3892666789193163E-3</v>
      </c>
      <c r="F1174" s="171"/>
      <c r="G1174" s="171">
        <v>1171</v>
      </c>
      <c r="H1174" s="186">
        <f t="shared" ca="1" si="40"/>
        <v>2.1910302118074306E-3</v>
      </c>
    </row>
    <row r="1175" spans="2:8">
      <c r="B1175" s="36">
        <v>43461</v>
      </c>
      <c r="C1175" s="185">
        <v>1369.7</v>
      </c>
      <c r="D1175" s="185">
        <f t="shared" si="39"/>
        <v>0.58182238133733699</v>
      </c>
      <c r="E1175" s="185">
        <v>2.3784258480002928E-3</v>
      </c>
      <c r="F1175" s="171"/>
      <c r="G1175" s="171">
        <v>1172</v>
      </c>
      <c r="H1175" s="186">
        <f t="shared" ca="1" si="40"/>
        <v>1.0630806688721071E-2</v>
      </c>
    </row>
    <row r="1176" spans="2:8">
      <c r="B1176" s="36">
        <v>42426</v>
      </c>
      <c r="C1176" s="185">
        <v>865.9</v>
      </c>
      <c r="D1176" s="185">
        <f t="shared" si="39"/>
        <v>-0.1297050103020253</v>
      </c>
      <c r="E1176" s="185">
        <v>2.3730971812235394E-3</v>
      </c>
      <c r="F1176" s="171"/>
      <c r="G1176" s="171">
        <v>1173</v>
      </c>
      <c r="H1176" s="186">
        <f t="shared" ca="1" si="40"/>
        <v>-5.8060888361291842E-3</v>
      </c>
    </row>
    <row r="1177" spans="2:8">
      <c r="B1177" s="36">
        <v>42534</v>
      </c>
      <c r="C1177" s="185">
        <v>994.95</v>
      </c>
      <c r="D1177" s="185">
        <f t="shared" si="39"/>
        <v>-0.2709920867526377</v>
      </c>
      <c r="E1177" s="185">
        <v>2.3675196453758038E-3</v>
      </c>
      <c r="F1177" s="171"/>
      <c r="G1177" s="171">
        <v>1174</v>
      </c>
      <c r="H1177" s="186">
        <f t="shared" ca="1" si="40"/>
        <v>3.1148384669524368E-2</v>
      </c>
    </row>
    <row r="1178" spans="2:8">
      <c r="B1178" s="36">
        <v>43650</v>
      </c>
      <c r="C1178" s="185">
        <v>1364.8</v>
      </c>
      <c r="D1178" s="185">
        <f t="shared" si="39"/>
        <v>-0.4726939051482662</v>
      </c>
      <c r="E1178" s="185">
        <v>2.3501762632197752E-3</v>
      </c>
      <c r="F1178" s="171"/>
      <c r="G1178" s="171">
        <v>1175</v>
      </c>
      <c r="H1178" s="186">
        <f t="shared" ca="1" si="40"/>
        <v>-1.0424965208430613E-2</v>
      </c>
    </row>
    <row r="1179" spans="2:8">
      <c r="B1179" s="36">
        <v>44301</v>
      </c>
      <c r="C1179" s="185">
        <v>2588.25</v>
      </c>
      <c r="D1179" s="185">
        <f t="shared" si="39"/>
        <v>-0.24888998519980268</v>
      </c>
      <c r="E1179" s="185">
        <v>2.3429633645729157E-3</v>
      </c>
      <c r="F1179" s="171"/>
      <c r="G1179" s="171">
        <v>1176</v>
      </c>
      <c r="H1179" s="186">
        <f t="shared" ca="1" si="40"/>
        <v>-3.5727536359341311E-2</v>
      </c>
    </row>
    <row r="1180" spans="2:8">
      <c r="B1180" s="36">
        <v>44818</v>
      </c>
      <c r="C1180" s="185">
        <v>3445.9</v>
      </c>
      <c r="D1180" s="185">
        <f t="shared" si="39"/>
        <v>0.50627267561306133</v>
      </c>
      <c r="E1180" s="185">
        <v>2.3270019488641322E-3</v>
      </c>
      <c r="F1180" s="171"/>
      <c r="G1180" s="171">
        <v>1177</v>
      </c>
      <c r="H1180" s="186">
        <f t="shared" ca="1" si="40"/>
        <v>5.6671621533172607E-3</v>
      </c>
    </row>
    <row r="1181" spans="2:8">
      <c r="B1181" s="36">
        <v>45736</v>
      </c>
      <c r="C1181" s="185">
        <v>2287.6999999999998</v>
      </c>
      <c r="D1181" s="185">
        <f t="shared" si="39"/>
        <v>-0.18844230018801669</v>
      </c>
      <c r="E1181" s="185">
        <v>2.2562484940087339E-3</v>
      </c>
      <c r="F1181" s="171"/>
      <c r="G1181" s="171">
        <v>1178</v>
      </c>
      <c r="H1181" s="186">
        <f t="shared" ca="1" si="40"/>
        <v>-3.5275672657330316E-2</v>
      </c>
    </row>
    <row r="1182" spans="2:8">
      <c r="B1182" s="36">
        <v>45371</v>
      </c>
      <c r="C1182" s="185">
        <v>2818.9</v>
      </c>
      <c r="D1182" s="185">
        <f t="shared" si="39"/>
        <v>0.55546971996137406</v>
      </c>
      <c r="E1182" s="185">
        <v>2.2399203583873223E-3</v>
      </c>
      <c r="F1182" s="171"/>
      <c r="G1182" s="171">
        <v>1179</v>
      </c>
      <c r="H1182" s="186">
        <f t="shared" ca="1" si="40"/>
        <v>1.336513130639248E-2</v>
      </c>
    </row>
    <row r="1183" spans="2:8">
      <c r="B1183" s="36">
        <v>43756</v>
      </c>
      <c r="C1183" s="185">
        <v>1812.25</v>
      </c>
      <c r="D1183" s="185">
        <f t="shared" si="39"/>
        <v>1.0731567808728479</v>
      </c>
      <c r="E1183" s="185">
        <v>2.2397964826899428E-3</v>
      </c>
      <c r="F1183" s="171"/>
      <c r="G1183" s="171">
        <v>1180</v>
      </c>
      <c r="H1183" s="186">
        <f t="shared" ca="1" si="40"/>
        <v>2.0668873310785013E-2</v>
      </c>
    </row>
    <row r="1184" spans="2:8">
      <c r="B1184" s="36">
        <v>42727</v>
      </c>
      <c r="C1184" s="185">
        <v>874.15</v>
      </c>
      <c r="D1184" s="185">
        <f t="shared" si="39"/>
        <v>-0.48317961452051561</v>
      </c>
      <c r="E1184" s="185">
        <v>2.2357257509744688E-3</v>
      </c>
      <c r="F1184" s="171"/>
      <c r="G1184" s="171">
        <v>1181</v>
      </c>
      <c r="H1184" s="186">
        <f t="shared" ca="1" si="40"/>
        <v>-1.9441485466299976E-2</v>
      </c>
    </row>
    <row r="1185" spans="2:8">
      <c r="B1185" s="36">
        <v>44014</v>
      </c>
      <c r="C1185" s="185">
        <v>1691.4</v>
      </c>
      <c r="D1185" s="185">
        <f t="shared" si="39"/>
        <v>-0.52238553094159001</v>
      </c>
      <c r="E1185" s="185">
        <v>2.2220247089147632E-3</v>
      </c>
      <c r="F1185" s="171"/>
      <c r="G1185" s="171">
        <v>1182</v>
      </c>
      <c r="H1185" s="186">
        <f t="shared" ca="1" si="40"/>
        <v>1.6007988888563337E-3</v>
      </c>
    </row>
    <row r="1186" spans="2:8">
      <c r="B1186" s="36">
        <v>44791</v>
      </c>
      <c r="C1186" s="185">
        <v>3541.35</v>
      </c>
      <c r="D1186" s="185">
        <f t="shared" si="39"/>
        <v>2.197029881736932</v>
      </c>
      <c r="E1186" s="185">
        <v>2.221593321069735E-3</v>
      </c>
      <c r="F1186" s="171"/>
      <c r="G1186" s="171">
        <v>1183</v>
      </c>
      <c r="H1186" s="186">
        <f t="shared" ca="1" si="40"/>
        <v>-1.3109327116557176E-2</v>
      </c>
    </row>
    <row r="1187" spans="2:8">
      <c r="B1187" s="36">
        <v>42916</v>
      </c>
      <c r="C1187" s="185">
        <v>1107.7</v>
      </c>
      <c r="D1187" s="185">
        <f t="shared" si="39"/>
        <v>-0.60267584920549522</v>
      </c>
      <c r="E1187" s="185">
        <v>2.2166930558697538E-3</v>
      </c>
      <c r="F1187" s="171"/>
      <c r="G1187" s="171">
        <v>1184</v>
      </c>
      <c r="H1187" s="186">
        <f t="shared" ca="1" si="40"/>
        <v>-2.9413054115898802E-3</v>
      </c>
    </row>
    <row r="1188" spans="2:8">
      <c r="B1188" s="36">
        <v>45019</v>
      </c>
      <c r="C1188" s="185">
        <v>2787.9</v>
      </c>
      <c r="D1188" s="185">
        <f t="shared" si="39"/>
        <v>1.4545694664553621</v>
      </c>
      <c r="E1188" s="185">
        <v>2.2108385009436834E-3</v>
      </c>
      <c r="F1188" s="171"/>
      <c r="G1188" s="171">
        <v>1185</v>
      </c>
      <c r="H1188" s="186">
        <f t="shared" ca="1" si="40"/>
        <v>-2.3362730578123006E-2</v>
      </c>
    </row>
    <row r="1189" spans="2:8">
      <c r="B1189" s="36">
        <v>42928</v>
      </c>
      <c r="C1189" s="185">
        <v>1135.8</v>
      </c>
      <c r="D1189" s="185">
        <f t="shared" si="39"/>
        <v>-0.61957395498392287</v>
      </c>
      <c r="E1189" s="185">
        <v>2.2059472337421691E-3</v>
      </c>
      <c r="F1189" s="171"/>
      <c r="G1189" s="171">
        <v>1186</v>
      </c>
      <c r="H1189" s="186">
        <f t="shared" ca="1" si="40"/>
        <v>2.0461575328332191E-2</v>
      </c>
    </row>
    <row r="1190" spans="2:8">
      <c r="B1190" s="36">
        <v>44421</v>
      </c>
      <c r="C1190" s="185">
        <v>2985.6</v>
      </c>
      <c r="D1190" s="185">
        <f t="shared" si="39"/>
        <v>0.25775671406003153</v>
      </c>
      <c r="E1190" s="185">
        <v>2.1986875010489002E-3</v>
      </c>
      <c r="F1190" s="171"/>
      <c r="G1190" s="171">
        <v>1187</v>
      </c>
      <c r="H1190" s="186">
        <f t="shared" ca="1" si="40"/>
        <v>-1.1390526410494086E-2</v>
      </c>
    </row>
    <row r="1191" spans="2:8">
      <c r="B1191" s="36">
        <v>44252</v>
      </c>
      <c r="C1191" s="185">
        <v>2373.75</v>
      </c>
      <c r="D1191" s="185">
        <f t="shared" si="39"/>
        <v>-0.27282613690321195</v>
      </c>
      <c r="E1191" s="185">
        <v>2.1954360262607157E-3</v>
      </c>
      <c r="F1191" s="171"/>
      <c r="G1191" s="171">
        <v>1188</v>
      </c>
      <c r="H1191" s="186">
        <f t="shared" ca="1" si="40"/>
        <v>1.0742273149587495E-2</v>
      </c>
    </row>
    <row r="1192" spans="2:8">
      <c r="B1192" s="36">
        <v>45274</v>
      </c>
      <c r="C1192" s="185">
        <v>3264.35</v>
      </c>
      <c r="D1192" s="185">
        <f t="shared" si="39"/>
        <v>1.7882756470221361E-2</v>
      </c>
      <c r="E1192" s="185">
        <v>2.1951369274223541E-3</v>
      </c>
      <c r="F1192" s="171"/>
      <c r="G1192" s="171">
        <v>1189</v>
      </c>
      <c r="H1192" s="186">
        <f t="shared" ca="1" si="40"/>
        <v>-1.2257219995654694E-2</v>
      </c>
    </row>
    <row r="1193" spans="2:8">
      <c r="B1193" s="36">
        <v>45083</v>
      </c>
      <c r="C1193" s="185">
        <v>3207</v>
      </c>
      <c r="D1193" s="185">
        <f t="shared" si="39"/>
        <v>4.9239326026500899E-2</v>
      </c>
      <c r="E1193" s="185">
        <v>2.1875000000000002E-3</v>
      </c>
      <c r="F1193" s="171"/>
      <c r="G1193" s="171">
        <v>1190</v>
      </c>
      <c r="H1193" s="186">
        <f t="shared" ca="1" si="40"/>
        <v>2.79914573015769E-2</v>
      </c>
    </row>
    <row r="1194" spans="2:8">
      <c r="B1194" s="36">
        <v>45056</v>
      </c>
      <c r="C1194" s="185">
        <v>3056.5</v>
      </c>
      <c r="D1194" s="185">
        <f t="shared" si="39"/>
        <v>0.68101196205142311</v>
      </c>
      <c r="E1194" s="185">
        <v>2.1804351033657692E-3</v>
      </c>
      <c r="F1194" s="171"/>
      <c r="G1194" s="171">
        <v>1191</v>
      </c>
      <c r="H1194" s="186">
        <f t="shared" ca="1" si="40"/>
        <v>3.1876597111335557E-4</v>
      </c>
    </row>
    <row r="1195" spans="2:8">
      <c r="B1195" s="36">
        <v>43768</v>
      </c>
      <c r="C1195" s="185">
        <v>1818.25</v>
      </c>
      <c r="D1195" s="185">
        <f t="shared" si="39"/>
        <v>-0.41914512985975788</v>
      </c>
      <c r="E1195" s="185">
        <v>2.1771482114314312E-3</v>
      </c>
      <c r="F1195" s="171"/>
      <c r="G1195" s="171">
        <v>1192</v>
      </c>
      <c r="H1195" s="186">
        <f t="shared" ca="1" si="40"/>
        <v>2.9273973030437077E-4</v>
      </c>
    </row>
    <row r="1196" spans="2:8">
      <c r="B1196" s="36">
        <v>45072</v>
      </c>
      <c r="C1196" s="185">
        <v>3130.3</v>
      </c>
      <c r="D1196" s="185">
        <f t="shared" si="39"/>
        <v>-6.8515570367945713E-2</v>
      </c>
      <c r="E1196" s="185">
        <v>2.1770449815912219E-3</v>
      </c>
      <c r="F1196" s="171"/>
      <c r="G1196" s="171">
        <v>1193</v>
      </c>
      <c r="H1196" s="186">
        <f t="shared" ca="1" si="40"/>
        <v>3.3217575690556223E-3</v>
      </c>
    </row>
    <row r="1197" spans="2:8">
      <c r="B1197" s="36">
        <v>45145</v>
      </c>
      <c r="C1197" s="185">
        <v>3360.55</v>
      </c>
      <c r="D1197" s="185">
        <f t="shared" si="39"/>
        <v>0.19596782803658497</v>
      </c>
      <c r="E1197" s="185">
        <v>2.1769924699918532E-3</v>
      </c>
      <c r="F1197" s="171"/>
      <c r="G1197" s="171">
        <v>1194</v>
      </c>
      <c r="H1197" s="186">
        <f t="shared" ca="1" si="40"/>
        <v>-2.8318944212067957E-3</v>
      </c>
    </row>
    <row r="1198" spans="2:8">
      <c r="B1198" s="36">
        <v>46001</v>
      </c>
      <c r="C1198" s="185">
        <v>2809.9</v>
      </c>
      <c r="D1198" s="185">
        <f t="shared" si="39"/>
        <v>0.25168158938037327</v>
      </c>
      <c r="E1198" s="185">
        <v>2.1756188030529668E-3</v>
      </c>
      <c r="F1198" s="171"/>
      <c r="G1198" s="171">
        <v>1195</v>
      </c>
      <c r="H1198" s="186">
        <f t="shared" ca="1" si="40"/>
        <v>1.0307143707032724E-2</v>
      </c>
    </row>
    <row r="1199" spans="2:8">
      <c r="B1199" s="36">
        <v>45707</v>
      </c>
      <c r="C1199" s="185">
        <v>2244.9</v>
      </c>
      <c r="D1199" s="185">
        <f t="shared" si="39"/>
        <v>0.94852877354396348</v>
      </c>
      <c r="E1199" s="185">
        <v>2.1651302426284719E-3</v>
      </c>
      <c r="F1199" s="171"/>
      <c r="G1199" s="171">
        <v>1196</v>
      </c>
      <c r="H1199" s="186">
        <f t="shared" ca="1" si="40"/>
        <v>-2.2335289177360064E-3</v>
      </c>
    </row>
    <row r="1200" spans="2:8">
      <c r="B1200" s="36">
        <v>42950</v>
      </c>
      <c r="C1200" s="185">
        <v>1152.0999999999999</v>
      </c>
      <c r="D1200" s="185">
        <f t="shared" si="39"/>
        <v>-0.63272657719404513</v>
      </c>
      <c r="E1200" s="185">
        <v>2.131083373200381E-3</v>
      </c>
      <c r="F1200" s="171"/>
      <c r="G1200" s="171">
        <v>1197</v>
      </c>
      <c r="H1200" s="186">
        <f t="shared" ca="1" si="40"/>
        <v>-1.6006708612162749E-2</v>
      </c>
    </row>
    <row r="1201" spans="2:8">
      <c r="B1201" s="36">
        <v>45075</v>
      </c>
      <c r="C1201" s="185">
        <v>3136.9</v>
      </c>
      <c r="D1201" s="185">
        <f t="shared" si="39"/>
        <v>5.1486608788924984E-2</v>
      </c>
      <c r="E1201" s="185">
        <v>2.1084241127048236E-3</v>
      </c>
      <c r="F1201" s="171"/>
      <c r="G1201" s="171">
        <v>1198</v>
      </c>
      <c r="H1201" s="186">
        <f t="shared" ca="1" si="40"/>
        <v>-1.7904226152439164E-2</v>
      </c>
    </row>
    <row r="1202" spans="2:8">
      <c r="B1202" s="36">
        <v>45336</v>
      </c>
      <c r="C1202" s="185">
        <v>2983.3</v>
      </c>
      <c r="D1202" s="185">
        <f t="shared" si="39"/>
        <v>-9.6558302923852618E-2</v>
      </c>
      <c r="E1202" s="185">
        <v>2.0825635685735359E-3</v>
      </c>
      <c r="F1202" s="171"/>
      <c r="G1202" s="171">
        <v>1199</v>
      </c>
      <c r="H1202" s="186">
        <f t="shared" ca="1" si="40"/>
        <v>-1.5366504113898963E-2</v>
      </c>
    </row>
    <row r="1203" spans="2:8">
      <c r="B1203" s="36">
        <v>45196</v>
      </c>
      <c r="C1203" s="185">
        <v>3302.15</v>
      </c>
      <c r="D1203" s="185">
        <f t="shared" si="39"/>
        <v>4.5331518384273344E-2</v>
      </c>
      <c r="E1203" s="185">
        <v>2.0635137390566044E-3</v>
      </c>
      <c r="F1203" s="171"/>
      <c r="G1203" s="171">
        <v>1200</v>
      </c>
      <c r="H1203" s="186">
        <f t="shared" ca="1" si="40"/>
        <v>5.7031738511735958E-3</v>
      </c>
    </row>
    <row r="1204" spans="2:8">
      <c r="B1204" s="36">
        <v>45259</v>
      </c>
      <c r="C1204" s="185">
        <v>3158.95</v>
      </c>
      <c r="D1204" s="185">
        <f t="shared" si="39"/>
        <v>1.9273931980354</v>
      </c>
      <c r="E1204" s="185">
        <v>2.0618883725356469E-3</v>
      </c>
      <c r="F1204" s="171"/>
      <c r="G1204" s="171">
        <v>1201</v>
      </c>
      <c r="H1204" s="186">
        <f t="shared" ca="1" si="40"/>
        <v>-4.4852532893989985E-3</v>
      </c>
    </row>
    <row r="1205" spans="2:8">
      <c r="B1205" s="36">
        <v>42675</v>
      </c>
      <c r="C1205" s="185">
        <v>1079.0999999999999</v>
      </c>
      <c r="D1205" s="185">
        <f t="shared" si="39"/>
        <v>-4.7908946532557062E-2</v>
      </c>
      <c r="E1205" s="185">
        <v>2.0429009193052446E-3</v>
      </c>
      <c r="F1205" s="171"/>
      <c r="G1205" s="171">
        <v>1202</v>
      </c>
      <c r="H1205" s="186">
        <f t="shared" ca="1" si="40"/>
        <v>2.9710207636497878E-2</v>
      </c>
    </row>
    <row r="1206" spans="2:8">
      <c r="B1206" s="36">
        <v>42922</v>
      </c>
      <c r="C1206" s="185">
        <v>1133.4000000000001</v>
      </c>
      <c r="D1206" s="185">
        <f t="shared" si="39"/>
        <v>-2.6832095479328553E-2</v>
      </c>
      <c r="E1206" s="185">
        <v>2.0334187958625958E-3</v>
      </c>
      <c r="F1206" s="171"/>
      <c r="G1206" s="171">
        <v>1203</v>
      </c>
      <c r="H1206" s="186">
        <f t="shared" ca="1" si="40"/>
        <v>1.0539519240291072E-2</v>
      </c>
    </row>
    <row r="1207" spans="2:8">
      <c r="B1207" s="36">
        <v>43018</v>
      </c>
      <c r="C1207" s="185">
        <v>1164.6500000000001</v>
      </c>
      <c r="D1207" s="185">
        <f t="shared" si="39"/>
        <v>-2.697379688302675E-3</v>
      </c>
      <c r="E1207" s="185">
        <v>2.0218532220598268E-3</v>
      </c>
      <c r="F1207" s="171"/>
      <c r="G1207" s="171">
        <v>1204</v>
      </c>
      <c r="H1207" s="186">
        <f t="shared" ca="1" si="40"/>
        <v>2.5383040409064118E-3</v>
      </c>
    </row>
    <row r="1208" spans="2:8">
      <c r="B1208" s="36">
        <v>42643</v>
      </c>
      <c r="C1208" s="185">
        <v>1167.8</v>
      </c>
      <c r="D1208" s="185">
        <f t="shared" si="39"/>
        <v>-0.54834467821782173</v>
      </c>
      <c r="E1208" s="185">
        <v>2.0163885194559258E-3</v>
      </c>
      <c r="F1208" s="171"/>
      <c r="G1208" s="171">
        <v>1205</v>
      </c>
      <c r="H1208" s="186">
        <f t="shared" ca="1" si="40"/>
        <v>8.5279991971638838E-3</v>
      </c>
    </row>
    <row r="1209" spans="2:8">
      <c r="B1209" s="36">
        <v>45905</v>
      </c>
      <c r="C1209" s="185">
        <v>2585.6</v>
      </c>
      <c r="D1209" s="185">
        <f t="shared" si="39"/>
        <v>1.210103427643388</v>
      </c>
      <c r="E1209" s="185">
        <v>2.0151914431870322E-3</v>
      </c>
      <c r="F1209" s="171"/>
      <c r="G1209" s="171">
        <v>1206</v>
      </c>
      <c r="H1209" s="186">
        <f t="shared" ca="1" si="40"/>
        <v>-4.6539096256012942E-3</v>
      </c>
    </row>
    <row r="1210" spans="2:8">
      <c r="B1210" s="36">
        <v>42633</v>
      </c>
      <c r="C1210" s="185">
        <v>1169.9000000000001</v>
      </c>
      <c r="D1210" s="185">
        <f t="shared" si="39"/>
        <v>-0.53986234021632251</v>
      </c>
      <c r="E1210" s="185">
        <v>2.012761766091505E-3</v>
      </c>
      <c r="F1210" s="171"/>
      <c r="G1210" s="171">
        <v>1207</v>
      </c>
      <c r="H1210" s="186">
        <f t="shared" ca="1" si="40"/>
        <v>-7.9036293612004087E-3</v>
      </c>
    </row>
    <row r="1211" spans="2:8">
      <c r="B1211" s="36">
        <v>45909</v>
      </c>
      <c r="C1211" s="185">
        <v>2542.5</v>
      </c>
      <c r="D1211" s="185">
        <f t="shared" si="39"/>
        <v>1.8265703168426903</v>
      </c>
      <c r="E1211" s="185">
        <v>2.0099314258689637E-3</v>
      </c>
      <c r="F1211" s="171"/>
      <c r="G1211" s="171">
        <v>1208</v>
      </c>
      <c r="H1211" s="186">
        <f t="shared" ca="1" si="40"/>
        <v>2.4738044126721787E-2</v>
      </c>
    </row>
    <row r="1212" spans="2:8">
      <c r="B1212" s="36">
        <v>42443</v>
      </c>
      <c r="C1212" s="185">
        <v>899.5</v>
      </c>
      <c r="D1212" s="185">
        <f t="shared" si="39"/>
        <v>-0.12801124521351362</v>
      </c>
      <c r="E1212" s="185">
        <v>2.005124206304951E-3</v>
      </c>
      <c r="F1212" s="171"/>
      <c r="G1212" s="171">
        <v>1209</v>
      </c>
      <c r="H1212" s="186">
        <f t="shared" ca="1" si="40"/>
        <v>-4.7891591359389002E-3</v>
      </c>
    </row>
    <row r="1213" spans="2:8">
      <c r="B1213" s="36">
        <v>42570</v>
      </c>
      <c r="C1213" s="185">
        <v>1031.55</v>
      </c>
      <c r="D1213" s="185">
        <f t="shared" si="39"/>
        <v>-0.61942446043165467</v>
      </c>
      <c r="E1213" s="185">
        <v>1.991257892180626E-3</v>
      </c>
      <c r="F1213" s="171"/>
      <c r="G1213" s="171">
        <v>1210</v>
      </c>
      <c r="H1213" s="186">
        <f t="shared" ca="1" si="40"/>
        <v>-1.4833245310839809E-2</v>
      </c>
    </row>
    <row r="1214" spans="2:8">
      <c r="B1214" s="36">
        <v>46045</v>
      </c>
      <c r="C1214" s="185">
        <v>2710.5</v>
      </c>
      <c r="D1214" s="185">
        <f t="shared" si="39"/>
        <v>1.4051643817383201</v>
      </c>
      <c r="E1214" s="185">
        <v>1.9591897087092203E-3</v>
      </c>
      <c r="F1214" s="171"/>
      <c r="G1214" s="171">
        <v>1211</v>
      </c>
      <c r="H1214" s="186">
        <f t="shared" ca="1" si="40"/>
        <v>-6.2530491163724604E-3</v>
      </c>
    </row>
    <row r="1215" spans="2:8">
      <c r="B1215" s="36">
        <v>43152</v>
      </c>
      <c r="C1215" s="185">
        <v>1126.95</v>
      </c>
      <c r="D1215" s="185">
        <f t="shared" si="39"/>
        <v>-0.65691975158304927</v>
      </c>
      <c r="E1215" s="185">
        <v>1.9559902200489403E-3</v>
      </c>
      <c r="F1215" s="171"/>
      <c r="G1215" s="171">
        <v>1212</v>
      </c>
      <c r="H1215" s="186">
        <f t="shared" ca="1" si="40"/>
        <v>-1.5357316514468939E-2</v>
      </c>
    </row>
    <row r="1216" spans="2:8">
      <c r="B1216" s="36">
        <v>45544</v>
      </c>
      <c r="C1216" s="185">
        <v>3284.8</v>
      </c>
      <c r="D1216" s="185">
        <f t="shared" si="39"/>
        <v>0.47797525309336342</v>
      </c>
      <c r="E1216" s="185">
        <v>1.9521717911176459E-3</v>
      </c>
      <c r="F1216" s="171"/>
      <c r="G1216" s="171">
        <v>1213</v>
      </c>
      <c r="H1216" s="186">
        <f t="shared" ca="1" si="40"/>
        <v>2.2653851980348801E-3</v>
      </c>
    </row>
    <row r="1217" spans="2:8">
      <c r="B1217" s="36">
        <v>45820</v>
      </c>
      <c r="C1217" s="185">
        <v>2222.5</v>
      </c>
      <c r="D1217" s="185">
        <f t="shared" si="39"/>
        <v>1.5986553639286758</v>
      </c>
      <c r="E1217" s="185">
        <v>1.9385087007484367E-3</v>
      </c>
      <c r="F1217" s="171"/>
      <c r="G1217" s="171">
        <v>1214</v>
      </c>
      <c r="H1217" s="186">
        <f t="shared" ca="1" si="40"/>
        <v>-9.1246016372081816E-3</v>
      </c>
    </row>
    <row r="1218" spans="2:8">
      <c r="B1218" s="36">
        <v>42243</v>
      </c>
      <c r="C1218" s="185">
        <v>855.25</v>
      </c>
      <c r="D1218" s="185">
        <f t="shared" si="39"/>
        <v>-0.3542846357115893</v>
      </c>
      <c r="E1218" s="185">
        <v>1.9329896907216229E-3</v>
      </c>
      <c r="F1218" s="171"/>
      <c r="G1218" s="171">
        <v>1215</v>
      </c>
      <c r="H1218" s="186">
        <f t="shared" ca="1" si="40"/>
        <v>1.7346757511146428E-2</v>
      </c>
    </row>
    <row r="1219" spans="2:8">
      <c r="B1219" s="36">
        <v>43656</v>
      </c>
      <c r="C1219" s="185">
        <v>1324.5</v>
      </c>
      <c r="D1219" s="185">
        <f t="shared" si="39"/>
        <v>0.23761913660997938</v>
      </c>
      <c r="E1219" s="185">
        <v>1.9289685691591622E-3</v>
      </c>
      <c r="F1219" s="171"/>
      <c r="G1219" s="171">
        <v>1216</v>
      </c>
      <c r="H1219" s="186">
        <f t="shared" ca="1" si="40"/>
        <v>-2.2556716516557374E-2</v>
      </c>
    </row>
    <row r="1220" spans="2:8">
      <c r="B1220" s="36">
        <v>42824</v>
      </c>
      <c r="C1220" s="185">
        <v>1070.2</v>
      </c>
      <c r="D1220" s="185">
        <f t="shared" ref="D1220:D1283" si="41">(C1220-C1221)/C1221</f>
        <v>-0.56529509728258664</v>
      </c>
      <c r="E1220" s="185">
        <v>1.9192061040115662E-3</v>
      </c>
      <c r="F1220" s="171"/>
      <c r="G1220" s="171">
        <v>1217</v>
      </c>
      <c r="H1220" s="186">
        <f t="shared" ca="1" si="40"/>
        <v>-1.0828210592726985E-2</v>
      </c>
    </row>
    <row r="1221" spans="2:8">
      <c r="B1221" s="36">
        <v>46146</v>
      </c>
      <c r="C1221" s="185">
        <v>2461.9</v>
      </c>
      <c r="D1221" s="185">
        <f t="shared" si="41"/>
        <v>7.857440143698928E-2</v>
      </c>
      <c r="E1221" s="185">
        <v>1.9127462152044087E-3</v>
      </c>
      <c r="F1221" s="171"/>
      <c r="G1221" s="171">
        <v>1218</v>
      </c>
      <c r="H1221" s="186">
        <f t="shared" ref="H1221:H1284" ca="1" si="42">_xlfn.NORM.INV(RAND(),N$6,N$7)</f>
        <v>-3.097686309796898E-2</v>
      </c>
    </row>
    <row r="1222" spans="2:8">
      <c r="B1222" s="36">
        <v>45735</v>
      </c>
      <c r="C1222" s="185">
        <v>2282.5500000000002</v>
      </c>
      <c r="D1222" s="185">
        <f t="shared" si="41"/>
        <v>-3.5392807336347885E-2</v>
      </c>
      <c r="E1222" s="185">
        <v>1.9094021595998439E-3</v>
      </c>
      <c r="F1222" s="171"/>
      <c r="G1222" s="171">
        <v>1219</v>
      </c>
      <c r="H1222" s="186">
        <f t="shared" ca="1" si="42"/>
        <v>1.4857659575458603E-2</v>
      </c>
    </row>
    <row r="1223" spans="2:8">
      <c r="B1223" s="36">
        <v>45936</v>
      </c>
      <c r="C1223" s="185">
        <v>2366.3000000000002</v>
      </c>
      <c r="D1223" s="185">
        <f t="shared" si="41"/>
        <v>1.52917913638307</v>
      </c>
      <c r="E1223" s="185">
        <v>1.9053264459310694E-3</v>
      </c>
      <c r="F1223" s="171"/>
      <c r="G1223" s="171">
        <v>1220</v>
      </c>
      <c r="H1223" s="186">
        <f t="shared" ca="1" si="42"/>
        <v>9.8727493635975393E-3</v>
      </c>
    </row>
    <row r="1224" spans="2:8">
      <c r="B1224" s="36">
        <v>42748</v>
      </c>
      <c r="C1224" s="185">
        <v>935.6</v>
      </c>
      <c r="D1224" s="185">
        <f t="shared" si="41"/>
        <v>-0.15851958447632317</v>
      </c>
      <c r="E1224" s="185">
        <v>1.873962627831022E-3</v>
      </c>
      <c r="F1224" s="171"/>
      <c r="G1224" s="171">
        <v>1221</v>
      </c>
      <c r="H1224" s="186">
        <f t="shared" ca="1" si="42"/>
        <v>1.8941335841056766E-2</v>
      </c>
    </row>
    <row r="1225" spans="2:8">
      <c r="B1225" s="36">
        <v>43157</v>
      </c>
      <c r="C1225" s="185">
        <v>1111.8499999999999</v>
      </c>
      <c r="D1225" s="185">
        <f t="shared" si="41"/>
        <v>-0.48822811903063229</v>
      </c>
      <c r="E1225" s="185">
        <v>1.8471796720129345E-3</v>
      </c>
      <c r="F1225" s="171"/>
      <c r="G1225" s="171">
        <v>1222</v>
      </c>
      <c r="H1225" s="186">
        <f t="shared" ca="1" si="42"/>
        <v>3.0948549055995825E-3</v>
      </c>
    </row>
    <row r="1226" spans="2:8">
      <c r="B1226" s="36">
        <v>44155</v>
      </c>
      <c r="C1226" s="185">
        <v>2172.5500000000002</v>
      </c>
      <c r="D1226" s="185">
        <f t="shared" si="41"/>
        <v>-0.24975827059879824</v>
      </c>
      <c r="E1226" s="185">
        <v>1.821451627778416E-3</v>
      </c>
      <c r="F1226" s="171"/>
      <c r="G1226" s="171">
        <v>1223</v>
      </c>
      <c r="H1226" s="186">
        <f t="shared" ca="1" si="42"/>
        <v>-3.1201071575112367E-4</v>
      </c>
    </row>
    <row r="1227" spans="2:8">
      <c r="B1227" s="36">
        <v>45412</v>
      </c>
      <c r="C1227" s="185">
        <v>2895.8</v>
      </c>
      <c r="D1227" s="185">
        <f t="shared" si="41"/>
        <v>0.60672474060922166</v>
      </c>
      <c r="E1227" s="185">
        <v>1.8162633408866824E-3</v>
      </c>
      <c r="F1227" s="171"/>
      <c r="G1227" s="171">
        <v>1224</v>
      </c>
      <c r="H1227" s="186">
        <f t="shared" ca="1" si="42"/>
        <v>-1.3514217739775455E-2</v>
      </c>
    </row>
    <row r="1228" spans="2:8">
      <c r="B1228" s="36">
        <v>43831</v>
      </c>
      <c r="C1228" s="185">
        <v>1802.3</v>
      </c>
      <c r="D1228" s="185">
        <f t="shared" si="41"/>
        <v>-0.44494233227083047</v>
      </c>
      <c r="E1228" s="185">
        <v>1.8065089908562853E-3</v>
      </c>
      <c r="F1228" s="171"/>
      <c r="G1228" s="171">
        <v>1225</v>
      </c>
      <c r="H1228" s="186">
        <f t="shared" ca="1" si="42"/>
        <v>-4.5052594336283782E-3</v>
      </c>
    </row>
    <row r="1229" spans="2:8">
      <c r="B1229" s="36">
        <v>45540</v>
      </c>
      <c r="C1229" s="185">
        <v>3247.05</v>
      </c>
      <c r="D1229" s="185">
        <f t="shared" si="41"/>
        <v>-1.8884742638727317E-2</v>
      </c>
      <c r="E1229" s="185">
        <v>1.8048870788597939E-3</v>
      </c>
      <c r="F1229" s="171"/>
      <c r="G1229" s="171">
        <v>1226</v>
      </c>
      <c r="H1229" s="186">
        <f t="shared" ca="1" si="42"/>
        <v>1.2664919675263835E-2</v>
      </c>
    </row>
    <row r="1230" spans="2:8">
      <c r="B1230" s="36">
        <v>44480</v>
      </c>
      <c r="C1230" s="185">
        <v>3309.55</v>
      </c>
      <c r="D1230" s="185">
        <f t="shared" si="41"/>
        <v>0.11814787911549582</v>
      </c>
      <c r="E1230" s="185">
        <v>1.7859034704039746E-3</v>
      </c>
      <c r="F1230" s="171"/>
      <c r="G1230" s="171">
        <v>1227</v>
      </c>
      <c r="H1230" s="186">
        <f t="shared" ca="1" si="42"/>
        <v>9.9002257635502459E-3</v>
      </c>
    </row>
    <row r="1231" spans="2:8">
      <c r="B1231" s="36">
        <v>44358</v>
      </c>
      <c r="C1231" s="185">
        <v>2959.85</v>
      </c>
      <c r="D1231" s="185">
        <f t="shared" si="41"/>
        <v>1.4869554257866653</v>
      </c>
      <c r="E1231" s="185">
        <v>1.7768902727949639E-3</v>
      </c>
      <c r="F1231" s="171"/>
      <c r="G1231" s="171">
        <v>1228</v>
      </c>
      <c r="H1231" s="186">
        <f t="shared" ca="1" si="42"/>
        <v>-5.3007993975552076E-3</v>
      </c>
    </row>
    <row r="1232" spans="2:8">
      <c r="B1232" s="36">
        <v>43119</v>
      </c>
      <c r="C1232" s="185">
        <v>1190.1500000000001</v>
      </c>
      <c r="D1232" s="185">
        <f t="shared" si="41"/>
        <v>-0.25673692427790784</v>
      </c>
      <c r="E1232" s="185">
        <v>1.7676023736375882E-3</v>
      </c>
      <c r="F1232" s="171"/>
      <c r="G1232" s="171">
        <v>1229</v>
      </c>
      <c r="H1232" s="186">
        <f t="shared" ca="1" si="42"/>
        <v>1.4568033941387703E-2</v>
      </c>
    </row>
    <row r="1233" spans="2:8">
      <c r="B1233" s="36">
        <v>43704</v>
      </c>
      <c r="C1233" s="185">
        <v>1601.25</v>
      </c>
      <c r="D1233" s="185">
        <f t="shared" si="41"/>
        <v>-0.49361984725582281</v>
      </c>
      <c r="E1233" s="185">
        <v>1.7516969564265097E-3</v>
      </c>
      <c r="F1233" s="171"/>
      <c r="G1233" s="171">
        <v>1230</v>
      </c>
      <c r="H1233" s="186">
        <f t="shared" ca="1" si="42"/>
        <v>-1.298779320569952E-3</v>
      </c>
    </row>
    <row r="1234" spans="2:8">
      <c r="B1234" s="36">
        <v>44673</v>
      </c>
      <c r="C1234" s="185">
        <v>3162.15</v>
      </c>
      <c r="D1234" s="185">
        <f t="shared" si="41"/>
        <v>2.6638745495276187E-2</v>
      </c>
      <c r="E1234" s="185">
        <v>1.7423534443159678E-3</v>
      </c>
      <c r="F1234" s="171"/>
      <c r="G1234" s="171">
        <v>1231</v>
      </c>
      <c r="H1234" s="186">
        <f t="shared" ca="1" si="42"/>
        <v>-1.9671662643259685E-2</v>
      </c>
    </row>
    <row r="1235" spans="2:8">
      <c r="B1235" s="36">
        <v>45581</v>
      </c>
      <c r="C1235" s="185">
        <v>3080.1</v>
      </c>
      <c r="D1235" s="185">
        <f t="shared" si="41"/>
        <v>-3.8790413181874976E-2</v>
      </c>
      <c r="E1235" s="185">
        <v>1.7399788600698947E-3</v>
      </c>
      <c r="F1235" s="171"/>
      <c r="G1235" s="171">
        <v>1232</v>
      </c>
      <c r="H1235" s="186">
        <f t="shared" ca="1" si="42"/>
        <v>-3.1002664559594789E-3</v>
      </c>
    </row>
    <row r="1236" spans="2:8">
      <c r="B1236" s="36">
        <v>44896</v>
      </c>
      <c r="C1236" s="185">
        <v>3204.4</v>
      </c>
      <c r="D1236" s="185">
        <f t="shared" si="41"/>
        <v>1.73828838124871E-2</v>
      </c>
      <c r="E1236" s="185">
        <v>1.7349985150914178E-3</v>
      </c>
      <c r="F1236" s="171"/>
      <c r="G1236" s="171">
        <v>1233</v>
      </c>
      <c r="H1236" s="186">
        <f t="shared" ca="1" si="42"/>
        <v>-1.2617225017810938E-2</v>
      </c>
    </row>
    <row r="1237" spans="2:8">
      <c r="B1237" s="36">
        <v>44526</v>
      </c>
      <c r="C1237" s="185">
        <v>3149.65</v>
      </c>
      <c r="D1237" s="185">
        <f t="shared" si="41"/>
        <v>8.8582439041249822E-2</v>
      </c>
      <c r="E1237" s="185">
        <v>1.7333502957827978E-3</v>
      </c>
      <c r="F1237" s="171"/>
      <c r="G1237" s="171">
        <v>1234</v>
      </c>
      <c r="H1237" s="186">
        <f t="shared" ca="1" si="42"/>
        <v>-2.0858353707890992E-2</v>
      </c>
    </row>
    <row r="1238" spans="2:8">
      <c r="B1238" s="36">
        <v>45390</v>
      </c>
      <c r="C1238" s="185">
        <v>2893.35</v>
      </c>
      <c r="D1238" s="185">
        <f t="shared" si="41"/>
        <v>-0.12408991145084389</v>
      </c>
      <c r="E1238" s="185">
        <v>1.7310921460349335E-3</v>
      </c>
      <c r="F1238" s="171"/>
      <c r="G1238" s="171">
        <v>1235</v>
      </c>
      <c r="H1238" s="186">
        <f t="shared" ca="1" si="42"/>
        <v>9.2621644951009323E-3</v>
      </c>
    </row>
    <row r="1239" spans="2:8">
      <c r="B1239" s="36">
        <v>44544</v>
      </c>
      <c r="C1239" s="185">
        <v>3303.25</v>
      </c>
      <c r="D1239" s="185">
        <f t="shared" si="41"/>
        <v>1.910737101819624</v>
      </c>
      <c r="E1239" s="185">
        <v>1.7285560491879784E-3</v>
      </c>
      <c r="F1239" s="171"/>
      <c r="G1239" s="171">
        <v>1236</v>
      </c>
      <c r="H1239" s="186">
        <f t="shared" ca="1" si="42"/>
        <v>-2.8120960927542762E-2</v>
      </c>
    </row>
    <row r="1240" spans="2:8">
      <c r="B1240" s="36">
        <v>43131</v>
      </c>
      <c r="C1240" s="185">
        <v>1134.8499999999999</v>
      </c>
      <c r="D1240" s="185">
        <f t="shared" si="41"/>
        <v>-0.61075287257760247</v>
      </c>
      <c r="E1240" s="185">
        <v>1.7212463589017723E-3</v>
      </c>
      <c r="F1240" s="171"/>
      <c r="G1240" s="171">
        <v>1237</v>
      </c>
      <c r="H1240" s="186">
        <f t="shared" ca="1" si="42"/>
        <v>-4.7126623771341582E-4</v>
      </c>
    </row>
    <row r="1241" spans="2:8">
      <c r="B1241" s="36">
        <v>45453</v>
      </c>
      <c r="C1241" s="185">
        <v>2915.5</v>
      </c>
      <c r="D1241" s="185">
        <f t="shared" si="41"/>
        <v>1.0760494178801583</v>
      </c>
      <c r="E1241" s="185">
        <v>1.7179178835251675E-3</v>
      </c>
      <c r="F1241" s="171"/>
      <c r="G1241" s="171">
        <v>1238</v>
      </c>
      <c r="H1241" s="186">
        <f t="shared" ca="1" si="42"/>
        <v>-2.0745061290408654E-2</v>
      </c>
    </row>
    <row r="1242" spans="2:8">
      <c r="B1242" s="36">
        <v>43531</v>
      </c>
      <c r="C1242" s="185">
        <v>1404.35</v>
      </c>
      <c r="D1242" s="185">
        <f t="shared" si="41"/>
        <v>1.7939982603653235E-2</v>
      </c>
      <c r="E1242" s="185">
        <v>1.711901280359402E-3</v>
      </c>
      <c r="F1242" s="171"/>
      <c r="G1242" s="171">
        <v>1239</v>
      </c>
      <c r="H1242" s="186">
        <f t="shared" ca="1" si="42"/>
        <v>1.6224872778701112E-2</v>
      </c>
    </row>
    <row r="1243" spans="2:8">
      <c r="B1243" s="36">
        <v>43343</v>
      </c>
      <c r="C1243" s="185">
        <v>1379.6</v>
      </c>
      <c r="D1243" s="185">
        <f t="shared" si="41"/>
        <v>-0.13758829780583867</v>
      </c>
      <c r="E1243" s="185">
        <v>1.7062987838082477E-3</v>
      </c>
      <c r="F1243" s="171"/>
      <c r="G1243" s="171">
        <v>1240</v>
      </c>
      <c r="H1243" s="186">
        <f t="shared" ca="1" si="42"/>
        <v>2.3944963091274876E-2</v>
      </c>
    </row>
    <row r="1244" spans="2:8">
      <c r="B1244" s="36">
        <v>44000</v>
      </c>
      <c r="C1244" s="185">
        <v>1599.7</v>
      </c>
      <c r="D1244" s="185">
        <f t="shared" si="41"/>
        <v>0.66896191966614504</v>
      </c>
      <c r="E1244" s="185">
        <v>1.6906700062617693E-3</v>
      </c>
      <c r="F1244" s="171"/>
      <c r="G1244" s="171">
        <v>1241</v>
      </c>
      <c r="H1244" s="186">
        <f t="shared" ca="1" si="42"/>
        <v>-1.6713324511579787E-2</v>
      </c>
    </row>
    <row r="1245" spans="2:8">
      <c r="B1245" s="36">
        <v>42510</v>
      </c>
      <c r="C1245" s="185">
        <v>958.5</v>
      </c>
      <c r="D1245" s="185">
        <f t="shared" si="41"/>
        <v>-0.15968965063779431</v>
      </c>
      <c r="E1245" s="185">
        <v>1.6720660466088648E-3</v>
      </c>
      <c r="F1245" s="171"/>
      <c r="G1245" s="171">
        <v>1242</v>
      </c>
      <c r="H1245" s="186">
        <f t="shared" ca="1" si="42"/>
        <v>4.4462128719912645E-3</v>
      </c>
    </row>
    <row r="1246" spans="2:8">
      <c r="B1246" s="36">
        <v>43088</v>
      </c>
      <c r="C1246" s="185">
        <v>1140.6500000000001</v>
      </c>
      <c r="D1246" s="185">
        <f t="shared" si="41"/>
        <v>-0.19723414737138431</v>
      </c>
      <c r="E1246" s="185">
        <v>1.6684961580681369E-3</v>
      </c>
      <c r="F1246" s="171"/>
      <c r="G1246" s="171">
        <v>1243</v>
      </c>
      <c r="H1246" s="186">
        <f t="shared" ca="1" si="42"/>
        <v>-3.6957610846992152E-3</v>
      </c>
    </row>
    <row r="1247" spans="2:8">
      <c r="B1247" s="36">
        <v>43626</v>
      </c>
      <c r="C1247" s="185">
        <v>1420.9</v>
      </c>
      <c r="D1247" s="185">
        <f t="shared" si="41"/>
        <v>-0.39715740347899869</v>
      </c>
      <c r="E1247" s="185">
        <v>1.6566211977019748E-3</v>
      </c>
      <c r="F1247" s="171"/>
      <c r="G1247" s="171">
        <v>1244</v>
      </c>
      <c r="H1247" s="186">
        <f t="shared" ca="1" si="42"/>
        <v>-2.3434806090437328E-3</v>
      </c>
    </row>
    <row r="1248" spans="2:8">
      <c r="B1248" s="36">
        <v>45751</v>
      </c>
      <c r="C1248" s="185">
        <v>2357</v>
      </c>
      <c r="D1248" s="185">
        <f t="shared" si="41"/>
        <v>2.4668254508336943E-3</v>
      </c>
      <c r="E1248" s="185">
        <v>1.636104795699343E-3</v>
      </c>
      <c r="F1248" s="171"/>
      <c r="G1248" s="171">
        <v>1245</v>
      </c>
      <c r="H1248" s="186">
        <f t="shared" ca="1" si="42"/>
        <v>-3.1748475220677191E-3</v>
      </c>
    </row>
    <row r="1249" spans="2:8">
      <c r="B1249" s="36">
        <v>45940</v>
      </c>
      <c r="C1249" s="185">
        <v>2351.1999999999998</v>
      </c>
      <c r="D1249" s="185">
        <f t="shared" si="41"/>
        <v>1.1614267328553043</v>
      </c>
      <c r="E1249" s="185">
        <v>1.6188123029733863E-3</v>
      </c>
      <c r="F1249" s="171"/>
      <c r="G1249" s="171">
        <v>1246</v>
      </c>
      <c r="H1249" s="186">
        <f t="shared" ca="1" si="42"/>
        <v>-1.9514516032794322E-2</v>
      </c>
    </row>
    <row r="1250" spans="2:8">
      <c r="B1250" s="36">
        <v>42831</v>
      </c>
      <c r="C1250" s="185">
        <v>1087.8</v>
      </c>
      <c r="D1250" s="185">
        <f t="shared" si="41"/>
        <v>-0.55201383741042742</v>
      </c>
      <c r="E1250" s="185">
        <v>1.6113438607798904E-3</v>
      </c>
      <c r="F1250" s="171"/>
      <c r="G1250" s="171">
        <v>1247</v>
      </c>
      <c r="H1250" s="186">
        <f t="shared" ca="1" si="42"/>
        <v>-5.0925760642444228E-3</v>
      </c>
    </row>
    <row r="1251" spans="2:8">
      <c r="B1251" s="36">
        <v>46076</v>
      </c>
      <c r="C1251" s="185">
        <v>2428.1999999999998</v>
      </c>
      <c r="D1251" s="185">
        <f t="shared" si="41"/>
        <v>0.10709889208042658</v>
      </c>
      <c r="E1251" s="185">
        <v>1.6087117930947638E-3</v>
      </c>
      <c r="F1251" s="171"/>
      <c r="G1251" s="171">
        <v>1248</v>
      </c>
      <c r="H1251" s="186">
        <f t="shared" ca="1" si="42"/>
        <v>1.2844789149407251E-2</v>
      </c>
    </row>
    <row r="1252" spans="2:8">
      <c r="B1252" s="36">
        <v>44152</v>
      </c>
      <c r="C1252" s="185">
        <v>2193.3000000000002</v>
      </c>
      <c r="D1252" s="185">
        <f t="shared" si="41"/>
        <v>-0.34604490294880585</v>
      </c>
      <c r="E1252" s="185">
        <v>1.5983194812311625E-3</v>
      </c>
      <c r="F1252" s="171"/>
      <c r="G1252" s="171">
        <v>1249</v>
      </c>
      <c r="H1252" s="186">
        <f t="shared" ca="1" si="42"/>
        <v>-1.6237725985303382E-2</v>
      </c>
    </row>
    <row r="1253" spans="2:8">
      <c r="B1253" s="36">
        <v>44802</v>
      </c>
      <c r="C1253" s="185">
        <v>3353.9</v>
      </c>
      <c r="D1253" s="185">
        <f t="shared" si="41"/>
        <v>2.1434462720839775</v>
      </c>
      <c r="E1253" s="185">
        <v>1.5977064699645843E-3</v>
      </c>
      <c r="F1253" s="171"/>
      <c r="G1253" s="171">
        <v>1250</v>
      </c>
      <c r="H1253" s="186">
        <f t="shared" ca="1" si="42"/>
        <v>1.8762641821731666E-3</v>
      </c>
    </row>
    <row r="1254" spans="2:8">
      <c r="B1254" s="36">
        <v>42818</v>
      </c>
      <c r="C1254" s="185">
        <v>1066.95</v>
      </c>
      <c r="D1254" s="185">
        <f t="shared" si="41"/>
        <v>-0.40675562969140949</v>
      </c>
      <c r="E1254" s="185">
        <v>1.5958695141985875E-3</v>
      </c>
      <c r="F1254" s="171"/>
      <c r="G1254" s="171">
        <v>1251</v>
      </c>
      <c r="H1254" s="186">
        <f t="shared" ca="1" si="42"/>
        <v>1.8867733487936512E-2</v>
      </c>
    </row>
    <row r="1255" spans="2:8">
      <c r="B1255" s="36">
        <v>44055</v>
      </c>
      <c r="C1255" s="185">
        <v>1798.5</v>
      </c>
      <c r="D1255" s="185">
        <f t="shared" si="41"/>
        <v>-0.4090296717379161</v>
      </c>
      <c r="E1255" s="185">
        <v>1.5871689917299635E-3</v>
      </c>
      <c r="F1255" s="171"/>
      <c r="G1255" s="171">
        <v>1252</v>
      </c>
      <c r="H1255" s="186">
        <f t="shared" ca="1" si="42"/>
        <v>1.1431274172539809E-2</v>
      </c>
    </row>
    <row r="1256" spans="2:8">
      <c r="B1256" s="36">
        <v>45237</v>
      </c>
      <c r="C1256" s="185">
        <v>3043.3</v>
      </c>
      <c r="D1256" s="185">
        <f t="shared" si="41"/>
        <v>-8.1503614166930666E-2</v>
      </c>
      <c r="E1256" s="185">
        <v>1.5797268389008332E-3</v>
      </c>
      <c r="F1256" s="171"/>
      <c r="G1256" s="171">
        <v>1253</v>
      </c>
      <c r="H1256" s="186">
        <f t="shared" ca="1" si="42"/>
        <v>-3.0191723862315681E-2</v>
      </c>
    </row>
    <row r="1257" spans="2:8">
      <c r="B1257" s="36">
        <v>44546</v>
      </c>
      <c r="C1257" s="185">
        <v>3313.35</v>
      </c>
      <c r="D1257" s="185">
        <f t="shared" si="41"/>
        <v>4.0183967224951732E-2</v>
      </c>
      <c r="E1257" s="185">
        <v>1.5416005440942822E-3</v>
      </c>
      <c r="F1257" s="171"/>
      <c r="G1257" s="171">
        <v>1254</v>
      </c>
      <c r="H1257" s="186">
        <f t="shared" ca="1" si="42"/>
        <v>1.2534887640463918E-3</v>
      </c>
    </row>
    <row r="1258" spans="2:8">
      <c r="B1258" s="36">
        <v>45202</v>
      </c>
      <c r="C1258" s="185">
        <v>3185.35</v>
      </c>
      <c r="D1258" s="185">
        <f t="shared" si="41"/>
        <v>1.2252610988857451</v>
      </c>
      <c r="E1258" s="185">
        <v>1.5406624848685222E-3</v>
      </c>
      <c r="F1258" s="171"/>
      <c r="G1258" s="171">
        <v>1255</v>
      </c>
      <c r="H1258" s="186">
        <f t="shared" ca="1" si="42"/>
        <v>-1.5195886130328871E-2</v>
      </c>
    </row>
    <row r="1259" spans="2:8">
      <c r="B1259" s="36">
        <v>43320</v>
      </c>
      <c r="C1259" s="185">
        <v>1431.45</v>
      </c>
      <c r="D1259" s="185">
        <f t="shared" si="41"/>
        <v>-0.10740786930223857</v>
      </c>
      <c r="E1259" s="185">
        <v>1.5392688472975655E-3</v>
      </c>
      <c r="F1259" s="171"/>
      <c r="G1259" s="171">
        <v>1256</v>
      </c>
      <c r="H1259" s="186">
        <f t="shared" ca="1" si="42"/>
        <v>-2.0908136384792022E-2</v>
      </c>
    </row>
    <row r="1260" spans="2:8">
      <c r="B1260" s="36">
        <v>43705</v>
      </c>
      <c r="C1260" s="185">
        <v>1603.7</v>
      </c>
      <c r="D1260" s="185">
        <f t="shared" si="41"/>
        <v>1.1301720130172013</v>
      </c>
      <c r="E1260" s="185">
        <v>1.5300546448087716E-3</v>
      </c>
      <c r="F1260" s="171"/>
      <c r="G1260" s="171">
        <v>1257</v>
      </c>
      <c r="H1260" s="186">
        <f t="shared" ca="1" si="42"/>
        <v>3.6552165166429854E-2</v>
      </c>
    </row>
    <row r="1261" spans="2:8">
      <c r="B1261" s="36">
        <v>42181</v>
      </c>
      <c r="C1261" s="185">
        <v>752.85</v>
      </c>
      <c r="D1261" s="185">
        <f t="shared" si="41"/>
        <v>-0.71326553930530168</v>
      </c>
      <c r="E1261" s="185">
        <v>1.5298656378874248E-3</v>
      </c>
      <c r="F1261" s="171"/>
      <c r="G1261" s="171">
        <v>1258</v>
      </c>
      <c r="H1261" s="186">
        <f t="shared" ca="1" si="42"/>
        <v>-1.6556910923776844E-2</v>
      </c>
    </row>
    <row r="1262" spans="2:8">
      <c r="B1262" s="36">
        <v>46156</v>
      </c>
      <c r="C1262" s="185">
        <v>2625.6</v>
      </c>
      <c r="D1262" s="185">
        <f t="shared" si="41"/>
        <v>-0.20634776694627072</v>
      </c>
      <c r="E1262" s="185">
        <v>1.5257857796765334E-3</v>
      </c>
      <c r="F1262" s="171"/>
      <c r="G1262" s="171">
        <v>1259</v>
      </c>
      <c r="H1262" s="186">
        <f t="shared" ca="1" si="42"/>
        <v>-1.9681348516695566E-2</v>
      </c>
    </row>
    <row r="1263" spans="2:8">
      <c r="B1263" s="36">
        <v>44545</v>
      </c>
      <c r="C1263" s="185">
        <v>3308.25</v>
      </c>
      <c r="D1263" s="185">
        <f t="shared" si="41"/>
        <v>-1.1562766100479488E-2</v>
      </c>
      <c r="E1263" s="185">
        <v>1.5136607886172709E-3</v>
      </c>
      <c r="F1263" s="171"/>
      <c r="G1263" s="171">
        <v>1260</v>
      </c>
      <c r="H1263" s="186">
        <f t="shared" ca="1" si="42"/>
        <v>-1.9438333687378608E-2</v>
      </c>
    </row>
    <row r="1264" spans="2:8">
      <c r="B1264" s="36">
        <v>44448</v>
      </c>
      <c r="C1264" s="185">
        <v>3346.95</v>
      </c>
      <c r="D1264" s="185">
        <f t="shared" si="41"/>
        <v>1.4409801991029425</v>
      </c>
      <c r="E1264" s="185">
        <v>1.511116430772832E-3</v>
      </c>
      <c r="F1264" s="171"/>
      <c r="G1264" s="171">
        <v>1261</v>
      </c>
      <c r="H1264" s="186">
        <f t="shared" ca="1" si="42"/>
        <v>-1.3789546140329108E-3</v>
      </c>
    </row>
    <row r="1265" spans="2:8">
      <c r="B1265" s="36">
        <v>43608</v>
      </c>
      <c r="C1265" s="185">
        <v>1371.15</v>
      </c>
      <c r="D1265" s="185">
        <f t="shared" si="41"/>
        <v>0.56702857142857155</v>
      </c>
      <c r="E1265" s="185">
        <v>1.4973340150465139E-3</v>
      </c>
      <c r="F1265" s="171"/>
      <c r="G1265" s="171">
        <v>1262</v>
      </c>
      <c r="H1265" s="186">
        <f t="shared" ca="1" si="42"/>
        <v>-2.2467318534255924E-2</v>
      </c>
    </row>
    <row r="1266" spans="2:8">
      <c r="B1266" s="36">
        <v>42447</v>
      </c>
      <c r="C1266" s="185">
        <v>875</v>
      </c>
      <c r="D1266" s="185">
        <f t="shared" si="41"/>
        <v>-0.53606744253863892</v>
      </c>
      <c r="E1266" s="185">
        <v>1.4879249170195198E-3</v>
      </c>
      <c r="F1266" s="171"/>
      <c r="G1266" s="171">
        <v>1263</v>
      </c>
      <c r="H1266" s="186">
        <f t="shared" ca="1" si="42"/>
        <v>8.6624669448366817E-3</v>
      </c>
    </row>
    <row r="1267" spans="2:8">
      <c r="B1267" s="36">
        <v>43878</v>
      </c>
      <c r="C1267" s="185">
        <v>1886.05</v>
      </c>
      <c r="D1267" s="185">
        <f t="shared" si="41"/>
        <v>0.33838347998864599</v>
      </c>
      <c r="E1267" s="185">
        <v>1.4602028354484149E-3</v>
      </c>
      <c r="F1267" s="171"/>
      <c r="G1267" s="171">
        <v>1264</v>
      </c>
      <c r="H1267" s="186">
        <f t="shared" ca="1" si="42"/>
        <v>2.2193455293045158E-3</v>
      </c>
    </row>
    <row r="1268" spans="2:8">
      <c r="B1268" s="36">
        <v>43474</v>
      </c>
      <c r="C1268" s="185">
        <v>1409.2</v>
      </c>
      <c r="D1268" s="185">
        <f t="shared" si="41"/>
        <v>-0.55048724860045606</v>
      </c>
      <c r="E1268" s="185">
        <v>1.4568453967238422E-3</v>
      </c>
      <c r="F1268" s="171"/>
      <c r="G1268" s="171">
        <v>1265</v>
      </c>
      <c r="H1268" s="186">
        <f t="shared" ca="1" si="42"/>
        <v>5.441741645996691E-3</v>
      </c>
    </row>
    <row r="1269" spans="2:8">
      <c r="B1269" s="36">
        <v>45254</v>
      </c>
      <c r="C1269" s="185">
        <v>3134.95</v>
      </c>
      <c r="D1269" s="185">
        <f t="shared" si="41"/>
        <v>2.3807579889289734E-2</v>
      </c>
      <c r="E1269" s="185">
        <v>1.4534883720929361E-3</v>
      </c>
      <c r="F1269" s="171"/>
      <c r="G1269" s="171">
        <v>1266</v>
      </c>
      <c r="H1269" s="186">
        <f t="shared" ca="1" si="42"/>
        <v>5.6816677146732143E-3</v>
      </c>
    </row>
    <row r="1270" spans="2:8">
      <c r="B1270" s="36">
        <v>44642</v>
      </c>
      <c r="C1270" s="185">
        <v>3062.05</v>
      </c>
      <c r="D1270" s="185">
        <f t="shared" si="41"/>
        <v>7.316090141239967E-2</v>
      </c>
      <c r="E1270" s="185">
        <v>1.4390136215721521E-3</v>
      </c>
      <c r="F1270" s="171"/>
      <c r="G1270" s="171">
        <v>1267</v>
      </c>
      <c r="H1270" s="186">
        <f t="shared" ca="1" si="42"/>
        <v>9.7702643990241513E-3</v>
      </c>
    </row>
    <row r="1271" spans="2:8">
      <c r="B1271" s="36">
        <v>44986</v>
      </c>
      <c r="C1271" s="185">
        <v>2853.3</v>
      </c>
      <c r="D1271" s="185">
        <f t="shared" si="41"/>
        <v>-1.3159942587372587E-2</v>
      </c>
      <c r="E1271" s="185">
        <v>1.4390004211709828E-3</v>
      </c>
      <c r="F1271" s="171"/>
      <c r="G1271" s="171">
        <v>1268</v>
      </c>
      <c r="H1271" s="186">
        <f t="shared" ca="1" si="42"/>
        <v>-1.3888549832540514E-2</v>
      </c>
    </row>
    <row r="1272" spans="2:8">
      <c r="B1272" s="36">
        <v>45467</v>
      </c>
      <c r="C1272" s="185">
        <v>2891.35</v>
      </c>
      <c r="D1272" s="185">
        <f t="shared" si="41"/>
        <v>1.0449247759003334E-2</v>
      </c>
      <c r="E1272" s="185">
        <v>1.4200363667849715E-3</v>
      </c>
      <c r="F1272" s="171"/>
      <c r="G1272" s="171">
        <v>1269</v>
      </c>
      <c r="H1272" s="186">
        <f t="shared" ca="1" si="42"/>
        <v>2.234334622726826E-2</v>
      </c>
    </row>
    <row r="1273" spans="2:8">
      <c r="B1273" s="36">
        <v>45407</v>
      </c>
      <c r="C1273" s="185">
        <v>2861.45</v>
      </c>
      <c r="D1273" s="185">
        <f t="shared" si="41"/>
        <v>1.4812052893995229</v>
      </c>
      <c r="E1273" s="185">
        <v>1.399849516177011E-3</v>
      </c>
      <c r="F1273" s="171"/>
      <c r="G1273" s="171">
        <v>1270</v>
      </c>
      <c r="H1273" s="186">
        <f t="shared" ca="1" si="42"/>
        <v>-5.8231478143233898E-3</v>
      </c>
    </row>
    <row r="1274" spans="2:8">
      <c r="B1274" s="36">
        <v>42977</v>
      </c>
      <c r="C1274" s="185">
        <v>1153.25</v>
      </c>
      <c r="D1274" s="185">
        <f t="shared" si="41"/>
        <v>0.18021798086271301</v>
      </c>
      <c r="E1274" s="185">
        <v>1.3893109885815213E-3</v>
      </c>
      <c r="F1274" s="171"/>
      <c r="G1274" s="171">
        <v>1271</v>
      </c>
      <c r="H1274" s="186">
        <f t="shared" ca="1" si="42"/>
        <v>2.8632819142528253E-2</v>
      </c>
    </row>
    <row r="1275" spans="2:8">
      <c r="B1275" s="36">
        <v>42765</v>
      </c>
      <c r="C1275" s="185">
        <v>977.15</v>
      </c>
      <c r="D1275" s="185">
        <f t="shared" si="41"/>
        <v>-0.70756707417438536</v>
      </c>
      <c r="E1275" s="185">
        <v>1.3834802213568587E-3</v>
      </c>
      <c r="F1275" s="171"/>
      <c r="G1275" s="171">
        <v>1272</v>
      </c>
      <c r="H1275" s="186">
        <f t="shared" ca="1" si="42"/>
        <v>-9.229144987654864E-3</v>
      </c>
    </row>
    <row r="1276" spans="2:8">
      <c r="B1276" s="36">
        <v>45279</v>
      </c>
      <c r="C1276" s="185">
        <v>3341.45</v>
      </c>
      <c r="D1276" s="185">
        <f t="shared" si="41"/>
        <v>1.7736780941313188</v>
      </c>
      <c r="E1276" s="185">
        <v>1.3785456343557274E-3</v>
      </c>
      <c r="F1276" s="171"/>
      <c r="G1276" s="171">
        <v>1273</v>
      </c>
      <c r="H1276" s="186">
        <f t="shared" ca="1" si="42"/>
        <v>-1.5538958703442692E-2</v>
      </c>
    </row>
    <row r="1277" spans="2:8">
      <c r="B1277" s="36">
        <v>42986</v>
      </c>
      <c r="C1277" s="185">
        <v>1204.7</v>
      </c>
      <c r="D1277" s="185">
        <f t="shared" si="41"/>
        <v>-0.60990220840619125</v>
      </c>
      <c r="E1277" s="185">
        <v>1.3715140684095349E-3</v>
      </c>
      <c r="F1277" s="171"/>
      <c r="G1277" s="171">
        <v>1274</v>
      </c>
      <c r="H1277" s="186">
        <f t="shared" ca="1" si="42"/>
        <v>-1.2995684493380326E-3</v>
      </c>
    </row>
    <row r="1278" spans="2:8">
      <c r="B1278" s="36">
        <v>45243</v>
      </c>
      <c r="C1278" s="185">
        <v>3088.2</v>
      </c>
      <c r="D1278" s="185">
        <f t="shared" si="41"/>
        <v>0.79828801024864604</v>
      </c>
      <c r="E1278" s="185">
        <v>1.3456331771533004E-3</v>
      </c>
      <c r="F1278" s="171"/>
      <c r="G1278" s="171">
        <v>1275</v>
      </c>
      <c r="H1278" s="186">
        <f t="shared" ca="1" si="42"/>
        <v>8.7523061130732605E-3</v>
      </c>
    </row>
    <row r="1279" spans="2:8">
      <c r="B1279" s="36">
        <v>43796</v>
      </c>
      <c r="C1279" s="185">
        <v>1717.3</v>
      </c>
      <c r="D1279" s="185">
        <f t="shared" si="41"/>
        <v>-0.42594975848640343</v>
      </c>
      <c r="E1279" s="185">
        <v>1.34110787172009E-3</v>
      </c>
      <c r="F1279" s="171"/>
      <c r="G1279" s="171">
        <v>1276</v>
      </c>
      <c r="H1279" s="186">
        <f t="shared" ca="1" si="42"/>
        <v>-1.087585070506015E-2</v>
      </c>
    </row>
    <row r="1280" spans="2:8">
      <c r="B1280" s="36">
        <v>44935</v>
      </c>
      <c r="C1280" s="185">
        <v>2991.55</v>
      </c>
      <c r="D1280" s="185">
        <f t="shared" si="41"/>
        <v>1.0466938049464647</v>
      </c>
      <c r="E1280" s="185">
        <v>1.3388897256949675E-3</v>
      </c>
      <c r="F1280" s="171"/>
      <c r="G1280" s="171">
        <v>1277</v>
      </c>
      <c r="H1280" s="186">
        <f t="shared" ca="1" si="42"/>
        <v>8.2308897586092934E-3</v>
      </c>
    </row>
    <row r="1281" spans="2:8">
      <c r="B1281" s="36">
        <v>43544</v>
      </c>
      <c r="C1281" s="185">
        <v>1461.65</v>
      </c>
      <c r="D1281" s="185">
        <f t="shared" si="41"/>
        <v>-0.41866523485662016</v>
      </c>
      <c r="E1281" s="185">
        <v>1.3358909364938312E-3</v>
      </c>
      <c r="F1281" s="171"/>
      <c r="G1281" s="171">
        <v>1278</v>
      </c>
      <c r="H1281" s="186">
        <f t="shared" ca="1" si="42"/>
        <v>-2.550186138047314E-2</v>
      </c>
    </row>
    <row r="1282" spans="2:8">
      <c r="B1282" s="36">
        <v>44237</v>
      </c>
      <c r="C1282" s="185">
        <v>2514.3000000000002</v>
      </c>
      <c r="D1282" s="185">
        <f t="shared" si="41"/>
        <v>2.3434840425531918</v>
      </c>
      <c r="E1282" s="185">
        <v>1.334156394990089E-3</v>
      </c>
      <c r="F1282" s="171"/>
      <c r="G1282" s="171">
        <v>1279</v>
      </c>
      <c r="H1282" s="186">
        <f t="shared" ca="1" si="42"/>
        <v>-2.0502193501221452E-2</v>
      </c>
    </row>
    <row r="1283" spans="2:8">
      <c r="B1283" s="36">
        <v>42179</v>
      </c>
      <c r="C1283" s="185">
        <v>752</v>
      </c>
      <c r="D1283" s="185">
        <f t="shared" si="41"/>
        <v>-0.39731516730114208</v>
      </c>
      <c r="E1283" s="185">
        <v>1.3315579227696406E-3</v>
      </c>
      <c r="F1283" s="171"/>
      <c r="G1283" s="171">
        <v>1280</v>
      </c>
      <c r="H1283" s="186">
        <f t="shared" ca="1" si="42"/>
        <v>-1.0542054796867987E-2</v>
      </c>
    </row>
    <row r="1284" spans="2:8">
      <c r="B1284" s="36">
        <v>42993</v>
      </c>
      <c r="C1284" s="185">
        <v>1247.75</v>
      </c>
      <c r="D1284" s="185">
        <f t="shared" ref="D1284:D1347" si="43">(C1284-C1285)/C1285</f>
        <v>-0.5971751412429378</v>
      </c>
      <c r="E1284" s="185">
        <v>1.3241312896236988E-3</v>
      </c>
      <c r="F1284" s="171"/>
      <c r="G1284" s="171">
        <v>1281</v>
      </c>
      <c r="H1284" s="186">
        <f t="shared" ca="1" si="42"/>
        <v>-6.9097073522402849E-3</v>
      </c>
    </row>
    <row r="1285" spans="2:8">
      <c r="B1285" s="36">
        <v>44881</v>
      </c>
      <c r="C1285" s="185">
        <v>3097.5</v>
      </c>
      <c r="D1285" s="185">
        <f t="shared" si="43"/>
        <v>0.77486820994728389</v>
      </c>
      <c r="E1285" s="185">
        <v>1.2930337805075157E-3</v>
      </c>
      <c r="F1285" s="171"/>
      <c r="G1285" s="171">
        <v>1282</v>
      </c>
      <c r="H1285" s="186">
        <f t="shared" ref="H1285:H1348" ca="1" si="44">_xlfn.NORM.INV(RAND(),N$6,N$7)</f>
        <v>2.165555297397613E-2</v>
      </c>
    </row>
    <row r="1286" spans="2:8">
      <c r="B1286" s="36">
        <v>43802</v>
      </c>
      <c r="C1286" s="185">
        <v>1745.2</v>
      </c>
      <c r="D1286" s="185">
        <f t="shared" si="43"/>
        <v>-2.7228895515732512E-2</v>
      </c>
      <c r="E1286" s="185">
        <v>1.2909148283083277E-3</v>
      </c>
      <c r="F1286" s="171"/>
      <c r="G1286" s="171">
        <v>1283</v>
      </c>
      <c r="H1286" s="186">
        <f t="shared" ca="1" si="44"/>
        <v>-8.688262815057312E-3</v>
      </c>
    </row>
    <row r="1287" spans="2:8">
      <c r="B1287" s="36">
        <v>43763</v>
      </c>
      <c r="C1287" s="185">
        <v>1794.05</v>
      </c>
      <c r="D1287" s="185">
        <f t="shared" si="43"/>
        <v>-0.32503762227238525</v>
      </c>
      <c r="E1287" s="185">
        <v>1.2836612250592741E-3</v>
      </c>
      <c r="F1287" s="171"/>
      <c r="G1287" s="171">
        <v>1284</v>
      </c>
      <c r="H1287" s="186">
        <f t="shared" ca="1" si="44"/>
        <v>-2.7391863791045457E-3</v>
      </c>
    </row>
    <row r="1288" spans="2:8">
      <c r="B1288" s="36">
        <v>45972</v>
      </c>
      <c r="C1288" s="185">
        <v>2658</v>
      </c>
      <c r="D1288" s="185">
        <f t="shared" si="43"/>
        <v>-7.2283689923562849E-2</v>
      </c>
      <c r="E1288" s="185">
        <v>1.2807956000904434E-3</v>
      </c>
      <c r="F1288" s="171"/>
      <c r="G1288" s="171">
        <v>1285</v>
      </c>
      <c r="H1288" s="186">
        <f t="shared" ca="1" si="44"/>
        <v>-4.4330400915909226E-4</v>
      </c>
    </row>
    <row r="1289" spans="2:8">
      <c r="B1289" s="36">
        <v>45408</v>
      </c>
      <c r="C1289" s="185">
        <v>2865.1</v>
      </c>
      <c r="D1289" s="185">
        <f t="shared" si="43"/>
        <v>2.5615638013549624</v>
      </c>
      <c r="E1289" s="185">
        <v>1.2755770675706691E-3</v>
      </c>
      <c r="F1289" s="171"/>
      <c r="G1289" s="171">
        <v>1286</v>
      </c>
      <c r="H1289" s="186">
        <f t="shared" ca="1" si="44"/>
        <v>-1.6120945376440245E-3</v>
      </c>
    </row>
    <row r="1290" spans="2:8">
      <c r="B1290" s="36">
        <v>42324</v>
      </c>
      <c r="C1290" s="185">
        <v>804.45</v>
      </c>
      <c r="D1290" s="185">
        <f t="shared" si="43"/>
        <v>-0.65586498973305951</v>
      </c>
      <c r="E1290" s="185">
        <v>1.2446325222478063E-3</v>
      </c>
      <c r="F1290" s="171"/>
      <c r="G1290" s="171">
        <v>1287</v>
      </c>
      <c r="H1290" s="186">
        <f t="shared" ca="1" si="44"/>
        <v>-1.245608758201E-2</v>
      </c>
    </row>
    <row r="1291" spans="2:8">
      <c r="B1291" s="36">
        <v>45804</v>
      </c>
      <c r="C1291" s="185">
        <v>2337.6</v>
      </c>
      <c r="D1291" s="185">
        <f t="shared" si="43"/>
        <v>-0.18833333333333335</v>
      </c>
      <c r="E1291" s="185">
        <v>1.2421296098000135E-3</v>
      </c>
      <c r="F1291" s="171"/>
      <c r="G1291" s="171">
        <v>1288</v>
      </c>
      <c r="H1291" s="186">
        <f t="shared" ca="1" si="44"/>
        <v>5.8924049437568795E-3</v>
      </c>
    </row>
    <row r="1292" spans="2:8">
      <c r="B1292" s="36">
        <v>45439</v>
      </c>
      <c r="C1292" s="185">
        <v>2880</v>
      </c>
      <c r="D1292" s="185">
        <f t="shared" si="43"/>
        <v>1.811539024747401</v>
      </c>
      <c r="E1292" s="185">
        <v>1.2341601627006143E-3</v>
      </c>
      <c r="F1292" s="171"/>
      <c r="G1292" s="171">
        <v>1289</v>
      </c>
      <c r="H1292" s="186">
        <f t="shared" ca="1" si="44"/>
        <v>1.4443820293160671E-2</v>
      </c>
    </row>
    <row r="1293" spans="2:8">
      <c r="B1293" s="36">
        <v>42524</v>
      </c>
      <c r="C1293" s="185">
        <v>1024.3499999999999</v>
      </c>
      <c r="D1293" s="185">
        <f t="shared" si="43"/>
        <v>-0.64588446779825082</v>
      </c>
      <c r="E1293" s="185">
        <v>1.2217769523994587E-3</v>
      </c>
      <c r="F1293" s="171"/>
      <c r="G1293" s="171">
        <v>1290</v>
      </c>
      <c r="H1293" s="186">
        <f t="shared" ca="1" si="44"/>
        <v>-8.2241335119088259E-3</v>
      </c>
    </row>
    <row r="1294" spans="2:8">
      <c r="B1294" s="36">
        <v>45988</v>
      </c>
      <c r="C1294" s="185">
        <v>2892.7</v>
      </c>
      <c r="D1294" s="185">
        <f t="shared" si="43"/>
        <v>0.53597408803695634</v>
      </c>
      <c r="E1294" s="185">
        <v>1.2114080022151462E-3</v>
      </c>
      <c r="F1294" s="171"/>
      <c r="G1294" s="171">
        <v>1291</v>
      </c>
      <c r="H1294" s="186">
        <f t="shared" ca="1" si="44"/>
        <v>-5.0475266042280791E-3</v>
      </c>
    </row>
    <row r="1295" spans="2:8">
      <c r="B1295" s="36">
        <v>43875</v>
      </c>
      <c r="C1295" s="185">
        <v>1883.3</v>
      </c>
      <c r="D1295" s="185">
        <f t="shared" si="43"/>
        <v>-0.39069526675078459</v>
      </c>
      <c r="E1295" s="185">
        <v>1.1961404534701365E-3</v>
      </c>
      <c r="F1295" s="171"/>
      <c r="G1295" s="171">
        <v>1292</v>
      </c>
      <c r="H1295" s="186">
        <f t="shared" ca="1" si="44"/>
        <v>1.1980625256564134E-2</v>
      </c>
    </row>
    <row r="1296" spans="2:8">
      <c r="B1296" s="36">
        <v>45068</v>
      </c>
      <c r="C1296" s="185">
        <v>3090.9</v>
      </c>
      <c r="D1296" s="185">
        <f t="shared" si="43"/>
        <v>-2.9910237900947753E-2</v>
      </c>
      <c r="E1296" s="185">
        <v>1.1822819661511349E-3</v>
      </c>
      <c r="F1296" s="171"/>
      <c r="G1296" s="171">
        <v>1293</v>
      </c>
      <c r="H1296" s="186">
        <f t="shared" ca="1" si="44"/>
        <v>-8.3889250612513729E-4</v>
      </c>
    </row>
    <row r="1297" spans="2:8">
      <c r="B1297" s="36">
        <v>44901</v>
      </c>
      <c r="C1297" s="185">
        <v>3186.2</v>
      </c>
      <c r="D1297" s="185">
        <f t="shared" si="43"/>
        <v>4.5890231092436881E-2</v>
      </c>
      <c r="E1297" s="185">
        <v>1.1783374444217507E-3</v>
      </c>
      <c r="F1297" s="171"/>
      <c r="G1297" s="171">
        <v>1294</v>
      </c>
      <c r="H1297" s="186">
        <f t="shared" ca="1" si="44"/>
        <v>8.1858497423182158E-3</v>
      </c>
    </row>
    <row r="1298" spans="2:8">
      <c r="B1298" s="36">
        <v>44537</v>
      </c>
      <c r="C1298" s="185">
        <v>3046.4</v>
      </c>
      <c r="D1298" s="185">
        <f t="shared" si="43"/>
        <v>-3.3885673511456403E-2</v>
      </c>
      <c r="E1298" s="185">
        <v>1.1502185415228894E-3</v>
      </c>
      <c r="F1298" s="171"/>
      <c r="G1298" s="171">
        <v>1295</v>
      </c>
      <c r="H1298" s="186">
        <f t="shared" ca="1" si="44"/>
        <v>2.7035953875847136E-2</v>
      </c>
    </row>
    <row r="1299" spans="2:8">
      <c r="B1299" s="36">
        <v>44529</v>
      </c>
      <c r="C1299" s="185">
        <v>3153.25</v>
      </c>
      <c r="D1299" s="185">
        <f t="shared" si="43"/>
        <v>4.2172756267248326E-2</v>
      </c>
      <c r="E1299" s="185">
        <v>1.1429841410950134E-3</v>
      </c>
      <c r="F1299" s="171"/>
      <c r="G1299" s="171">
        <v>1296</v>
      </c>
      <c r="H1299" s="186">
        <f t="shared" ca="1" si="44"/>
        <v>1.9280267059802465E-2</v>
      </c>
    </row>
    <row r="1300" spans="2:8">
      <c r="B1300" s="36">
        <v>44644</v>
      </c>
      <c r="C1300" s="185">
        <v>3025.65</v>
      </c>
      <c r="D1300" s="185">
        <f t="shared" si="43"/>
        <v>0.76422740524781352</v>
      </c>
      <c r="E1300" s="185">
        <v>1.1415525114156155E-3</v>
      </c>
      <c r="F1300" s="171"/>
      <c r="G1300" s="171">
        <v>1297</v>
      </c>
      <c r="H1300" s="186">
        <f t="shared" ca="1" si="44"/>
        <v>1.6967809243886831E-2</v>
      </c>
    </row>
    <row r="1301" spans="2:8">
      <c r="B1301" s="36">
        <v>43795</v>
      </c>
      <c r="C1301" s="185">
        <v>1715</v>
      </c>
      <c r="D1301" s="185">
        <f t="shared" si="43"/>
        <v>0.10417203193407157</v>
      </c>
      <c r="E1301" s="185">
        <v>1.1383205393888361E-3</v>
      </c>
      <c r="F1301" s="171"/>
      <c r="G1301" s="171">
        <v>1298</v>
      </c>
      <c r="H1301" s="186">
        <f t="shared" ca="1" si="44"/>
        <v>-7.1030745100200939E-3</v>
      </c>
    </row>
    <row r="1302" spans="2:8">
      <c r="B1302" s="36">
        <v>43727</v>
      </c>
      <c r="C1302" s="185">
        <v>1553.2</v>
      </c>
      <c r="D1302" s="185">
        <f t="shared" si="43"/>
        <v>-0.53758670993480007</v>
      </c>
      <c r="E1302" s="185">
        <v>1.1279770537239357E-3</v>
      </c>
      <c r="F1302" s="171"/>
      <c r="G1302" s="171">
        <v>1299</v>
      </c>
      <c r="H1302" s="186">
        <f t="shared" ca="1" si="44"/>
        <v>-2.1516309825732102E-2</v>
      </c>
    </row>
    <row r="1303" spans="2:8">
      <c r="B1303" s="36">
        <v>44796</v>
      </c>
      <c r="C1303" s="185">
        <v>3358.9</v>
      </c>
      <c r="D1303" s="185">
        <f t="shared" si="43"/>
        <v>0.15348821236628388</v>
      </c>
      <c r="E1303" s="185">
        <v>1.1027658559848216E-3</v>
      </c>
      <c r="F1303" s="171"/>
      <c r="G1303" s="171">
        <v>1300</v>
      </c>
      <c r="H1303" s="186">
        <f t="shared" ca="1" si="44"/>
        <v>2.4855502786928059E-2</v>
      </c>
    </row>
    <row r="1304" spans="2:8">
      <c r="B1304" s="36">
        <v>45456</v>
      </c>
      <c r="C1304" s="185">
        <v>2911.95</v>
      </c>
      <c r="D1304" s="185">
        <f t="shared" si="43"/>
        <v>-6.2868084832491344E-2</v>
      </c>
      <c r="E1304" s="185">
        <v>1.0829207920790827E-3</v>
      </c>
      <c r="F1304" s="171"/>
      <c r="G1304" s="171">
        <v>1301</v>
      </c>
      <c r="H1304" s="186">
        <f t="shared" ca="1" si="44"/>
        <v>-7.5643415755272314E-3</v>
      </c>
    </row>
    <row r="1305" spans="2:8">
      <c r="B1305" s="36">
        <v>44768</v>
      </c>
      <c r="C1305" s="185">
        <v>3107.3</v>
      </c>
      <c r="D1305" s="185">
        <f t="shared" si="43"/>
        <v>-2.6480075749065173E-3</v>
      </c>
      <c r="E1305" s="185">
        <v>1.0792699624672963E-3</v>
      </c>
      <c r="F1305" s="171"/>
      <c r="G1305" s="171">
        <v>1302</v>
      </c>
      <c r="H1305" s="186">
        <f t="shared" ca="1" si="44"/>
        <v>3.6791520896322896E-3</v>
      </c>
    </row>
    <row r="1306" spans="2:8">
      <c r="B1306" s="36">
        <v>45510</v>
      </c>
      <c r="C1306" s="185">
        <v>3115.55</v>
      </c>
      <c r="D1306" s="185">
        <f t="shared" si="43"/>
        <v>-3.2107241604274722E-2</v>
      </c>
      <c r="E1306" s="185">
        <v>1.0764089711459302E-3</v>
      </c>
      <c r="F1306" s="171"/>
      <c r="G1306" s="171">
        <v>1303</v>
      </c>
      <c r="H1306" s="186">
        <f t="shared" ca="1" si="44"/>
        <v>3.7618813368075076E-3</v>
      </c>
    </row>
    <row r="1307" spans="2:8">
      <c r="B1307" s="36">
        <v>45189</v>
      </c>
      <c r="C1307" s="185">
        <v>3218.9</v>
      </c>
      <c r="D1307" s="185">
        <f t="shared" si="43"/>
        <v>1.1415075510611405</v>
      </c>
      <c r="E1307" s="185">
        <v>1.0729446889238747E-3</v>
      </c>
      <c r="F1307" s="171"/>
      <c r="G1307" s="171">
        <v>1304</v>
      </c>
      <c r="H1307" s="186">
        <f t="shared" ca="1" si="44"/>
        <v>-4.2412778978859426E-3</v>
      </c>
    </row>
    <row r="1308" spans="2:8">
      <c r="B1308" s="36">
        <v>43556</v>
      </c>
      <c r="C1308" s="185">
        <v>1503.1</v>
      </c>
      <c r="D1308" s="185">
        <f t="shared" si="43"/>
        <v>0.10222189631150536</v>
      </c>
      <c r="E1308" s="185">
        <v>1.0656010656010051E-3</v>
      </c>
      <c r="F1308" s="171"/>
      <c r="G1308" s="171">
        <v>1305</v>
      </c>
      <c r="H1308" s="186">
        <f t="shared" ca="1" si="44"/>
        <v>-2.5583612556058675E-3</v>
      </c>
    </row>
    <row r="1309" spans="2:8">
      <c r="B1309" s="36">
        <v>43293</v>
      </c>
      <c r="C1309" s="185">
        <v>1363.7</v>
      </c>
      <c r="D1309" s="185">
        <f t="shared" si="43"/>
        <v>-0.56295168656357664</v>
      </c>
      <c r="E1309" s="185">
        <v>1.0644154890805987E-3</v>
      </c>
      <c r="F1309" s="171"/>
      <c r="G1309" s="171">
        <v>1306</v>
      </c>
      <c r="H1309" s="186">
        <f t="shared" ca="1" si="44"/>
        <v>4.331569527050114E-3</v>
      </c>
    </row>
    <row r="1310" spans="2:8">
      <c r="B1310" s="36">
        <v>44589</v>
      </c>
      <c r="C1310" s="185">
        <v>3120.25</v>
      </c>
      <c r="D1310" s="185">
        <f t="shared" si="43"/>
        <v>-4.7033671833244257E-2</v>
      </c>
      <c r="E1310" s="185">
        <v>1.0587272814771434E-3</v>
      </c>
      <c r="F1310" s="171"/>
      <c r="G1310" s="171">
        <v>1307</v>
      </c>
      <c r="H1310" s="186">
        <f t="shared" ca="1" si="44"/>
        <v>2.0759700589060986E-2</v>
      </c>
    </row>
    <row r="1311" spans="2:8">
      <c r="B1311" s="36">
        <v>45267</v>
      </c>
      <c r="C1311" s="185">
        <v>3274.25</v>
      </c>
      <c r="D1311" s="185">
        <f t="shared" si="43"/>
        <v>0.16908272931767065</v>
      </c>
      <c r="E1311" s="185">
        <v>1.0547878194936461E-3</v>
      </c>
      <c r="F1311" s="171"/>
      <c r="G1311" s="171">
        <v>1308</v>
      </c>
      <c r="H1311" s="186">
        <f t="shared" ca="1" si="44"/>
        <v>8.7609959558720939E-3</v>
      </c>
    </row>
    <row r="1312" spans="2:8">
      <c r="B1312" s="36">
        <v>45401</v>
      </c>
      <c r="C1312" s="185">
        <v>2800.7</v>
      </c>
      <c r="D1312" s="185">
        <f t="shared" si="43"/>
        <v>0.12518581013217625</v>
      </c>
      <c r="E1312" s="185">
        <v>1.0544187293360086E-3</v>
      </c>
      <c r="F1312" s="171"/>
      <c r="G1312" s="171">
        <v>1309</v>
      </c>
      <c r="H1312" s="186">
        <f t="shared" ca="1" si="44"/>
        <v>-1.3303968468623492E-2</v>
      </c>
    </row>
    <row r="1313" spans="2:8">
      <c r="B1313" s="36">
        <v>45897</v>
      </c>
      <c r="C1313" s="185">
        <v>2489.1</v>
      </c>
      <c r="D1313" s="185">
        <f t="shared" si="43"/>
        <v>-0.15519201724167189</v>
      </c>
      <c r="E1313" s="185">
        <v>1.0456464910516424E-3</v>
      </c>
      <c r="F1313" s="171"/>
      <c r="G1313" s="171">
        <v>1310</v>
      </c>
      <c r="H1313" s="186">
        <f t="shared" ca="1" si="44"/>
        <v>8.7547823224394215E-3</v>
      </c>
    </row>
    <row r="1314" spans="2:8">
      <c r="B1314" s="36">
        <v>45418</v>
      </c>
      <c r="C1314" s="185">
        <v>2946.35</v>
      </c>
      <c r="D1314" s="185">
        <f t="shared" si="43"/>
        <v>3.3843292747113868E-2</v>
      </c>
      <c r="E1314" s="185">
        <v>1.0192467766320689E-3</v>
      </c>
      <c r="F1314" s="171"/>
      <c r="G1314" s="171">
        <v>1311</v>
      </c>
      <c r="H1314" s="186">
        <f t="shared" ca="1" si="44"/>
        <v>1.3403437320146185E-2</v>
      </c>
    </row>
    <row r="1315" spans="2:8">
      <c r="B1315" s="36">
        <v>45007</v>
      </c>
      <c r="C1315" s="185">
        <v>2849.9</v>
      </c>
      <c r="D1315" s="185">
        <f t="shared" si="43"/>
        <v>7.1955164372226058E-2</v>
      </c>
      <c r="E1315" s="185">
        <v>1.0186160871092696E-3</v>
      </c>
      <c r="F1315" s="171"/>
      <c r="G1315" s="171">
        <v>1312</v>
      </c>
      <c r="H1315" s="186">
        <f t="shared" ca="1" si="44"/>
        <v>6.5489041765514622E-3</v>
      </c>
    </row>
    <row r="1316" spans="2:8">
      <c r="B1316" s="36">
        <v>46196</v>
      </c>
      <c r="C1316" s="185">
        <v>2658.6</v>
      </c>
      <c r="D1316" s="185">
        <f t="shared" si="43"/>
        <v>1.0728208326836115</v>
      </c>
      <c r="E1316" s="185">
        <v>9.7891566265056822E-4</v>
      </c>
      <c r="F1316" s="171"/>
      <c r="G1316" s="171">
        <v>1313</v>
      </c>
      <c r="H1316" s="186">
        <f t="shared" ca="1" si="44"/>
        <v>1.9745552572825543E-2</v>
      </c>
    </row>
    <row r="1317" spans="2:8">
      <c r="B1317" s="36">
        <v>43263</v>
      </c>
      <c r="C1317" s="185">
        <v>1282.5999999999999</v>
      </c>
      <c r="D1317" s="185">
        <f t="shared" si="43"/>
        <v>-0.556807187284036</v>
      </c>
      <c r="E1317" s="185">
        <v>9.7553361688843801E-4</v>
      </c>
      <c r="F1317" s="171"/>
      <c r="G1317" s="171">
        <v>1314</v>
      </c>
      <c r="H1317" s="186">
        <f t="shared" ca="1" si="44"/>
        <v>-3.1269793011304593E-3</v>
      </c>
    </row>
    <row r="1318" spans="2:8">
      <c r="B1318" s="36">
        <v>45041</v>
      </c>
      <c r="C1318" s="185">
        <v>2894</v>
      </c>
      <c r="D1318" s="185">
        <f t="shared" si="43"/>
        <v>-0.17942610865373715</v>
      </c>
      <c r="E1318" s="185">
        <v>9.6845600442729037E-4</v>
      </c>
      <c r="F1318" s="171"/>
      <c r="G1318" s="171">
        <v>1315</v>
      </c>
      <c r="H1318" s="186">
        <f t="shared" ca="1" si="44"/>
        <v>1.583748248457037E-2</v>
      </c>
    </row>
    <row r="1319" spans="2:8">
      <c r="B1319" s="36">
        <v>45126</v>
      </c>
      <c r="C1319" s="185">
        <v>3526.8</v>
      </c>
      <c r="D1319" s="185">
        <f t="shared" si="43"/>
        <v>1.9509266619252812</v>
      </c>
      <c r="E1319" s="185">
        <v>9.6497701084182635E-4</v>
      </c>
      <c r="F1319" s="171"/>
      <c r="G1319" s="171">
        <v>1316</v>
      </c>
      <c r="H1319" s="186">
        <f t="shared" ca="1" si="44"/>
        <v>1.5702786911466829E-2</v>
      </c>
    </row>
    <row r="1320" spans="2:8">
      <c r="B1320" s="36">
        <v>42641</v>
      </c>
      <c r="C1320" s="185">
        <v>1195.1500000000001</v>
      </c>
      <c r="D1320" s="185">
        <f t="shared" si="43"/>
        <v>-0.26186579378068736</v>
      </c>
      <c r="E1320" s="185">
        <v>9.6314907872704436E-4</v>
      </c>
      <c r="F1320" s="171"/>
      <c r="G1320" s="171">
        <v>1317</v>
      </c>
      <c r="H1320" s="186">
        <f t="shared" ca="1" si="44"/>
        <v>9.8393960737923336E-4</v>
      </c>
    </row>
    <row r="1321" spans="2:8">
      <c r="B1321" s="36">
        <v>43998</v>
      </c>
      <c r="C1321" s="185">
        <v>1619.15</v>
      </c>
      <c r="D1321" s="185">
        <f t="shared" si="43"/>
        <v>-0.24875887347469031</v>
      </c>
      <c r="E1321" s="185">
        <v>9.5820969337301061E-4</v>
      </c>
      <c r="F1321" s="171"/>
      <c r="G1321" s="171">
        <v>1318</v>
      </c>
      <c r="H1321" s="186">
        <f t="shared" ca="1" si="44"/>
        <v>-1.3206715901661578E-2</v>
      </c>
    </row>
    <row r="1322" spans="2:8">
      <c r="B1322" s="36">
        <v>44161</v>
      </c>
      <c r="C1322" s="185">
        <v>2155.3000000000002</v>
      </c>
      <c r="D1322" s="185">
        <f t="shared" si="43"/>
        <v>-0.27669642257869653</v>
      </c>
      <c r="E1322" s="185">
        <v>9.5204922791138134E-4</v>
      </c>
      <c r="F1322" s="171"/>
      <c r="G1322" s="171">
        <v>1319</v>
      </c>
      <c r="H1322" s="186">
        <f t="shared" ca="1" si="44"/>
        <v>2.5391992124836851E-2</v>
      </c>
    </row>
    <row r="1323" spans="2:8">
      <c r="B1323" s="36">
        <v>45322</v>
      </c>
      <c r="C1323" s="185">
        <v>2979.8</v>
      </c>
      <c r="D1323" s="185">
        <f t="shared" si="43"/>
        <v>-2.5412919051512613E-2</v>
      </c>
      <c r="E1323" s="185">
        <v>9.4054417198528113E-4</v>
      </c>
      <c r="F1323" s="171"/>
      <c r="G1323" s="171">
        <v>1320</v>
      </c>
      <c r="H1323" s="186">
        <f t="shared" ca="1" si="44"/>
        <v>1.1642251860343809E-2</v>
      </c>
    </row>
    <row r="1324" spans="2:8">
      <c r="B1324" s="36">
        <v>45516</v>
      </c>
      <c r="C1324" s="185">
        <v>3057.5</v>
      </c>
      <c r="D1324" s="185">
        <f t="shared" si="43"/>
        <v>5.0759502371296929E-2</v>
      </c>
      <c r="E1324" s="185">
        <v>9.3300378112055687E-4</v>
      </c>
      <c r="F1324" s="171"/>
      <c r="G1324" s="171">
        <v>1321</v>
      </c>
      <c r="H1324" s="186">
        <f t="shared" ca="1" si="44"/>
        <v>-5.7805937973767494E-3</v>
      </c>
    </row>
    <row r="1325" spans="2:8">
      <c r="B1325" s="36">
        <v>45482</v>
      </c>
      <c r="C1325" s="185">
        <v>2909.8</v>
      </c>
      <c r="D1325" s="185">
        <f t="shared" si="43"/>
        <v>3.7398837748226346E-2</v>
      </c>
      <c r="E1325" s="185">
        <v>9.2876062054978261E-4</v>
      </c>
      <c r="F1325" s="171"/>
      <c r="G1325" s="171">
        <v>1322</v>
      </c>
      <c r="H1325" s="186">
        <f t="shared" ca="1" si="44"/>
        <v>1.5804805890677901E-2</v>
      </c>
    </row>
    <row r="1326" spans="2:8">
      <c r="B1326" s="36">
        <v>46014</v>
      </c>
      <c r="C1326" s="185">
        <v>2804.9</v>
      </c>
      <c r="D1326" s="185">
        <f t="shared" si="43"/>
        <v>0.58227562475320138</v>
      </c>
      <c r="E1326" s="185">
        <v>9.2780929950394631E-4</v>
      </c>
      <c r="F1326" s="171"/>
      <c r="G1326" s="171">
        <v>1323</v>
      </c>
      <c r="H1326" s="186">
        <f t="shared" ca="1" si="44"/>
        <v>-1.7081156260385356E-2</v>
      </c>
    </row>
    <row r="1327" spans="2:8">
      <c r="B1327" s="36">
        <v>43739</v>
      </c>
      <c r="C1327" s="185">
        <v>1772.7</v>
      </c>
      <c r="D1327" s="185">
        <f t="shared" si="43"/>
        <v>-0.3721177345659335</v>
      </c>
      <c r="E1327" s="185">
        <v>9.0339337135121481E-4</v>
      </c>
      <c r="F1327" s="171"/>
      <c r="G1327" s="171">
        <v>1324</v>
      </c>
      <c r="H1327" s="186">
        <f t="shared" ca="1" si="44"/>
        <v>-8.3131362827703024E-3</v>
      </c>
    </row>
    <row r="1328" spans="2:8">
      <c r="B1328" s="36">
        <v>45428</v>
      </c>
      <c r="C1328" s="185">
        <v>2823.3</v>
      </c>
      <c r="D1328" s="185">
        <f t="shared" si="43"/>
        <v>1.9720446418897086E-2</v>
      </c>
      <c r="E1328" s="185">
        <v>8.8627339761769704E-4</v>
      </c>
      <c r="F1328" s="171"/>
      <c r="G1328" s="171">
        <v>1325</v>
      </c>
      <c r="H1328" s="186">
        <f t="shared" ca="1" si="44"/>
        <v>-4.0788693083120223E-3</v>
      </c>
    </row>
    <row r="1329" spans="2:8">
      <c r="B1329" s="36">
        <v>44736</v>
      </c>
      <c r="C1329" s="185">
        <v>2768.7</v>
      </c>
      <c r="D1329" s="185">
        <f t="shared" si="43"/>
        <v>1.4307098020280058</v>
      </c>
      <c r="E1329" s="185">
        <v>8.8567555354715521E-4</v>
      </c>
      <c r="F1329" s="171"/>
      <c r="G1329" s="171">
        <v>1326</v>
      </c>
      <c r="H1329" s="186">
        <f t="shared" ca="1" si="44"/>
        <v>1.3194230106485736E-2</v>
      </c>
    </row>
    <row r="1330" spans="2:8">
      <c r="B1330" s="36">
        <v>43090</v>
      </c>
      <c r="C1330" s="185">
        <v>1139.05</v>
      </c>
      <c r="D1330" s="185">
        <f t="shared" si="43"/>
        <v>-4.7619047619048014E-3</v>
      </c>
      <c r="E1330" s="185">
        <v>8.7869601511357152E-4</v>
      </c>
      <c r="F1330" s="171"/>
      <c r="G1330" s="171">
        <v>1327</v>
      </c>
      <c r="H1330" s="186">
        <f t="shared" ca="1" si="44"/>
        <v>-1.2563411265285653E-2</v>
      </c>
    </row>
    <row r="1331" spans="2:8">
      <c r="B1331" s="36">
        <v>42901</v>
      </c>
      <c r="C1331" s="185">
        <v>1144.5</v>
      </c>
      <c r="D1331" s="185">
        <f t="shared" si="43"/>
        <v>-0.33817151448562999</v>
      </c>
      <c r="E1331" s="185">
        <v>8.7450808919982512E-4</v>
      </c>
      <c r="F1331" s="171"/>
      <c r="G1331" s="171">
        <v>1328</v>
      </c>
      <c r="H1331" s="186">
        <f t="shared" ca="1" si="44"/>
        <v>8.1890997960522606E-3</v>
      </c>
    </row>
    <row r="1332" spans="2:8">
      <c r="B1332" s="36">
        <v>43789</v>
      </c>
      <c r="C1332" s="185">
        <v>1729.3</v>
      </c>
      <c r="D1332" s="185">
        <f t="shared" si="43"/>
        <v>0.52589782052413303</v>
      </c>
      <c r="E1332" s="185">
        <v>8.3919321700381716E-4</v>
      </c>
      <c r="F1332" s="171"/>
      <c r="G1332" s="171">
        <v>1329</v>
      </c>
      <c r="H1332" s="186">
        <f t="shared" ca="1" si="44"/>
        <v>1.0026988425656386E-2</v>
      </c>
    </row>
    <row r="1333" spans="2:8">
      <c r="B1333" s="36">
        <v>42927</v>
      </c>
      <c r="C1333" s="185">
        <v>1133.3</v>
      </c>
      <c r="D1333" s="185">
        <f t="shared" si="43"/>
        <v>-0.60396973773871721</v>
      </c>
      <c r="E1333" s="185">
        <v>8.38963218086321E-4</v>
      </c>
      <c r="F1333" s="171"/>
      <c r="G1333" s="171">
        <v>1330</v>
      </c>
      <c r="H1333" s="186">
        <f t="shared" ca="1" si="44"/>
        <v>8.2314153888021616E-4</v>
      </c>
    </row>
    <row r="1334" spans="2:8">
      <c r="B1334" s="36">
        <v>45349</v>
      </c>
      <c r="C1334" s="185">
        <v>2861.65</v>
      </c>
      <c r="D1334" s="185">
        <f t="shared" si="43"/>
        <v>-9.5730898059786337E-2</v>
      </c>
      <c r="E1334" s="185">
        <v>8.2187948099181926E-4</v>
      </c>
      <c r="F1334" s="171"/>
      <c r="G1334" s="171">
        <v>1331</v>
      </c>
      <c r="H1334" s="186">
        <f t="shared" ca="1" si="44"/>
        <v>-2.3705961194859071E-2</v>
      </c>
    </row>
    <row r="1335" spans="2:8">
      <c r="B1335" s="36">
        <v>44658</v>
      </c>
      <c r="C1335" s="185">
        <v>3164.6</v>
      </c>
      <c r="D1335" s="185">
        <f t="shared" si="43"/>
        <v>-2.1867804101565518E-2</v>
      </c>
      <c r="E1335" s="185">
        <v>8.0643886086549134E-4</v>
      </c>
      <c r="F1335" s="171"/>
      <c r="G1335" s="171">
        <v>1332</v>
      </c>
      <c r="H1335" s="186">
        <f t="shared" ca="1" si="44"/>
        <v>-2.9156453622875275E-2</v>
      </c>
    </row>
    <row r="1336" spans="2:8">
      <c r="B1336" s="36">
        <v>45079</v>
      </c>
      <c r="C1336" s="185">
        <v>3235.35</v>
      </c>
      <c r="D1336" s="185">
        <f t="shared" si="43"/>
        <v>3.0661654614379918E-2</v>
      </c>
      <c r="E1336" s="185">
        <v>8.0426881138346889E-4</v>
      </c>
      <c r="F1336" s="171"/>
      <c r="G1336" s="171">
        <v>1333</v>
      </c>
      <c r="H1336" s="186">
        <f t="shared" ca="1" si="44"/>
        <v>-8.4879935216121383E-4</v>
      </c>
    </row>
    <row r="1337" spans="2:8">
      <c r="B1337" s="36">
        <v>45062</v>
      </c>
      <c r="C1337" s="185">
        <v>3139.1</v>
      </c>
      <c r="D1337" s="185">
        <f t="shared" si="43"/>
        <v>1.2058182840278266</v>
      </c>
      <c r="E1337" s="185">
        <v>7.8108810354990768E-4</v>
      </c>
      <c r="F1337" s="171"/>
      <c r="G1337" s="171">
        <v>1334</v>
      </c>
      <c r="H1337" s="186">
        <f t="shared" ca="1" si="44"/>
        <v>-1.7890818168960668E-2</v>
      </c>
    </row>
    <row r="1338" spans="2:8">
      <c r="B1338" s="36">
        <v>43322</v>
      </c>
      <c r="C1338" s="185">
        <v>1423.1</v>
      </c>
      <c r="D1338" s="185">
        <f t="shared" si="43"/>
        <v>-0.37485997935381843</v>
      </c>
      <c r="E1338" s="185">
        <v>7.735583684950134E-4</v>
      </c>
      <c r="F1338" s="171"/>
      <c r="G1338" s="171">
        <v>1335</v>
      </c>
      <c r="H1338" s="186">
        <f t="shared" ca="1" si="44"/>
        <v>1.0943347775856956E-2</v>
      </c>
    </row>
    <row r="1339" spans="2:8">
      <c r="B1339" s="36">
        <v>45695</v>
      </c>
      <c r="C1339" s="185">
        <v>2276.4499999999998</v>
      </c>
      <c r="D1339" s="185">
        <f t="shared" si="43"/>
        <v>0.92511627906976723</v>
      </c>
      <c r="E1339" s="185">
        <v>7.6933221963335833E-4</v>
      </c>
      <c r="F1339" s="171"/>
      <c r="G1339" s="171">
        <v>1336</v>
      </c>
      <c r="H1339" s="186">
        <f t="shared" ca="1" si="44"/>
        <v>-1.416329310568787E-2</v>
      </c>
    </row>
    <row r="1340" spans="2:8">
      <c r="B1340" s="36">
        <v>43041</v>
      </c>
      <c r="C1340" s="185">
        <v>1182.5</v>
      </c>
      <c r="D1340" s="185">
        <f t="shared" si="43"/>
        <v>-0.15047235892093827</v>
      </c>
      <c r="E1340" s="185">
        <v>7.6167907921470123E-4</v>
      </c>
      <c r="F1340" s="171"/>
      <c r="G1340" s="171">
        <v>1337</v>
      </c>
      <c r="H1340" s="186">
        <f t="shared" ca="1" si="44"/>
        <v>-1.2184042326572659E-2</v>
      </c>
    </row>
    <row r="1341" spans="2:8">
      <c r="B1341" s="36">
        <v>43468</v>
      </c>
      <c r="C1341" s="185">
        <v>1391.95</v>
      </c>
      <c r="D1341" s="185">
        <f t="shared" si="43"/>
        <v>0.21403340456151071</v>
      </c>
      <c r="E1341" s="185">
        <v>7.5490689481627323E-4</v>
      </c>
      <c r="F1341" s="171"/>
      <c r="G1341" s="171">
        <v>1338</v>
      </c>
      <c r="H1341" s="186">
        <f t="shared" ca="1" si="44"/>
        <v>2.6496273798068321E-3</v>
      </c>
    </row>
    <row r="1342" spans="2:8">
      <c r="B1342" s="36">
        <v>43103</v>
      </c>
      <c r="C1342" s="185">
        <v>1146.55</v>
      </c>
      <c r="D1342" s="185">
        <f t="shared" si="43"/>
        <v>-0.53043923415583083</v>
      </c>
      <c r="E1342" s="185">
        <v>7.4190451252501444E-4</v>
      </c>
      <c r="F1342" s="171"/>
      <c r="G1342" s="171">
        <v>1339</v>
      </c>
      <c r="H1342" s="186">
        <f t="shared" ca="1" si="44"/>
        <v>1.9914895853450687E-2</v>
      </c>
    </row>
    <row r="1343" spans="2:8">
      <c r="B1343" s="36">
        <v>44224</v>
      </c>
      <c r="C1343" s="185">
        <v>2441.75</v>
      </c>
      <c r="D1343" s="185">
        <f t="shared" si="43"/>
        <v>1.7007521291892491</v>
      </c>
      <c r="E1343" s="185">
        <v>7.3772003524669855E-4</v>
      </c>
      <c r="F1343" s="171"/>
      <c r="G1343" s="171">
        <v>1340</v>
      </c>
      <c r="H1343" s="186">
        <f t="shared" ca="1" si="44"/>
        <v>7.661313403094454E-3</v>
      </c>
    </row>
    <row r="1344" spans="2:8">
      <c r="B1344" s="36">
        <v>42234</v>
      </c>
      <c r="C1344" s="185">
        <v>904.1</v>
      </c>
      <c r="D1344" s="185">
        <f t="shared" si="43"/>
        <v>-8.161917822134189E-2</v>
      </c>
      <c r="E1344" s="185">
        <v>7.194642758315095E-4</v>
      </c>
      <c r="F1344" s="171"/>
      <c r="G1344" s="171">
        <v>1341</v>
      </c>
      <c r="H1344" s="186">
        <f t="shared" ca="1" si="44"/>
        <v>7.8399207755706982E-3</v>
      </c>
    </row>
    <row r="1345" spans="2:8">
      <c r="B1345" s="36">
        <v>42781</v>
      </c>
      <c r="C1345" s="185">
        <v>984.45</v>
      </c>
      <c r="D1345" s="185">
        <f t="shared" si="43"/>
        <v>-0.55043839620056623</v>
      </c>
      <c r="E1345" s="185">
        <v>7.115628970775558E-4</v>
      </c>
      <c r="F1345" s="171"/>
      <c r="G1345" s="171">
        <v>1342</v>
      </c>
      <c r="H1345" s="186">
        <f t="shared" ca="1" si="44"/>
        <v>3.326363554549995E-3</v>
      </c>
    </row>
    <row r="1346" spans="2:8">
      <c r="B1346" s="36">
        <v>44149</v>
      </c>
      <c r="C1346" s="185">
        <v>2189.8000000000002</v>
      </c>
      <c r="D1346" s="185">
        <f t="shared" si="43"/>
        <v>-0.24160144074253651</v>
      </c>
      <c r="E1346" s="185">
        <v>7.0832857306074809E-4</v>
      </c>
      <c r="F1346" s="171"/>
      <c r="G1346" s="171">
        <v>1343</v>
      </c>
      <c r="H1346" s="186">
        <f t="shared" ca="1" si="44"/>
        <v>-1.7461994666027478E-2</v>
      </c>
    </row>
    <row r="1347" spans="2:8">
      <c r="B1347" s="36">
        <v>45363</v>
      </c>
      <c r="C1347" s="185">
        <v>2887.4</v>
      </c>
      <c r="D1347" s="185">
        <f t="shared" si="43"/>
        <v>-0.10919832785721993</v>
      </c>
      <c r="E1347" s="185">
        <v>6.9314479794829135E-4</v>
      </c>
      <c r="F1347" s="171"/>
      <c r="G1347" s="171">
        <v>1344</v>
      </c>
      <c r="H1347" s="186">
        <f t="shared" ca="1" si="44"/>
        <v>-6.3266874828050157E-3</v>
      </c>
    </row>
    <row r="1348" spans="2:8">
      <c r="B1348" s="36">
        <v>44904</v>
      </c>
      <c r="C1348" s="185">
        <v>3241.35</v>
      </c>
      <c r="D1348" s="185">
        <f t="shared" ref="D1348:D1411" si="45">(C1348-C1349)/C1349</f>
        <v>0.43207122028806211</v>
      </c>
      <c r="E1348" s="185">
        <v>6.6374413435418963E-4</v>
      </c>
      <c r="F1348" s="171"/>
      <c r="G1348" s="171">
        <v>1345</v>
      </c>
      <c r="H1348" s="186">
        <f t="shared" ca="1" si="44"/>
        <v>3.4637684635567094E-3</v>
      </c>
    </row>
    <row r="1349" spans="2:8">
      <c r="B1349" s="36">
        <v>45679</v>
      </c>
      <c r="C1349" s="185">
        <v>2263.4</v>
      </c>
      <c r="D1349" s="185">
        <f t="shared" si="45"/>
        <v>-0.31037004311329808</v>
      </c>
      <c r="E1349" s="185">
        <v>6.6315929086166491E-4</v>
      </c>
      <c r="F1349" s="171"/>
      <c r="G1349" s="171">
        <v>1346</v>
      </c>
      <c r="H1349" s="186">
        <f t="shared" ref="H1349:H1412" ca="1" si="46">_xlfn.NORM.INV(RAND(),N$6,N$7)</f>
        <v>-3.6613246546896181E-3</v>
      </c>
    </row>
    <row r="1350" spans="2:8">
      <c r="B1350" s="36">
        <v>45168</v>
      </c>
      <c r="C1350" s="185">
        <v>3282.05</v>
      </c>
      <c r="D1350" s="185">
        <f t="shared" si="45"/>
        <v>0.10793977652499746</v>
      </c>
      <c r="E1350" s="185">
        <v>6.5550778987167018E-4</v>
      </c>
      <c r="F1350" s="171"/>
      <c r="G1350" s="171">
        <v>1347</v>
      </c>
      <c r="H1350" s="186">
        <f t="shared" ca="1" si="46"/>
        <v>-6.009447082491552E-3</v>
      </c>
    </row>
    <row r="1351" spans="2:8">
      <c r="B1351" s="36">
        <v>45334</v>
      </c>
      <c r="C1351" s="185">
        <v>2962.3</v>
      </c>
      <c r="D1351" s="185">
        <f t="shared" si="45"/>
        <v>1.8698895562875413</v>
      </c>
      <c r="E1351" s="185">
        <v>6.4180516146469769E-4</v>
      </c>
      <c r="F1351" s="171"/>
      <c r="G1351" s="171">
        <v>1348</v>
      </c>
      <c r="H1351" s="186">
        <f t="shared" ca="1" si="46"/>
        <v>-1.487077291884931E-2</v>
      </c>
    </row>
    <row r="1352" spans="2:8">
      <c r="B1352" s="36">
        <v>42571</v>
      </c>
      <c r="C1352" s="185">
        <v>1032.2</v>
      </c>
      <c r="D1352" s="185">
        <f t="shared" si="45"/>
        <v>0.1675149869924217</v>
      </c>
      <c r="E1352" s="185">
        <v>6.3011972274741015E-4</v>
      </c>
      <c r="F1352" s="171"/>
      <c r="G1352" s="171">
        <v>1349</v>
      </c>
      <c r="H1352" s="186">
        <f t="shared" ca="1" si="46"/>
        <v>-2.7540930772925716E-3</v>
      </c>
    </row>
    <row r="1353" spans="2:8">
      <c r="B1353" s="36">
        <v>42370</v>
      </c>
      <c r="C1353" s="185">
        <v>884.1</v>
      </c>
      <c r="D1353" s="185">
        <f t="shared" si="45"/>
        <v>-0.7338130579433062</v>
      </c>
      <c r="E1353" s="185">
        <v>6.2248882349620084E-4</v>
      </c>
      <c r="F1353" s="171"/>
      <c r="G1353" s="171">
        <v>1350</v>
      </c>
      <c r="H1353" s="186">
        <f t="shared" ca="1" si="46"/>
        <v>2.0781156834194046E-2</v>
      </c>
    </row>
    <row r="1354" spans="2:8">
      <c r="B1354" s="36">
        <v>44461</v>
      </c>
      <c r="C1354" s="185">
        <v>3321.35</v>
      </c>
      <c r="D1354" s="185">
        <f t="shared" si="45"/>
        <v>0.19986633430873163</v>
      </c>
      <c r="E1354" s="185">
        <v>6.1760009640578651E-4</v>
      </c>
      <c r="F1354" s="171"/>
      <c r="G1354" s="171">
        <v>1351</v>
      </c>
      <c r="H1354" s="186">
        <f t="shared" ca="1" si="46"/>
        <v>8.7400811566237229E-3</v>
      </c>
    </row>
    <row r="1355" spans="2:8">
      <c r="B1355" s="36">
        <v>44964</v>
      </c>
      <c r="C1355" s="185">
        <v>2768.1</v>
      </c>
      <c r="D1355" s="185">
        <f t="shared" si="45"/>
        <v>-1.8613061050840249E-2</v>
      </c>
      <c r="E1355" s="185">
        <v>6.1451706188541712E-4</v>
      </c>
      <c r="F1355" s="171"/>
      <c r="G1355" s="171">
        <v>1352</v>
      </c>
      <c r="H1355" s="186">
        <f t="shared" ca="1" si="46"/>
        <v>-3.8034213303808689E-3</v>
      </c>
    </row>
    <row r="1356" spans="2:8">
      <c r="B1356" s="36">
        <v>45372</v>
      </c>
      <c r="C1356" s="185">
        <v>2820.6</v>
      </c>
      <c r="D1356" s="185">
        <f t="shared" si="45"/>
        <v>-1.9740043094460338E-2</v>
      </c>
      <c r="E1356" s="185">
        <v>6.0307212033056091E-4</v>
      </c>
      <c r="F1356" s="171"/>
      <c r="G1356" s="171">
        <v>1353</v>
      </c>
      <c r="H1356" s="186">
        <f t="shared" ca="1" si="46"/>
        <v>-1.7338998294398776E-3</v>
      </c>
    </row>
    <row r="1357" spans="2:8">
      <c r="B1357" s="36">
        <v>45985</v>
      </c>
      <c r="C1357" s="185">
        <v>2877.4</v>
      </c>
      <c r="D1357" s="185">
        <f t="shared" si="45"/>
        <v>1.5995121510524888</v>
      </c>
      <c r="E1357" s="185">
        <v>5.9116041311690123E-4</v>
      </c>
      <c r="F1357" s="171"/>
      <c r="G1357" s="171">
        <v>1354</v>
      </c>
      <c r="H1357" s="186">
        <f t="shared" ca="1" si="46"/>
        <v>1.0313064335615157E-2</v>
      </c>
    </row>
    <row r="1358" spans="2:8">
      <c r="B1358" s="36">
        <v>43181</v>
      </c>
      <c r="C1358" s="185">
        <v>1106.9000000000001</v>
      </c>
      <c r="D1358" s="185">
        <f t="shared" si="45"/>
        <v>-0.61946507150715069</v>
      </c>
      <c r="E1358" s="185">
        <v>5.8757062146900878E-4</v>
      </c>
      <c r="F1358" s="171"/>
      <c r="G1358" s="171">
        <v>1355</v>
      </c>
      <c r="H1358" s="186">
        <f t="shared" ca="1" si="46"/>
        <v>-5.7344864297565606E-3</v>
      </c>
    </row>
    <row r="1359" spans="2:8">
      <c r="B1359" s="36">
        <v>45455</v>
      </c>
      <c r="C1359" s="185">
        <v>2908.8</v>
      </c>
      <c r="D1359" s="185">
        <f t="shared" si="45"/>
        <v>1.5026241073733118</v>
      </c>
      <c r="E1359" s="185">
        <v>5.8477520553137929E-4</v>
      </c>
      <c r="F1359" s="171"/>
      <c r="G1359" s="171">
        <v>1356</v>
      </c>
      <c r="H1359" s="186">
        <f t="shared" ca="1" si="46"/>
        <v>1.3717602308460537E-3</v>
      </c>
    </row>
    <row r="1360" spans="2:8">
      <c r="B1360" s="36">
        <v>43017</v>
      </c>
      <c r="C1360" s="185">
        <v>1162.3</v>
      </c>
      <c r="D1360" s="185">
        <f t="shared" si="45"/>
        <v>-0.65338104823678511</v>
      </c>
      <c r="E1360" s="185">
        <v>5.5954891748793826E-4</v>
      </c>
      <c r="F1360" s="171"/>
      <c r="G1360" s="171">
        <v>1357</v>
      </c>
      <c r="H1360" s="186">
        <f t="shared" ca="1" si="46"/>
        <v>-2.5463982563553929E-2</v>
      </c>
    </row>
    <row r="1361" spans="2:8">
      <c r="B1361" s="36">
        <v>45142</v>
      </c>
      <c r="C1361" s="185">
        <v>3353.25</v>
      </c>
      <c r="D1361" s="185">
        <f t="shared" si="45"/>
        <v>3.0463979727283697</v>
      </c>
      <c r="E1361" s="185">
        <v>5.5200811601119207E-4</v>
      </c>
      <c r="F1361" s="171"/>
      <c r="G1361" s="171">
        <v>1358</v>
      </c>
      <c r="H1361" s="186">
        <f t="shared" ca="1" si="46"/>
        <v>-6.4764522208657933E-3</v>
      </c>
    </row>
    <row r="1362" spans="2:8">
      <c r="B1362" s="36">
        <v>42306</v>
      </c>
      <c r="C1362" s="185">
        <v>828.7</v>
      </c>
      <c r="D1362" s="185">
        <f t="shared" si="45"/>
        <v>-0.62966438754077847</v>
      </c>
      <c r="E1362" s="185">
        <v>5.4331421672205917E-4</v>
      </c>
      <c r="F1362" s="171"/>
      <c r="G1362" s="171">
        <v>1359</v>
      </c>
      <c r="H1362" s="186">
        <f t="shared" ca="1" si="46"/>
        <v>2.3462233525692604E-3</v>
      </c>
    </row>
    <row r="1363" spans="2:8">
      <c r="B1363" s="36">
        <v>45817</v>
      </c>
      <c r="C1363" s="185">
        <v>2237.6999999999998</v>
      </c>
      <c r="D1363" s="185">
        <f t="shared" si="45"/>
        <v>1.6214854732895969</v>
      </c>
      <c r="E1363" s="185">
        <v>5.3655264922862424E-4</v>
      </c>
      <c r="F1363" s="171"/>
      <c r="G1363" s="171">
        <v>1360</v>
      </c>
      <c r="H1363" s="186">
        <f t="shared" ca="1" si="46"/>
        <v>1.1532271206795936E-2</v>
      </c>
    </row>
    <row r="1364" spans="2:8">
      <c r="B1364" s="36">
        <v>42242</v>
      </c>
      <c r="C1364" s="185">
        <v>853.6</v>
      </c>
      <c r="D1364" s="185">
        <f t="shared" si="45"/>
        <v>-0.7294367491838093</v>
      </c>
      <c r="E1364" s="185">
        <v>5.2745707085511979E-4</v>
      </c>
      <c r="F1364" s="171"/>
      <c r="G1364" s="171">
        <v>1361</v>
      </c>
      <c r="H1364" s="186">
        <f t="shared" ca="1" si="46"/>
        <v>-1.8394396668433673E-2</v>
      </c>
    </row>
    <row r="1365" spans="2:8">
      <c r="B1365" s="36">
        <v>44530</v>
      </c>
      <c r="C1365" s="185">
        <v>3154.9</v>
      </c>
      <c r="D1365" s="185">
        <f t="shared" si="45"/>
        <v>8.2614141344817524E-2</v>
      </c>
      <c r="E1365" s="185">
        <v>5.2326964243243985E-4</v>
      </c>
      <c r="F1365" s="171"/>
      <c r="G1365" s="171">
        <v>1362</v>
      </c>
      <c r="H1365" s="186">
        <f t="shared" ca="1" si="46"/>
        <v>4.1868622089116809E-3</v>
      </c>
    </row>
    <row r="1366" spans="2:8">
      <c r="B1366" s="36">
        <v>45048</v>
      </c>
      <c r="C1366" s="185">
        <v>2914.15</v>
      </c>
      <c r="D1366" s="185">
        <f t="shared" si="45"/>
        <v>-0.10118129665042247</v>
      </c>
      <c r="E1366" s="185">
        <v>5.149949358831305E-4</v>
      </c>
      <c r="F1366" s="171"/>
      <c r="G1366" s="171">
        <v>1363</v>
      </c>
      <c r="H1366" s="186">
        <f t="shared" ca="1" si="46"/>
        <v>-7.2769472190342089E-3</v>
      </c>
    </row>
    <row r="1367" spans="2:8">
      <c r="B1367" s="36">
        <v>44602</v>
      </c>
      <c r="C1367" s="185">
        <v>3242.2</v>
      </c>
      <c r="D1367" s="185">
        <f t="shared" si="45"/>
        <v>1.0604365924184169</v>
      </c>
      <c r="E1367" s="185">
        <v>5.0917282560048024E-4</v>
      </c>
      <c r="F1367" s="171"/>
      <c r="G1367" s="171">
        <v>1364</v>
      </c>
      <c r="H1367" s="186">
        <f t="shared" ca="1" si="46"/>
        <v>1.6257854606164198E-3</v>
      </c>
    </row>
    <row r="1368" spans="2:8">
      <c r="B1368" s="36">
        <v>43691</v>
      </c>
      <c r="C1368" s="185">
        <v>1573.55</v>
      </c>
      <c r="D1368" s="185">
        <f t="shared" si="45"/>
        <v>0.83408124016551066</v>
      </c>
      <c r="E1368" s="185">
        <v>5.0866316960734674E-4</v>
      </c>
      <c r="F1368" s="171"/>
      <c r="G1368" s="171">
        <v>1365</v>
      </c>
      <c r="H1368" s="186">
        <f t="shared" ca="1" si="46"/>
        <v>-1.2431043218986601E-2</v>
      </c>
    </row>
    <row r="1369" spans="2:8">
      <c r="B1369" s="36">
        <v>42412</v>
      </c>
      <c r="C1369" s="185">
        <v>857.95</v>
      </c>
      <c r="D1369" s="185">
        <f t="shared" si="45"/>
        <v>-0.71489573814073282</v>
      </c>
      <c r="E1369" s="185">
        <v>4.6644510524178296E-4</v>
      </c>
      <c r="F1369" s="171"/>
      <c r="G1369" s="171">
        <v>1366</v>
      </c>
      <c r="H1369" s="186">
        <f t="shared" ca="1" si="46"/>
        <v>2.3380901193141849E-2</v>
      </c>
    </row>
    <row r="1370" spans="2:8">
      <c r="B1370" s="36">
        <v>44391</v>
      </c>
      <c r="C1370" s="185">
        <v>3009.25</v>
      </c>
      <c r="D1370" s="185">
        <f t="shared" si="45"/>
        <v>2.4332572732458644</v>
      </c>
      <c r="E1370" s="185">
        <v>4.6544874245726714E-4</v>
      </c>
      <c r="F1370" s="171"/>
      <c r="G1370" s="171">
        <v>1367</v>
      </c>
      <c r="H1370" s="186">
        <f t="shared" ca="1" si="46"/>
        <v>1.5307797094694714E-2</v>
      </c>
    </row>
    <row r="1371" spans="2:8">
      <c r="B1371" s="36">
        <v>42494</v>
      </c>
      <c r="C1371" s="185">
        <v>876.5</v>
      </c>
      <c r="D1371" s="185">
        <f t="shared" si="45"/>
        <v>-0.70472308314243359</v>
      </c>
      <c r="E1371" s="185">
        <v>4.5656888483047286E-4</v>
      </c>
      <c r="F1371" s="171"/>
      <c r="G1371" s="171">
        <v>1368</v>
      </c>
      <c r="H1371" s="186">
        <f t="shared" ca="1" si="46"/>
        <v>2.7655046497781804E-2</v>
      </c>
    </row>
    <row r="1372" spans="2:8">
      <c r="B1372" s="36">
        <v>45995</v>
      </c>
      <c r="C1372" s="185">
        <v>2968.4</v>
      </c>
      <c r="D1372" s="185">
        <f t="shared" si="45"/>
        <v>-6.229466767753343E-2</v>
      </c>
      <c r="E1372" s="185">
        <v>4.3813824946924E-4</v>
      </c>
      <c r="F1372" s="171"/>
      <c r="G1372" s="171">
        <v>1369</v>
      </c>
      <c r="H1372" s="186">
        <f t="shared" ca="1" si="46"/>
        <v>-5.2911308028672542E-3</v>
      </c>
    </row>
    <row r="1373" spans="2:8">
      <c r="B1373" s="36">
        <v>45310</v>
      </c>
      <c r="C1373" s="185">
        <v>3165.6</v>
      </c>
      <c r="D1373" s="185">
        <f t="shared" si="45"/>
        <v>2.0634511220015476E-2</v>
      </c>
      <c r="E1373" s="185">
        <v>4.1083335966871884E-4</v>
      </c>
      <c r="F1373" s="171"/>
      <c r="G1373" s="171">
        <v>1370</v>
      </c>
      <c r="H1373" s="186">
        <f t="shared" ca="1" si="46"/>
        <v>-1.3626402741942104E-2</v>
      </c>
    </row>
    <row r="1374" spans="2:8">
      <c r="B1374" s="36">
        <v>45218</v>
      </c>
      <c r="C1374" s="185">
        <v>3101.6</v>
      </c>
      <c r="D1374" s="185">
        <f t="shared" si="45"/>
        <v>2.4874908641142408</v>
      </c>
      <c r="E1374" s="185">
        <v>4.0318028609673105E-4</v>
      </c>
      <c r="F1374" s="171"/>
      <c r="G1374" s="171">
        <v>1371</v>
      </c>
      <c r="H1374" s="186">
        <f t="shared" ca="1" si="46"/>
        <v>-1.3478041025495928E-2</v>
      </c>
    </row>
    <row r="1375" spans="2:8">
      <c r="B1375" s="36">
        <v>42481</v>
      </c>
      <c r="C1375" s="185">
        <v>889.35</v>
      </c>
      <c r="D1375" s="185">
        <f t="shared" si="45"/>
        <v>-0.22225623087013552</v>
      </c>
      <c r="E1375" s="185">
        <v>3.9370078740160038E-4</v>
      </c>
      <c r="F1375" s="171"/>
      <c r="G1375" s="171">
        <v>1372</v>
      </c>
      <c r="H1375" s="186">
        <f t="shared" ca="1" si="46"/>
        <v>-8.9341617247881613E-3</v>
      </c>
    </row>
    <row r="1376" spans="2:8">
      <c r="B1376" s="36">
        <v>42900</v>
      </c>
      <c r="C1376" s="185">
        <v>1143.5</v>
      </c>
      <c r="D1376" s="185">
        <f t="shared" si="45"/>
        <v>0.26521354281920784</v>
      </c>
      <c r="E1376" s="185">
        <v>3.9368356589829446E-4</v>
      </c>
      <c r="F1376" s="171"/>
      <c r="G1376" s="171">
        <v>1373</v>
      </c>
      <c r="H1376" s="186">
        <f t="shared" ca="1" si="46"/>
        <v>-8.971502282314513E-3</v>
      </c>
    </row>
    <row r="1377" spans="2:8">
      <c r="B1377" s="36">
        <v>42226</v>
      </c>
      <c r="C1377" s="185">
        <v>903.8</v>
      </c>
      <c r="D1377" s="185">
        <f t="shared" si="45"/>
        <v>-0.71028336966277739</v>
      </c>
      <c r="E1377" s="185">
        <v>3.8740384083226414E-4</v>
      </c>
      <c r="F1377" s="171"/>
      <c r="G1377" s="171">
        <v>1374</v>
      </c>
      <c r="H1377" s="186">
        <f t="shared" ca="1" si="46"/>
        <v>-1.5832721763241485E-2</v>
      </c>
    </row>
    <row r="1378" spans="2:8">
      <c r="B1378" s="36">
        <v>45506</v>
      </c>
      <c r="C1378" s="185">
        <v>3119.6</v>
      </c>
      <c r="D1378" s="185">
        <f t="shared" si="45"/>
        <v>1.3083354915091197</v>
      </c>
      <c r="E1378" s="185">
        <v>3.8481272447403095E-4</v>
      </c>
      <c r="F1378" s="171"/>
      <c r="G1378" s="171">
        <v>1375</v>
      </c>
      <c r="H1378" s="186">
        <f t="shared" ca="1" si="46"/>
        <v>2.46569109887981E-2</v>
      </c>
    </row>
    <row r="1379" spans="2:8">
      <c r="B1379" s="36">
        <v>43434</v>
      </c>
      <c r="C1379" s="185">
        <v>1351.45</v>
      </c>
      <c r="D1379" s="185">
        <f t="shared" si="45"/>
        <v>0.40330200924147253</v>
      </c>
      <c r="E1379" s="185">
        <v>3.7010992264702614E-4</v>
      </c>
      <c r="F1379" s="171"/>
      <c r="G1379" s="171">
        <v>1376</v>
      </c>
      <c r="H1379" s="186">
        <f t="shared" ca="1" si="46"/>
        <v>-4.56571549957621E-3</v>
      </c>
    </row>
    <row r="1380" spans="2:8">
      <c r="B1380" s="36">
        <v>42754</v>
      </c>
      <c r="C1380" s="185">
        <v>963.05</v>
      </c>
      <c r="D1380" s="185">
        <f t="shared" si="45"/>
        <v>-0.30415462427745665</v>
      </c>
      <c r="E1380" s="185">
        <v>3.6356081853111981E-4</v>
      </c>
      <c r="F1380" s="171"/>
      <c r="G1380" s="171">
        <v>1377</v>
      </c>
      <c r="H1380" s="186">
        <f t="shared" ca="1" si="46"/>
        <v>9.4614852573756576E-3</v>
      </c>
    </row>
    <row r="1381" spans="2:8">
      <c r="B1381" s="36">
        <v>43635</v>
      </c>
      <c r="C1381" s="185">
        <v>1384</v>
      </c>
      <c r="D1381" s="185">
        <f t="shared" si="45"/>
        <v>0.20373994346597085</v>
      </c>
      <c r="E1381" s="185">
        <v>3.6140224069389231E-4</v>
      </c>
      <c r="F1381" s="171"/>
      <c r="G1381" s="171">
        <v>1378</v>
      </c>
      <c r="H1381" s="186">
        <f t="shared" ca="1" si="46"/>
        <v>-1.776884153764037E-2</v>
      </c>
    </row>
    <row r="1382" spans="2:8">
      <c r="B1382" s="36">
        <v>43196</v>
      </c>
      <c r="C1382" s="185">
        <v>1149.75</v>
      </c>
      <c r="D1382" s="185">
        <f t="shared" si="45"/>
        <v>-0.34168336673346694</v>
      </c>
      <c r="E1382" s="185">
        <v>3.4802279549318393E-4</v>
      </c>
      <c r="F1382" s="171"/>
      <c r="G1382" s="171">
        <v>1379</v>
      </c>
      <c r="H1382" s="186">
        <f t="shared" ca="1" si="46"/>
        <v>5.8565821086591441E-3</v>
      </c>
    </row>
    <row r="1383" spans="2:8">
      <c r="B1383" s="36">
        <v>44042</v>
      </c>
      <c r="C1383" s="185">
        <v>1746.5</v>
      </c>
      <c r="D1383" s="185">
        <f t="shared" si="45"/>
        <v>0.49856278690634515</v>
      </c>
      <c r="E1383" s="185">
        <v>3.4366229451853429E-4</v>
      </c>
      <c r="F1383" s="171"/>
      <c r="G1383" s="171">
        <v>1380</v>
      </c>
      <c r="H1383" s="186">
        <f t="shared" ca="1" si="46"/>
        <v>-4.960236976252007E-3</v>
      </c>
    </row>
    <row r="1384" spans="2:8">
      <c r="B1384" s="36">
        <v>43203</v>
      </c>
      <c r="C1384" s="185">
        <v>1165.45</v>
      </c>
      <c r="D1384" s="185">
        <f t="shared" si="45"/>
        <v>-1.9930202245301301E-2</v>
      </c>
      <c r="E1384" s="185">
        <v>3.4333290416728121E-4</v>
      </c>
      <c r="F1384" s="171"/>
      <c r="G1384" s="171">
        <v>1381</v>
      </c>
      <c r="H1384" s="186">
        <f t="shared" ca="1" si="46"/>
        <v>-1.9042951541727762E-2</v>
      </c>
    </row>
    <row r="1385" spans="2:8">
      <c r="B1385" s="36">
        <v>43112</v>
      </c>
      <c r="C1385" s="185">
        <v>1189.1500000000001</v>
      </c>
      <c r="D1385" s="185">
        <f t="shared" si="45"/>
        <v>-0.59322352780200793</v>
      </c>
      <c r="E1385" s="185">
        <v>3.3648790746590196E-4</v>
      </c>
      <c r="F1385" s="171"/>
      <c r="G1385" s="171">
        <v>1382</v>
      </c>
      <c r="H1385" s="186">
        <f t="shared" ca="1" si="46"/>
        <v>1.1852329658290828E-2</v>
      </c>
    </row>
    <row r="1386" spans="2:8">
      <c r="B1386" s="36">
        <v>45461</v>
      </c>
      <c r="C1386" s="185">
        <v>2923.35</v>
      </c>
      <c r="D1386" s="185">
        <f t="shared" si="45"/>
        <v>0.17126086782323002</v>
      </c>
      <c r="E1386" s="185">
        <v>3.2507528059123257E-4</v>
      </c>
      <c r="F1386" s="171"/>
      <c r="G1386" s="171">
        <v>1383</v>
      </c>
      <c r="H1386" s="186">
        <f t="shared" ca="1" si="46"/>
        <v>3.350414659287277E-2</v>
      </c>
    </row>
    <row r="1387" spans="2:8">
      <c r="B1387" s="36">
        <v>45628</v>
      </c>
      <c r="C1387" s="185">
        <v>2495.9</v>
      </c>
      <c r="D1387" s="185">
        <f t="shared" si="45"/>
        <v>0.39544895448954503</v>
      </c>
      <c r="E1387" s="185">
        <v>3.2062843172625625E-4</v>
      </c>
      <c r="F1387" s="171"/>
      <c r="G1387" s="171">
        <v>1384</v>
      </c>
      <c r="H1387" s="186">
        <f t="shared" ca="1" si="46"/>
        <v>1.3380193282245302E-2</v>
      </c>
    </row>
    <row r="1388" spans="2:8">
      <c r="B1388" s="36">
        <v>43857</v>
      </c>
      <c r="C1388" s="185">
        <v>1788.6</v>
      </c>
      <c r="D1388" s="185">
        <f t="shared" si="45"/>
        <v>-0.42350647048395679</v>
      </c>
      <c r="E1388" s="185">
        <v>3.0759766225774143E-4</v>
      </c>
      <c r="F1388" s="171"/>
      <c r="G1388" s="171">
        <v>1385</v>
      </c>
      <c r="H1388" s="186">
        <f t="shared" ca="1" si="46"/>
        <v>5.8165901683418491E-3</v>
      </c>
    </row>
    <row r="1389" spans="2:8">
      <c r="B1389" s="36">
        <v>45219</v>
      </c>
      <c r="C1389" s="185">
        <v>3102.55</v>
      </c>
      <c r="D1389" s="185">
        <f t="shared" si="45"/>
        <v>1.6708130676193345</v>
      </c>
      <c r="E1389" s="185">
        <v>3.0629352592219269E-4</v>
      </c>
      <c r="F1389" s="171"/>
      <c r="G1389" s="171">
        <v>1386</v>
      </c>
      <c r="H1389" s="186">
        <f t="shared" ca="1" si="46"/>
        <v>-8.2530039818984324E-3</v>
      </c>
    </row>
    <row r="1390" spans="2:8">
      <c r="B1390" s="36">
        <v>43020</v>
      </c>
      <c r="C1390" s="185">
        <v>1161.6500000000001</v>
      </c>
      <c r="D1390" s="185">
        <f t="shared" si="45"/>
        <v>-0.50570188502616908</v>
      </c>
      <c r="E1390" s="185">
        <v>3.0138637733586189E-4</v>
      </c>
      <c r="F1390" s="171"/>
      <c r="G1390" s="171">
        <v>1387</v>
      </c>
      <c r="H1390" s="186">
        <f t="shared" ca="1" si="46"/>
        <v>-3.6994651305024429E-3</v>
      </c>
    </row>
    <row r="1391" spans="2:8">
      <c r="B1391" s="36">
        <v>45929</v>
      </c>
      <c r="C1391" s="185">
        <v>2350.1</v>
      </c>
      <c r="D1391" s="185">
        <f t="shared" si="45"/>
        <v>0.85251458300488736</v>
      </c>
      <c r="E1391" s="185">
        <v>2.9794841236052526E-4</v>
      </c>
      <c r="F1391" s="171"/>
      <c r="G1391" s="171">
        <v>1388</v>
      </c>
      <c r="H1391" s="186">
        <f t="shared" ca="1" si="46"/>
        <v>2.0513508357417977E-2</v>
      </c>
    </row>
    <row r="1392" spans="2:8">
      <c r="B1392" s="36">
        <v>43279</v>
      </c>
      <c r="C1392" s="185">
        <v>1268.5999999999999</v>
      </c>
      <c r="D1392" s="185">
        <f t="shared" si="45"/>
        <v>-0.61120475650494965</v>
      </c>
      <c r="E1392" s="185">
        <v>2.7597082594118594E-4</v>
      </c>
      <c r="F1392" s="171"/>
      <c r="G1392" s="171">
        <v>1389</v>
      </c>
      <c r="H1392" s="186">
        <f t="shared" ca="1" si="46"/>
        <v>-5.5400962988478176E-3</v>
      </c>
    </row>
    <row r="1393" spans="2:8">
      <c r="B1393" s="36">
        <v>44610</v>
      </c>
      <c r="C1393" s="185">
        <v>3262.9</v>
      </c>
      <c r="D1393" s="185">
        <f t="shared" si="45"/>
        <v>1.8180679708079632</v>
      </c>
      <c r="E1393" s="185">
        <v>2.7590435315759995E-4</v>
      </c>
      <c r="F1393" s="171"/>
      <c r="G1393" s="171">
        <v>1390</v>
      </c>
      <c r="H1393" s="186">
        <f t="shared" ca="1" si="46"/>
        <v>-3.3927975320379097E-2</v>
      </c>
    </row>
    <row r="1394" spans="2:8">
      <c r="B1394" s="36">
        <v>43200</v>
      </c>
      <c r="C1394" s="185">
        <v>1157.8499999999999</v>
      </c>
      <c r="D1394" s="185">
        <f t="shared" si="45"/>
        <v>-0.19369777158774379</v>
      </c>
      <c r="E1394" s="185">
        <v>2.5916807049367589E-4</v>
      </c>
      <c r="F1394" s="171"/>
      <c r="G1394" s="171">
        <v>1391</v>
      </c>
      <c r="H1394" s="186">
        <f t="shared" ca="1" si="46"/>
        <v>2.3865407773365158E-3</v>
      </c>
    </row>
    <row r="1395" spans="2:8">
      <c r="B1395" s="36">
        <v>43537</v>
      </c>
      <c r="C1395" s="185">
        <v>1436</v>
      </c>
      <c r="D1395" s="185">
        <f t="shared" si="45"/>
        <v>-0.42064068425724199</v>
      </c>
      <c r="E1395" s="185">
        <v>2.4379201058747537E-4</v>
      </c>
      <c r="F1395" s="171"/>
      <c r="G1395" s="171">
        <v>1392</v>
      </c>
      <c r="H1395" s="186">
        <f t="shared" ca="1" si="46"/>
        <v>2.358702784546329E-2</v>
      </c>
    </row>
    <row r="1396" spans="2:8">
      <c r="B1396" s="36">
        <v>45614</v>
      </c>
      <c r="C1396" s="185">
        <v>2478.6</v>
      </c>
      <c r="D1396" s="185">
        <f t="shared" si="45"/>
        <v>-1.5236695206499895E-2</v>
      </c>
      <c r="E1396" s="185">
        <v>2.4213075060529018E-4</v>
      </c>
      <c r="F1396" s="171"/>
      <c r="G1396" s="171">
        <v>1393</v>
      </c>
      <c r="H1396" s="186">
        <f t="shared" ca="1" si="46"/>
        <v>1.9308007974894251E-2</v>
      </c>
    </row>
    <row r="1397" spans="2:8">
      <c r="B1397" s="36">
        <v>44309</v>
      </c>
      <c r="C1397" s="185">
        <v>2516.9499999999998</v>
      </c>
      <c r="D1397" s="185">
        <f t="shared" si="45"/>
        <v>0.98356844510993746</v>
      </c>
      <c r="E1397" s="185">
        <v>2.3844059848586606E-4</v>
      </c>
      <c r="F1397" s="171"/>
      <c r="G1397" s="171">
        <v>1394</v>
      </c>
      <c r="H1397" s="186">
        <f t="shared" ca="1" si="46"/>
        <v>-4.0926711029620902E-3</v>
      </c>
    </row>
    <row r="1398" spans="2:8">
      <c r="B1398" s="36">
        <v>43280</v>
      </c>
      <c r="C1398" s="185">
        <v>1268.9000000000001</v>
      </c>
      <c r="D1398" s="185">
        <f t="shared" si="45"/>
        <v>-0.62249724808853713</v>
      </c>
      <c r="E1398" s="185">
        <v>2.364811603343701E-4</v>
      </c>
      <c r="F1398" s="171"/>
      <c r="G1398" s="171">
        <v>1395</v>
      </c>
      <c r="H1398" s="186">
        <f t="shared" ca="1" si="46"/>
        <v>-1.6383708448334717E-2</v>
      </c>
    </row>
    <row r="1399" spans="2:8">
      <c r="B1399" s="36">
        <v>45146</v>
      </c>
      <c r="C1399" s="185">
        <v>3361.3</v>
      </c>
      <c r="D1399" s="185">
        <f t="shared" si="45"/>
        <v>4.0972437287085842E-2</v>
      </c>
      <c r="E1399" s="185">
        <v>2.23177753641517E-4</v>
      </c>
      <c r="F1399" s="171"/>
      <c r="G1399" s="171">
        <v>1396</v>
      </c>
      <c r="H1399" s="186">
        <f t="shared" ca="1" si="46"/>
        <v>-1.2176174166910315E-2</v>
      </c>
    </row>
    <row r="1400" spans="2:8">
      <c r="B1400" s="36">
        <v>44518</v>
      </c>
      <c r="C1400" s="185">
        <v>3229</v>
      </c>
      <c r="D1400" s="185">
        <f t="shared" si="45"/>
        <v>0.37375026590087218</v>
      </c>
      <c r="E1400" s="185">
        <v>2.1683238856358395E-4</v>
      </c>
      <c r="F1400" s="171"/>
      <c r="G1400" s="171">
        <v>1397</v>
      </c>
      <c r="H1400" s="186">
        <f t="shared" ca="1" si="46"/>
        <v>1.1980680579671383E-2</v>
      </c>
    </row>
    <row r="1401" spans="2:8">
      <c r="B1401" s="36">
        <v>45931</v>
      </c>
      <c r="C1401" s="185">
        <v>2350.5</v>
      </c>
      <c r="D1401" s="185">
        <f t="shared" si="45"/>
        <v>0.70190427919774101</v>
      </c>
      <c r="E1401" s="185">
        <v>2.1276595744680851E-4</v>
      </c>
      <c r="F1401" s="171"/>
      <c r="G1401" s="171">
        <v>1398</v>
      </c>
      <c r="H1401" s="186">
        <f t="shared" ca="1" si="46"/>
        <v>-9.6966008198274261E-3</v>
      </c>
    </row>
    <row r="1402" spans="2:8">
      <c r="B1402" s="36">
        <v>43466</v>
      </c>
      <c r="C1402" s="185">
        <v>1381.1</v>
      </c>
      <c r="D1402" s="185">
        <f t="shared" si="45"/>
        <v>-7.9729923861515135E-3</v>
      </c>
      <c r="E1402" s="185">
        <v>1.8104790527573598E-4</v>
      </c>
      <c r="F1402" s="171"/>
      <c r="G1402" s="171">
        <v>1399</v>
      </c>
      <c r="H1402" s="186">
        <f t="shared" ca="1" si="46"/>
        <v>5.5386152411673537E-3</v>
      </c>
    </row>
    <row r="1403" spans="2:8">
      <c r="B1403" s="36">
        <v>43469</v>
      </c>
      <c r="C1403" s="185">
        <v>1392.2</v>
      </c>
      <c r="D1403" s="185">
        <f t="shared" si="45"/>
        <v>-0.51880270980229504</v>
      </c>
      <c r="E1403" s="185">
        <v>1.7960415244800459E-4</v>
      </c>
      <c r="F1403" s="171"/>
      <c r="G1403" s="171">
        <v>1400</v>
      </c>
      <c r="H1403" s="186">
        <f t="shared" ca="1" si="46"/>
        <v>2.1026846831459285E-2</v>
      </c>
    </row>
    <row r="1404" spans="2:8">
      <c r="B1404" s="36">
        <v>45989</v>
      </c>
      <c r="C1404" s="185">
        <v>2893.2</v>
      </c>
      <c r="D1404" s="185">
        <f t="shared" si="45"/>
        <v>2.2836227442969013</v>
      </c>
      <c r="E1404" s="185">
        <v>1.728488954955578E-4</v>
      </c>
      <c r="F1404" s="171"/>
      <c r="G1404" s="171">
        <v>1401</v>
      </c>
      <c r="H1404" s="186">
        <f t="shared" ca="1" si="46"/>
        <v>2.9176272428921263E-2</v>
      </c>
    </row>
    <row r="1405" spans="2:8">
      <c r="B1405" s="36">
        <v>42367</v>
      </c>
      <c r="C1405" s="185">
        <v>881.1</v>
      </c>
      <c r="D1405" s="185">
        <f t="shared" si="45"/>
        <v>-0.51159890246944373</v>
      </c>
      <c r="E1405" s="185">
        <v>1.7027073046140787E-4</v>
      </c>
      <c r="F1405" s="171"/>
      <c r="G1405" s="171">
        <v>1402</v>
      </c>
      <c r="H1405" s="186">
        <f t="shared" ca="1" si="46"/>
        <v>-6.9567886268837231E-3</v>
      </c>
    </row>
    <row r="1406" spans="2:8">
      <c r="B1406" s="36">
        <v>43819</v>
      </c>
      <c r="C1406" s="185">
        <v>1804.05</v>
      </c>
      <c r="D1406" s="185">
        <f t="shared" si="45"/>
        <v>-1.6601643562712709E-3</v>
      </c>
      <c r="E1406" s="185">
        <v>1.6632016632014111E-4</v>
      </c>
      <c r="F1406" s="171"/>
      <c r="G1406" s="171">
        <v>1403</v>
      </c>
      <c r="H1406" s="186">
        <f t="shared" ca="1" si="46"/>
        <v>3.1515118452490672E-2</v>
      </c>
    </row>
    <row r="1407" spans="2:8">
      <c r="B1407" s="36">
        <v>43825</v>
      </c>
      <c r="C1407" s="185">
        <v>1807.05</v>
      </c>
      <c r="D1407" s="185">
        <f t="shared" si="45"/>
        <v>-0.35314647766323026</v>
      </c>
      <c r="E1407" s="185">
        <v>1.6604400166041485E-4</v>
      </c>
      <c r="F1407" s="171"/>
      <c r="G1407" s="171">
        <v>1404</v>
      </c>
      <c r="H1407" s="186">
        <f t="shared" ca="1" si="46"/>
        <v>2.0542236326861099E-2</v>
      </c>
    </row>
    <row r="1408" spans="2:8">
      <c r="B1408" s="36">
        <v>44949</v>
      </c>
      <c r="C1408" s="185">
        <v>2793.6</v>
      </c>
      <c r="D1408" s="185">
        <f t="shared" si="45"/>
        <v>-1.3263161612772259E-2</v>
      </c>
      <c r="E1408" s="185">
        <v>1.6110842597061314E-4</v>
      </c>
      <c r="F1408" s="171"/>
      <c r="G1408" s="171">
        <v>1405</v>
      </c>
      <c r="H1408" s="186">
        <f t="shared" ca="1" si="46"/>
        <v>-6.0434778242928738E-3</v>
      </c>
    </row>
    <row r="1409" spans="2:8">
      <c r="B1409" s="36">
        <v>45378</v>
      </c>
      <c r="C1409" s="185">
        <v>2831.15</v>
      </c>
      <c r="D1409" s="185">
        <f t="shared" si="45"/>
        <v>5.6162799373274709E-2</v>
      </c>
      <c r="E1409" s="185">
        <v>1.589712791889896E-4</v>
      </c>
      <c r="F1409" s="171"/>
      <c r="G1409" s="171">
        <v>1406</v>
      </c>
      <c r="H1409" s="186">
        <f t="shared" ca="1" si="46"/>
        <v>1.9503148304017066E-2</v>
      </c>
    </row>
    <row r="1410" spans="2:8">
      <c r="B1410" s="36">
        <v>46171</v>
      </c>
      <c r="C1410" s="185">
        <v>2680.6</v>
      </c>
      <c r="D1410" s="185">
        <f t="shared" si="45"/>
        <v>0.90776457191658966</v>
      </c>
      <c r="E1410" s="185">
        <v>1.1192776927945645E-4</v>
      </c>
      <c r="F1410" s="171"/>
      <c r="G1410" s="171">
        <v>1407</v>
      </c>
      <c r="H1410" s="186">
        <f t="shared" ca="1" si="46"/>
        <v>-7.450110993775883E-3</v>
      </c>
    </row>
    <row r="1411" spans="2:8">
      <c r="B1411" s="36">
        <v>43524</v>
      </c>
      <c r="C1411" s="185">
        <v>1405.1</v>
      </c>
      <c r="D1411" s="185">
        <f t="shared" si="45"/>
        <v>0.42310224337874097</v>
      </c>
      <c r="E1411" s="185">
        <v>1.0676536531539455E-4</v>
      </c>
      <c r="F1411" s="171"/>
      <c r="G1411" s="171">
        <v>1408</v>
      </c>
      <c r="H1411" s="186">
        <f t="shared" ca="1" si="46"/>
        <v>-1.4322090512876626E-2</v>
      </c>
    </row>
    <row r="1412" spans="2:8">
      <c r="B1412" s="36">
        <v>42544</v>
      </c>
      <c r="C1412" s="185">
        <v>987.35</v>
      </c>
      <c r="D1412" s="185">
        <f t="shared" ref="D1412:D1475" si="47">(C1412-C1413)/C1413</f>
        <v>-0.60168226561239313</v>
      </c>
      <c r="E1412" s="185">
        <v>1.0129146619399618E-4</v>
      </c>
      <c r="F1412" s="171"/>
      <c r="G1412" s="171">
        <v>1409</v>
      </c>
      <c r="H1412" s="186">
        <f t="shared" ca="1" si="46"/>
        <v>2.7507676576826189E-2</v>
      </c>
    </row>
    <row r="1413" spans="2:8">
      <c r="B1413" s="36">
        <v>45615</v>
      </c>
      <c r="C1413" s="185">
        <v>2478.8000000000002</v>
      </c>
      <c r="D1413" s="185">
        <f t="shared" si="47"/>
        <v>-0.12857921288077198</v>
      </c>
      <c r="E1413" s="185">
        <v>8.0690712499101455E-5</v>
      </c>
      <c r="F1413" s="171"/>
      <c r="G1413" s="171">
        <v>1410</v>
      </c>
      <c r="H1413" s="186">
        <f t="shared" ref="H1413:H1476" ca="1" si="48">_xlfn.NORM.INV(RAND(),N$6,N$7)</f>
        <v>-2.0969181815770767E-2</v>
      </c>
    </row>
    <row r="1414" spans="2:8">
      <c r="B1414" s="36">
        <v>44988</v>
      </c>
      <c r="C1414" s="185">
        <v>2844.55</v>
      </c>
      <c r="D1414" s="185">
        <f t="shared" si="47"/>
        <v>-4.5148621204746477E-2</v>
      </c>
      <c r="E1414" s="185">
        <v>7.0314834672340905E-5</v>
      </c>
      <c r="F1414" s="171"/>
      <c r="G1414" s="171">
        <v>1411</v>
      </c>
      <c r="H1414" s="186">
        <f t="shared" ca="1" si="48"/>
        <v>1.2258277370873838E-3</v>
      </c>
    </row>
    <row r="1415" spans="2:8">
      <c r="B1415" s="36">
        <v>44420</v>
      </c>
      <c r="C1415" s="185">
        <v>2979.05</v>
      </c>
      <c r="D1415" s="185">
        <f t="shared" si="47"/>
        <v>-9.2278862853834645E-2</v>
      </c>
      <c r="E1415" s="185">
        <v>6.7140003692791797E-5</v>
      </c>
      <c r="F1415" s="171"/>
      <c r="G1415" s="171">
        <v>1412</v>
      </c>
      <c r="H1415" s="186">
        <f t="shared" ca="1" si="48"/>
        <v>1.0655039108775546E-2</v>
      </c>
    </row>
    <row r="1416" spans="2:8">
      <c r="B1416" s="36">
        <v>44557</v>
      </c>
      <c r="C1416" s="185">
        <v>3281.9</v>
      </c>
      <c r="D1416" s="185">
        <f t="shared" si="47"/>
        <v>0.12290005816539511</v>
      </c>
      <c r="E1416" s="185">
        <v>6.0944022915035759E-5</v>
      </c>
      <c r="F1416" s="171"/>
      <c r="G1416" s="171">
        <v>1413</v>
      </c>
      <c r="H1416" s="186">
        <f t="shared" ca="1" si="48"/>
        <v>-2.5168065808660101E-3</v>
      </c>
    </row>
    <row r="1417" spans="2:8">
      <c r="B1417" s="36">
        <v>44942</v>
      </c>
      <c r="C1417" s="185">
        <v>2922.7</v>
      </c>
      <c r="D1417" s="185">
        <f t="shared" si="47"/>
        <v>0.32976932526502556</v>
      </c>
      <c r="E1417" s="185">
        <v>5.1325041487617386E-5</v>
      </c>
      <c r="F1417" s="171"/>
      <c r="G1417" s="171">
        <v>1414</v>
      </c>
      <c r="H1417" s="186">
        <f t="shared" ca="1" si="48"/>
        <v>1.5472352697327796E-2</v>
      </c>
    </row>
    <row r="1418" spans="2:8">
      <c r="B1418" s="36">
        <v>46119</v>
      </c>
      <c r="C1418" s="185">
        <v>2197.9</v>
      </c>
      <c r="D1418" s="185">
        <f t="shared" si="47"/>
        <v>-0.22884760451204322</v>
      </c>
      <c r="E1418" s="185">
        <v>4.5500045500004116E-5</v>
      </c>
      <c r="F1418" s="171"/>
      <c r="G1418" s="171">
        <v>1415</v>
      </c>
      <c r="H1418" s="186">
        <f t="shared" ca="1" si="48"/>
        <v>-7.1689734173935376E-3</v>
      </c>
    </row>
    <row r="1419" spans="2:8">
      <c r="B1419" s="36">
        <v>44207</v>
      </c>
      <c r="C1419" s="185">
        <v>2850.15</v>
      </c>
      <c r="D1419" s="185">
        <f t="shared" si="47"/>
        <v>9.0569936291109557E-2</v>
      </c>
      <c r="E1419" s="185">
        <v>3.5087103734990282E-5</v>
      </c>
      <c r="F1419" s="171"/>
      <c r="G1419" s="171">
        <v>1416</v>
      </c>
      <c r="H1419" s="186">
        <f t="shared" ca="1" si="48"/>
        <v>1.2086755103794269E-2</v>
      </c>
    </row>
    <row r="1420" spans="2:8">
      <c r="B1420" s="36">
        <v>44315</v>
      </c>
      <c r="C1420" s="185">
        <v>2613.4499999999998</v>
      </c>
      <c r="D1420" s="185">
        <f t="shared" si="47"/>
        <v>-8.5262771040058929E-2</v>
      </c>
      <c r="E1420" s="185">
        <v>1.9132164995686519E-5</v>
      </c>
      <c r="F1420" s="171"/>
      <c r="G1420" s="171">
        <v>1417</v>
      </c>
      <c r="H1420" s="186">
        <f t="shared" ca="1" si="48"/>
        <v>-1.5514749904564917E-2</v>
      </c>
    </row>
    <row r="1421" spans="2:8">
      <c r="B1421" s="36">
        <v>45469</v>
      </c>
      <c r="C1421" s="185">
        <v>2857.05</v>
      </c>
      <c r="D1421" s="185">
        <f t="shared" si="47"/>
        <v>-9.7569449928141525E-2</v>
      </c>
      <c r="E1421" s="185">
        <v>1.7500875043815854E-5</v>
      </c>
      <c r="F1421" s="171"/>
      <c r="G1421" s="171">
        <v>1418</v>
      </c>
      <c r="H1421" s="186">
        <f t="shared" ca="1" si="48"/>
        <v>-1.0955125836826073E-2</v>
      </c>
    </row>
    <row r="1422" spans="2:8">
      <c r="B1422" s="36">
        <v>45209</v>
      </c>
      <c r="C1422" s="185">
        <v>3165.95</v>
      </c>
      <c r="D1422" s="185">
        <f t="shared" si="47"/>
        <v>0.28673616614846881</v>
      </c>
      <c r="E1422" s="185">
        <v>0</v>
      </c>
      <c r="F1422" s="171"/>
      <c r="G1422" s="171">
        <v>1419</v>
      </c>
      <c r="H1422" s="186">
        <f t="shared" ca="1" si="48"/>
        <v>2.4923812666967839E-2</v>
      </c>
    </row>
    <row r="1423" spans="2:8">
      <c r="B1423" s="36">
        <v>44243</v>
      </c>
      <c r="C1423" s="185">
        <v>2460.4499999999998</v>
      </c>
      <c r="D1423" s="185">
        <f t="shared" si="47"/>
        <v>0.30955105516672426</v>
      </c>
      <c r="E1423" s="185">
        <v>0</v>
      </c>
      <c r="F1423" s="171"/>
      <c r="G1423" s="171">
        <v>1420</v>
      </c>
      <c r="H1423" s="186">
        <f t="shared" ca="1" si="48"/>
        <v>-8.4672829545384479E-3</v>
      </c>
    </row>
    <row r="1424" spans="2:8">
      <c r="B1424" s="36">
        <v>43896</v>
      </c>
      <c r="C1424" s="185">
        <v>1878.85</v>
      </c>
      <c r="D1424" s="185">
        <f t="shared" si="47"/>
        <v>1.1427268061812168</v>
      </c>
      <c r="E1424" s="185">
        <v>0</v>
      </c>
      <c r="F1424" s="171"/>
      <c r="G1424" s="171">
        <v>1421</v>
      </c>
      <c r="H1424" s="186">
        <f t="shared" ca="1" si="48"/>
        <v>1.0902366061738979E-2</v>
      </c>
    </row>
    <row r="1425" spans="2:8">
      <c r="B1425" s="36">
        <v>42732</v>
      </c>
      <c r="C1425" s="185">
        <v>876.85</v>
      </c>
      <c r="D1425" s="185">
        <f t="shared" si="47"/>
        <v>-1.1391467790624822E-3</v>
      </c>
      <c r="E1425" s="185">
        <v>0</v>
      </c>
      <c r="F1425" s="171"/>
      <c r="G1425" s="171">
        <v>1422</v>
      </c>
      <c r="H1425" s="186">
        <f t="shared" ca="1" si="48"/>
        <v>2.8691421687327572E-3</v>
      </c>
    </row>
    <row r="1426" spans="2:8">
      <c r="B1426" s="36">
        <v>42380</v>
      </c>
      <c r="C1426" s="185">
        <v>877.85</v>
      </c>
      <c r="D1426" s="185">
        <f t="shared" si="47"/>
        <v>-0.49008161250036303</v>
      </c>
      <c r="E1426" s="185">
        <v>0</v>
      </c>
      <c r="F1426" s="171"/>
      <c r="G1426" s="171">
        <v>1423</v>
      </c>
      <c r="H1426" s="186">
        <f t="shared" ca="1" si="48"/>
        <v>1.0277620152328869E-2</v>
      </c>
    </row>
    <row r="1427" spans="2:8">
      <c r="B1427" s="36">
        <v>43805</v>
      </c>
      <c r="C1427" s="185">
        <v>1721.55</v>
      </c>
      <c r="D1427" s="185">
        <f t="shared" si="47"/>
        <v>-0.45952437014363079</v>
      </c>
      <c r="E1427" s="185">
        <v>-2.9042750929341618E-5</v>
      </c>
      <c r="F1427" s="171"/>
      <c r="G1427" s="171">
        <v>1424</v>
      </c>
      <c r="H1427" s="186">
        <f t="shared" ca="1" si="48"/>
        <v>-9.8569184029352989E-3</v>
      </c>
    </row>
    <row r="1428" spans="2:8">
      <c r="B1428" s="36">
        <v>45203</v>
      </c>
      <c r="C1428" s="185">
        <v>3185.25</v>
      </c>
      <c r="D1428" s="185">
        <f t="shared" si="47"/>
        <v>0.23292045674472614</v>
      </c>
      <c r="E1428" s="185">
        <v>-3.1393724394464988E-5</v>
      </c>
      <c r="F1428" s="171"/>
      <c r="G1428" s="171">
        <v>1425</v>
      </c>
      <c r="H1428" s="186">
        <f t="shared" ca="1" si="48"/>
        <v>-3.1018774492206504E-2</v>
      </c>
    </row>
    <row r="1429" spans="2:8">
      <c r="B1429" s="36">
        <v>44182</v>
      </c>
      <c r="C1429" s="185">
        <v>2583.5</v>
      </c>
      <c r="D1429" s="185">
        <f t="shared" si="47"/>
        <v>1.0144249512670565</v>
      </c>
      <c r="E1429" s="185">
        <v>-3.8705681994081532E-5</v>
      </c>
      <c r="F1429" s="171"/>
      <c r="G1429" s="171">
        <v>1426</v>
      </c>
      <c r="H1429" s="186">
        <f t="shared" ca="1" si="48"/>
        <v>1.1132597403642737E-2</v>
      </c>
    </row>
    <row r="1430" spans="2:8">
      <c r="B1430" s="36">
        <v>43269</v>
      </c>
      <c r="C1430" s="185">
        <v>1282.5</v>
      </c>
      <c r="D1430" s="185">
        <f t="shared" si="47"/>
        <v>7.6419488858114018E-2</v>
      </c>
      <c r="E1430" s="185">
        <v>-3.898483489918875E-5</v>
      </c>
      <c r="F1430" s="171"/>
      <c r="G1430" s="171">
        <v>1427</v>
      </c>
      <c r="H1430" s="186">
        <f t="shared" ca="1" si="48"/>
        <v>1.8179440558196793E-3</v>
      </c>
    </row>
    <row r="1431" spans="2:8">
      <c r="B1431" s="36">
        <v>43035</v>
      </c>
      <c r="C1431" s="185">
        <v>1191.45</v>
      </c>
      <c r="D1431" s="185">
        <f t="shared" si="47"/>
        <v>-0.49299999999999999</v>
      </c>
      <c r="E1431" s="185">
        <v>-4.1963911036470437E-5</v>
      </c>
      <c r="F1431" s="171"/>
      <c r="G1431" s="171">
        <v>1428</v>
      </c>
      <c r="H1431" s="186">
        <f t="shared" ca="1" si="48"/>
        <v>-1.1899305893233158E-2</v>
      </c>
    </row>
    <row r="1432" spans="2:8">
      <c r="B1432" s="36">
        <v>45930</v>
      </c>
      <c r="C1432" s="185">
        <v>2350</v>
      </c>
      <c r="D1432" s="185">
        <f t="shared" si="47"/>
        <v>-0.30100090721158845</v>
      </c>
      <c r="E1432" s="185">
        <v>-4.2551380792268011E-5</v>
      </c>
      <c r="F1432" s="171"/>
      <c r="G1432" s="171">
        <v>1429</v>
      </c>
      <c r="H1432" s="186">
        <f t="shared" ca="1" si="48"/>
        <v>7.902201258497249E-3</v>
      </c>
    </row>
    <row r="1433" spans="2:8">
      <c r="B1433" s="36">
        <v>44454</v>
      </c>
      <c r="C1433" s="185">
        <v>3361.95</v>
      </c>
      <c r="D1433" s="185">
        <f t="shared" si="47"/>
        <v>3.4509815988676112E-2</v>
      </c>
      <c r="E1433" s="185">
        <v>-4.4614972784893657E-5</v>
      </c>
      <c r="F1433" s="171"/>
      <c r="G1433" s="171">
        <v>1430</v>
      </c>
      <c r="H1433" s="186">
        <f t="shared" ca="1" si="48"/>
        <v>3.0675270726817541E-2</v>
      </c>
    </row>
    <row r="1434" spans="2:8">
      <c r="B1434" s="36">
        <v>45560</v>
      </c>
      <c r="C1434" s="185">
        <v>3249.8</v>
      </c>
      <c r="D1434" s="185">
        <f t="shared" si="47"/>
        <v>2.1566779990286546</v>
      </c>
      <c r="E1434" s="185">
        <v>-4.6154556223829967E-5</v>
      </c>
      <c r="F1434" s="171"/>
      <c r="G1434" s="171">
        <v>1431</v>
      </c>
      <c r="H1434" s="186">
        <f t="shared" ca="1" si="48"/>
        <v>8.0012703980120929E-4</v>
      </c>
    </row>
    <row r="1435" spans="2:8">
      <c r="B1435" s="36">
        <v>42569</v>
      </c>
      <c r="C1435" s="185">
        <v>1029.5</v>
      </c>
      <c r="D1435" s="185">
        <f t="shared" si="47"/>
        <v>-0.68356181225794554</v>
      </c>
      <c r="E1435" s="185">
        <v>-4.8564906998158929E-5</v>
      </c>
      <c r="F1435" s="171"/>
      <c r="G1435" s="171">
        <v>1432</v>
      </c>
      <c r="H1435" s="186">
        <f t="shared" ca="1" si="48"/>
        <v>1.5828190328281352E-2</v>
      </c>
    </row>
    <row r="1436" spans="2:8">
      <c r="B1436" s="36">
        <v>45166</v>
      </c>
      <c r="C1436" s="185">
        <v>3253.4</v>
      </c>
      <c r="D1436" s="185">
        <f t="shared" si="47"/>
        <v>1.7067681683930278</v>
      </c>
      <c r="E1436" s="185">
        <v>-7.6836783304903722E-5</v>
      </c>
      <c r="F1436" s="171"/>
      <c r="G1436" s="171">
        <v>1433</v>
      </c>
      <c r="H1436" s="186">
        <f t="shared" ca="1" si="48"/>
        <v>-1.7911138489825496E-2</v>
      </c>
    </row>
    <row r="1437" spans="2:8">
      <c r="B1437" s="36">
        <v>43403</v>
      </c>
      <c r="C1437" s="185">
        <v>1201.95</v>
      </c>
      <c r="D1437" s="185">
        <f t="shared" si="47"/>
        <v>-0.6430787961574439</v>
      </c>
      <c r="E1437" s="185">
        <v>-8.3191215007619534E-5</v>
      </c>
      <c r="F1437" s="171"/>
      <c r="G1437" s="171">
        <v>1434</v>
      </c>
      <c r="H1437" s="186">
        <f t="shared" ca="1" si="48"/>
        <v>1.2410121640180793E-2</v>
      </c>
    </row>
    <row r="1438" spans="2:8">
      <c r="B1438" s="36">
        <v>44559</v>
      </c>
      <c r="C1438" s="185">
        <v>3367.55</v>
      </c>
      <c r="D1438" s="185">
        <f t="shared" si="47"/>
        <v>0.29252705918477012</v>
      </c>
      <c r="E1438" s="185">
        <v>-8.9077601437037625E-5</v>
      </c>
      <c r="F1438" s="171"/>
      <c r="G1438" s="171">
        <v>1435</v>
      </c>
      <c r="H1438" s="186">
        <f t="shared" ca="1" si="48"/>
        <v>-8.3183917319678714E-3</v>
      </c>
    </row>
    <row r="1439" spans="2:8">
      <c r="B1439" s="36">
        <v>46162</v>
      </c>
      <c r="C1439" s="185">
        <v>2605.4</v>
      </c>
      <c r="D1439" s="185">
        <f t="shared" si="47"/>
        <v>8.4905267541120169E-2</v>
      </c>
      <c r="E1439" s="185">
        <v>-1.1513221015455623E-4</v>
      </c>
      <c r="F1439" s="171"/>
      <c r="G1439" s="171">
        <v>1436</v>
      </c>
      <c r="H1439" s="186">
        <f t="shared" ca="1" si="48"/>
        <v>-5.9633009461739044E-3</v>
      </c>
    </row>
    <row r="1440" spans="2:8">
      <c r="B1440" s="36">
        <v>46064</v>
      </c>
      <c r="C1440" s="185">
        <v>2401.5</v>
      </c>
      <c r="D1440" s="185">
        <f t="shared" si="47"/>
        <v>2.1523671785273684E-2</v>
      </c>
      <c r="E1440" s="185">
        <v>-1.2490632025988088E-4</v>
      </c>
      <c r="F1440" s="171"/>
      <c r="G1440" s="171">
        <v>1437</v>
      </c>
      <c r="H1440" s="186">
        <f t="shared" ca="1" si="48"/>
        <v>1.8906324986098951E-2</v>
      </c>
    </row>
    <row r="1441" spans="2:8">
      <c r="B1441" s="36">
        <v>45943</v>
      </c>
      <c r="C1441" s="185">
        <v>2350.9</v>
      </c>
      <c r="D1441" s="185">
        <f t="shared" si="47"/>
        <v>1.0322441217150762</v>
      </c>
      <c r="E1441" s="185">
        <v>-1.2759441987058827E-4</v>
      </c>
      <c r="F1441" s="171"/>
      <c r="G1441" s="171">
        <v>1438</v>
      </c>
      <c r="H1441" s="186">
        <f t="shared" ca="1" si="48"/>
        <v>-3.1163443508557733E-3</v>
      </c>
    </row>
    <row r="1442" spans="2:8">
      <c r="B1442" s="36">
        <v>43193</v>
      </c>
      <c r="C1442" s="185">
        <v>1156.8</v>
      </c>
      <c r="D1442" s="185">
        <f t="shared" si="47"/>
        <v>-0.61012436385696467</v>
      </c>
      <c r="E1442" s="185">
        <v>-1.2965123816940311E-4</v>
      </c>
      <c r="F1442" s="171"/>
      <c r="G1442" s="171">
        <v>1439</v>
      </c>
      <c r="H1442" s="186">
        <f t="shared" ca="1" si="48"/>
        <v>1.860490458196108E-3</v>
      </c>
    </row>
    <row r="1443" spans="2:8">
      <c r="B1443" s="36">
        <v>45994</v>
      </c>
      <c r="C1443" s="185">
        <v>2967.1</v>
      </c>
      <c r="D1443" s="185">
        <f t="shared" si="47"/>
        <v>4.1873694190354131E-2</v>
      </c>
      <c r="E1443" s="185">
        <v>-1.3479359730415871E-4</v>
      </c>
      <c r="F1443" s="171"/>
      <c r="G1443" s="171">
        <v>1440</v>
      </c>
      <c r="H1443" s="186">
        <f t="shared" ca="1" si="48"/>
        <v>-1.6511018057318416E-2</v>
      </c>
    </row>
    <row r="1444" spans="2:8">
      <c r="B1444" s="36">
        <v>44713</v>
      </c>
      <c r="C1444" s="185">
        <v>2847.85</v>
      </c>
      <c r="D1444" s="185">
        <f t="shared" si="47"/>
        <v>1.7696085582300023</v>
      </c>
      <c r="E1444" s="185">
        <v>-1.4043711050648326E-4</v>
      </c>
      <c r="F1444" s="171"/>
      <c r="G1444" s="171">
        <v>1441</v>
      </c>
      <c r="H1444" s="186">
        <f t="shared" ca="1" si="48"/>
        <v>-4.0025152596061802E-3</v>
      </c>
    </row>
    <row r="1445" spans="2:8">
      <c r="B1445" s="36">
        <v>42802</v>
      </c>
      <c r="C1445" s="185">
        <v>1028.25</v>
      </c>
      <c r="D1445" s="185">
        <f t="shared" si="47"/>
        <v>-0.69034676945778684</v>
      </c>
      <c r="E1445" s="185">
        <v>-1.4585764294057851E-4</v>
      </c>
      <c r="F1445" s="171"/>
      <c r="G1445" s="171">
        <v>1442</v>
      </c>
      <c r="H1445" s="186">
        <f t="shared" ca="1" si="48"/>
        <v>1.1897895478550394E-2</v>
      </c>
    </row>
    <row r="1446" spans="2:8">
      <c r="B1446" s="36">
        <v>44482</v>
      </c>
      <c r="C1446" s="185">
        <v>3320.65</v>
      </c>
      <c r="D1446" s="185">
        <f t="shared" si="47"/>
        <v>0.46177888319063232</v>
      </c>
      <c r="E1446" s="185">
        <v>-1.5055026120470319E-4</v>
      </c>
      <c r="F1446" s="171"/>
      <c r="G1446" s="171">
        <v>1443</v>
      </c>
      <c r="H1446" s="186">
        <f t="shared" ca="1" si="48"/>
        <v>7.0315662917014932E-3</v>
      </c>
    </row>
    <row r="1447" spans="2:8">
      <c r="B1447" s="36">
        <v>45723</v>
      </c>
      <c r="C1447" s="185">
        <v>2271.65</v>
      </c>
      <c r="D1447" s="185">
        <f t="shared" si="47"/>
        <v>-7.483505742445222E-2</v>
      </c>
      <c r="E1447" s="185">
        <v>-1.5404929577460786E-4</v>
      </c>
      <c r="F1447" s="171"/>
      <c r="G1447" s="171">
        <v>1444</v>
      </c>
      <c r="H1447" s="186">
        <f t="shared" ca="1" si="48"/>
        <v>-1.1110321095184388E-2</v>
      </c>
    </row>
    <row r="1448" spans="2:8">
      <c r="B1448" s="36">
        <v>45924</v>
      </c>
      <c r="C1448" s="185">
        <v>2455.4</v>
      </c>
      <c r="D1448" s="185">
        <f t="shared" si="47"/>
        <v>-0.1922096293981215</v>
      </c>
      <c r="E1448" s="185">
        <v>-1.6287971333174155E-4</v>
      </c>
      <c r="F1448" s="171"/>
      <c r="G1448" s="171">
        <v>1445</v>
      </c>
      <c r="H1448" s="186">
        <f t="shared" ca="1" si="48"/>
        <v>2.1525833980616031E-2</v>
      </c>
    </row>
    <row r="1449" spans="2:8">
      <c r="B1449" s="36">
        <v>44434</v>
      </c>
      <c r="C1449" s="185">
        <v>3039.65</v>
      </c>
      <c r="D1449" s="185">
        <f t="shared" si="47"/>
        <v>5.6314289685849381E-2</v>
      </c>
      <c r="E1449" s="185">
        <v>-1.9735219143159579E-4</v>
      </c>
      <c r="F1449" s="171"/>
      <c r="G1449" s="171">
        <v>1446</v>
      </c>
      <c r="H1449" s="186">
        <f t="shared" ca="1" si="48"/>
        <v>-6.5899809152027483E-3</v>
      </c>
    </row>
    <row r="1450" spans="2:8">
      <c r="B1450" s="36">
        <v>45385</v>
      </c>
      <c r="C1450" s="185">
        <v>2877.6</v>
      </c>
      <c r="D1450" s="185">
        <f t="shared" si="47"/>
        <v>2.7842766060043152E-2</v>
      </c>
      <c r="E1450" s="185">
        <v>-2.4319911058620462E-4</v>
      </c>
      <c r="F1450" s="171"/>
      <c r="G1450" s="171">
        <v>1447</v>
      </c>
      <c r="H1450" s="186">
        <f t="shared" ca="1" si="48"/>
        <v>2.7142487193980349E-2</v>
      </c>
    </row>
    <row r="1451" spans="2:8">
      <c r="B1451" s="36">
        <v>45009</v>
      </c>
      <c r="C1451" s="185">
        <v>2799.65</v>
      </c>
      <c r="D1451" s="185">
        <f t="shared" si="47"/>
        <v>0.55298848980723903</v>
      </c>
      <c r="E1451" s="185">
        <v>-2.678188830167119E-4</v>
      </c>
      <c r="F1451" s="171"/>
      <c r="G1451" s="171">
        <v>1448</v>
      </c>
      <c r="H1451" s="186">
        <f t="shared" ca="1" si="48"/>
        <v>-3.7930311574426263E-3</v>
      </c>
    </row>
    <row r="1452" spans="2:8">
      <c r="B1452" s="36">
        <v>44057</v>
      </c>
      <c r="C1452" s="185">
        <v>1802.75</v>
      </c>
      <c r="D1452" s="185">
        <f t="shared" si="47"/>
        <v>-0.30636783378222393</v>
      </c>
      <c r="E1452" s="185">
        <v>-3.0499639549711892E-4</v>
      </c>
      <c r="F1452" s="171"/>
      <c r="G1452" s="171">
        <v>1449</v>
      </c>
      <c r="H1452" s="186">
        <f t="shared" ca="1" si="48"/>
        <v>1.1729643317869189E-2</v>
      </c>
    </row>
    <row r="1453" spans="2:8">
      <c r="B1453" s="36">
        <v>44320</v>
      </c>
      <c r="C1453" s="185">
        <v>2599</v>
      </c>
      <c r="D1453" s="185">
        <f t="shared" si="47"/>
        <v>-7.7207122441371165E-2</v>
      </c>
      <c r="E1453" s="185">
        <v>-3.077159781522355E-4</v>
      </c>
      <c r="F1453" s="171"/>
      <c r="G1453" s="171">
        <v>1450</v>
      </c>
      <c r="H1453" s="186">
        <f t="shared" ca="1" si="48"/>
        <v>1.6225186515773322E-2</v>
      </c>
    </row>
    <row r="1454" spans="2:8">
      <c r="B1454" s="36">
        <v>45022</v>
      </c>
      <c r="C1454" s="185">
        <v>2816.45</v>
      </c>
      <c r="D1454" s="185">
        <f t="shared" si="47"/>
        <v>6.064999623408892E-2</v>
      </c>
      <c r="E1454" s="185">
        <v>-3.3719031731393231E-4</v>
      </c>
      <c r="F1454" s="171"/>
      <c r="G1454" s="171">
        <v>1451</v>
      </c>
      <c r="H1454" s="186">
        <f t="shared" ca="1" si="48"/>
        <v>-1.1723554141200325E-2</v>
      </c>
    </row>
    <row r="1455" spans="2:8">
      <c r="B1455" s="36">
        <v>46176</v>
      </c>
      <c r="C1455" s="185">
        <v>2655.4</v>
      </c>
      <c r="D1455" s="185">
        <f t="shared" si="47"/>
        <v>1.0252450139190785</v>
      </c>
      <c r="E1455" s="185">
        <v>-3.3881715167717911E-4</v>
      </c>
      <c r="F1455" s="171"/>
      <c r="G1455" s="171">
        <v>1452</v>
      </c>
      <c r="H1455" s="186">
        <f t="shared" ca="1" si="48"/>
        <v>-6.4098139486356486E-3</v>
      </c>
    </row>
    <row r="1456" spans="2:8">
      <c r="B1456" s="36">
        <v>43601</v>
      </c>
      <c r="C1456" s="185">
        <v>1311.15</v>
      </c>
      <c r="D1456" s="185">
        <f t="shared" si="47"/>
        <v>0.50232025207676889</v>
      </c>
      <c r="E1456" s="185">
        <v>-3.430924062212703E-4</v>
      </c>
      <c r="F1456" s="171"/>
      <c r="G1456" s="171">
        <v>1453</v>
      </c>
      <c r="H1456" s="186">
        <f t="shared" ca="1" si="48"/>
        <v>1.8524023835524827E-2</v>
      </c>
    </row>
    <row r="1457" spans="2:8">
      <c r="B1457" s="36">
        <v>42489</v>
      </c>
      <c r="C1457" s="185">
        <v>872.75</v>
      </c>
      <c r="D1457" s="185">
        <f t="shared" si="47"/>
        <v>-0.12698809642892872</v>
      </c>
      <c r="E1457" s="185">
        <v>-3.4362293110355024E-4</v>
      </c>
      <c r="F1457" s="171"/>
      <c r="G1457" s="171">
        <v>1454</v>
      </c>
      <c r="H1457" s="186">
        <f t="shared" ca="1" si="48"/>
        <v>3.1204735786450034E-2</v>
      </c>
    </row>
    <row r="1458" spans="2:8">
      <c r="B1458" s="36">
        <v>42774</v>
      </c>
      <c r="C1458" s="185">
        <v>999.7</v>
      </c>
      <c r="D1458" s="185">
        <f t="shared" si="47"/>
        <v>-0.12203047468493394</v>
      </c>
      <c r="E1458" s="185">
        <v>-3.4998250087486533E-4</v>
      </c>
      <c r="F1458" s="171"/>
      <c r="G1458" s="171">
        <v>1455</v>
      </c>
      <c r="H1458" s="186">
        <f t="shared" ca="1" si="48"/>
        <v>1.0351170105747159E-2</v>
      </c>
    </row>
    <row r="1459" spans="2:8">
      <c r="B1459" s="36">
        <v>43091</v>
      </c>
      <c r="C1459" s="185">
        <v>1138.6500000000001</v>
      </c>
      <c r="D1459" s="185">
        <f t="shared" si="47"/>
        <v>-0.36867930805056548</v>
      </c>
      <c r="E1459" s="185">
        <v>-3.5116983451109572E-4</v>
      </c>
      <c r="F1459" s="171"/>
      <c r="G1459" s="171">
        <v>1456</v>
      </c>
      <c r="H1459" s="186">
        <f t="shared" ca="1" si="48"/>
        <v>-2.0836485054978194E-2</v>
      </c>
    </row>
    <row r="1460" spans="2:8">
      <c r="B1460" s="36">
        <v>43861</v>
      </c>
      <c r="C1460" s="185">
        <v>1803.6</v>
      </c>
      <c r="D1460" s="185">
        <f t="shared" si="47"/>
        <v>-0.45708222332595844</v>
      </c>
      <c r="E1460" s="185">
        <v>-3.6026049605104111E-4</v>
      </c>
      <c r="F1460" s="171"/>
      <c r="G1460" s="171">
        <v>1457</v>
      </c>
      <c r="H1460" s="186">
        <f t="shared" ca="1" si="48"/>
        <v>-1.6184128123510288E-2</v>
      </c>
    </row>
    <row r="1461" spans="2:8">
      <c r="B1461" s="36">
        <v>45098</v>
      </c>
      <c r="C1461" s="185">
        <v>3322.05</v>
      </c>
      <c r="D1461" s="185">
        <f t="shared" si="47"/>
        <v>7.8605172161885867E-2</v>
      </c>
      <c r="E1461" s="185">
        <v>-3.6109230422021155E-4</v>
      </c>
      <c r="F1461" s="171"/>
      <c r="G1461" s="171">
        <v>1458</v>
      </c>
      <c r="H1461" s="186">
        <f t="shared" ca="1" si="48"/>
        <v>-1.9366089293287585E-2</v>
      </c>
    </row>
    <row r="1462" spans="2:8">
      <c r="B1462" s="36">
        <v>44651</v>
      </c>
      <c r="C1462" s="185">
        <v>3079.95</v>
      </c>
      <c r="D1462" s="185">
        <f t="shared" si="47"/>
        <v>1.30586958149285</v>
      </c>
      <c r="E1462" s="185">
        <v>-3.7324332219015644E-4</v>
      </c>
      <c r="F1462" s="171"/>
      <c r="G1462" s="171">
        <v>1459</v>
      </c>
      <c r="H1462" s="186">
        <f t="shared" ca="1" si="48"/>
        <v>-3.0453266265998574E-2</v>
      </c>
    </row>
    <row r="1463" spans="2:8">
      <c r="B1463" s="36">
        <v>43439</v>
      </c>
      <c r="C1463" s="185">
        <v>1335.7</v>
      </c>
      <c r="D1463" s="185">
        <f t="shared" si="47"/>
        <v>0.14810039539281411</v>
      </c>
      <c r="E1463" s="185">
        <v>-3.7419547971860497E-4</v>
      </c>
      <c r="F1463" s="171"/>
      <c r="G1463" s="171">
        <v>1460</v>
      </c>
      <c r="H1463" s="186">
        <f t="shared" ca="1" si="48"/>
        <v>4.5100271869780006E-3</v>
      </c>
    </row>
    <row r="1464" spans="2:8">
      <c r="B1464" s="36">
        <v>43063</v>
      </c>
      <c r="C1464" s="185">
        <v>1163.4000000000001</v>
      </c>
      <c r="D1464" s="185">
        <f t="shared" si="47"/>
        <v>8.8012139605463616E-3</v>
      </c>
      <c r="E1464" s="185">
        <v>-3.8664776388694258E-4</v>
      </c>
      <c r="F1464" s="171"/>
      <c r="G1464" s="171">
        <v>1461</v>
      </c>
      <c r="H1464" s="186">
        <f t="shared" ca="1" si="48"/>
        <v>-8.2316097738017076E-3</v>
      </c>
    </row>
    <row r="1465" spans="2:8">
      <c r="B1465" s="36">
        <v>42940</v>
      </c>
      <c r="C1465" s="185">
        <v>1153.25</v>
      </c>
      <c r="D1465" s="185">
        <f t="shared" si="47"/>
        <v>-0.63431262188258053</v>
      </c>
      <c r="E1465" s="185">
        <v>-3.9004940625816541E-4</v>
      </c>
      <c r="F1465" s="171"/>
      <c r="G1465" s="171">
        <v>1462</v>
      </c>
      <c r="H1465" s="186">
        <f t="shared" ca="1" si="48"/>
        <v>-7.8086401940692064E-3</v>
      </c>
    </row>
    <row r="1466" spans="2:8">
      <c r="B1466" s="36">
        <v>44531</v>
      </c>
      <c r="C1466" s="185">
        <v>3153.65</v>
      </c>
      <c r="D1466" s="185">
        <f t="shared" si="47"/>
        <v>3.1953571903684979</v>
      </c>
      <c r="E1466" s="185">
        <v>-3.9620907160290342E-4</v>
      </c>
      <c r="F1466" s="171"/>
      <c r="G1466" s="171">
        <v>1463</v>
      </c>
      <c r="H1466" s="186">
        <f t="shared" ca="1" si="48"/>
        <v>1.2978862529271093E-2</v>
      </c>
    </row>
    <row r="1467" spans="2:8">
      <c r="B1467" s="36">
        <v>42180</v>
      </c>
      <c r="C1467" s="185">
        <v>751.7</v>
      </c>
      <c r="D1467" s="185">
        <f t="shared" si="47"/>
        <v>-0.33433694930263447</v>
      </c>
      <c r="E1467" s="185">
        <v>-3.9893617021270549E-4</v>
      </c>
      <c r="F1467" s="171"/>
      <c r="G1467" s="171">
        <v>1464</v>
      </c>
      <c r="H1467" s="186">
        <f t="shared" ca="1" si="48"/>
        <v>2.0503733776111654E-2</v>
      </c>
    </row>
    <row r="1468" spans="2:8">
      <c r="B1468" s="36">
        <v>43168</v>
      </c>
      <c r="C1468" s="185">
        <v>1129.25</v>
      </c>
      <c r="D1468" s="185">
        <f t="shared" si="47"/>
        <v>0.29293565376688807</v>
      </c>
      <c r="E1468" s="185">
        <v>-4.4257579110422663E-4</v>
      </c>
      <c r="F1468" s="171"/>
      <c r="G1468" s="171">
        <v>1465</v>
      </c>
      <c r="H1468" s="186">
        <f t="shared" ca="1" si="48"/>
        <v>-7.7056825379481992E-3</v>
      </c>
    </row>
    <row r="1469" spans="2:8">
      <c r="B1469" s="36">
        <v>42431</v>
      </c>
      <c r="C1469" s="185">
        <v>873.4</v>
      </c>
      <c r="D1469" s="185">
        <f t="shared" si="47"/>
        <v>-0.42802881466928622</v>
      </c>
      <c r="E1469" s="185">
        <v>-4.5777065690086663E-4</v>
      </c>
      <c r="F1469" s="171"/>
      <c r="G1469" s="171">
        <v>1466</v>
      </c>
      <c r="H1469" s="186">
        <f t="shared" ca="1" si="48"/>
        <v>4.3423344204873955E-3</v>
      </c>
    </row>
    <row r="1470" spans="2:8">
      <c r="B1470" s="36">
        <v>43560</v>
      </c>
      <c r="C1470" s="185">
        <v>1527</v>
      </c>
      <c r="D1470" s="185">
        <f t="shared" si="47"/>
        <v>-0.50226539326575181</v>
      </c>
      <c r="E1470" s="185">
        <v>-4.5820514498922922E-4</v>
      </c>
      <c r="F1470" s="171"/>
      <c r="G1470" s="171">
        <v>1467</v>
      </c>
      <c r="H1470" s="186">
        <f t="shared" ca="1" si="48"/>
        <v>-3.8342357820365641E-3</v>
      </c>
    </row>
    <row r="1471" spans="2:8">
      <c r="B1471" s="36">
        <v>45224</v>
      </c>
      <c r="C1471" s="185">
        <v>3067.9</v>
      </c>
      <c r="D1471" s="185">
        <f t="shared" si="47"/>
        <v>-2.325729476750656E-2</v>
      </c>
      <c r="E1471" s="185">
        <v>-5.049764615809761E-4</v>
      </c>
      <c r="F1471" s="171"/>
      <c r="G1471" s="171">
        <v>1468</v>
      </c>
      <c r="H1471" s="186">
        <f t="shared" ca="1" si="48"/>
        <v>-1.5449000907055314E-2</v>
      </c>
    </row>
    <row r="1472" spans="2:8">
      <c r="B1472" s="36">
        <v>45252</v>
      </c>
      <c r="C1472" s="185">
        <v>3140.95</v>
      </c>
      <c r="D1472" s="185">
        <f t="shared" si="47"/>
        <v>-6.6776599221558666E-2</v>
      </c>
      <c r="E1472" s="185">
        <v>-5.4094474408549246E-4</v>
      </c>
      <c r="F1472" s="171"/>
      <c r="G1472" s="171">
        <v>1469</v>
      </c>
      <c r="H1472" s="186">
        <f t="shared" ca="1" si="48"/>
        <v>-4.9753499832764295E-3</v>
      </c>
    </row>
    <row r="1473" spans="2:8">
      <c r="B1473" s="36">
        <v>44560</v>
      </c>
      <c r="C1473" s="185">
        <v>3365.7</v>
      </c>
      <c r="D1473" s="185">
        <f t="shared" si="47"/>
        <v>-2.0459837019790508E-2</v>
      </c>
      <c r="E1473" s="185">
        <v>-5.4936081127239793E-4</v>
      </c>
      <c r="F1473" s="171"/>
      <c r="G1473" s="171">
        <v>1470</v>
      </c>
      <c r="H1473" s="186">
        <f t="shared" ca="1" si="48"/>
        <v>-3.6936826274277601E-4</v>
      </c>
    </row>
    <row r="1474" spans="2:8">
      <c r="B1474" s="36">
        <v>44809</v>
      </c>
      <c r="C1474" s="185">
        <v>3436</v>
      </c>
      <c r="D1474" s="185">
        <f t="shared" si="47"/>
        <v>0.19479796926072737</v>
      </c>
      <c r="E1474" s="185">
        <v>-5.5266296285525786E-4</v>
      </c>
      <c r="F1474" s="171"/>
      <c r="G1474" s="171">
        <v>1471</v>
      </c>
      <c r="H1474" s="186">
        <f t="shared" ca="1" si="48"/>
        <v>3.2179938267792745E-2</v>
      </c>
    </row>
    <row r="1475" spans="2:8">
      <c r="B1475" s="36">
        <v>45986</v>
      </c>
      <c r="C1475" s="185">
        <v>2875.8</v>
      </c>
      <c r="D1475" s="185">
        <f t="shared" si="47"/>
        <v>0.41133168110323171</v>
      </c>
      <c r="E1475" s="185">
        <v>-5.5605755195659587E-4</v>
      </c>
      <c r="F1475" s="171"/>
      <c r="G1475" s="171">
        <v>1472</v>
      </c>
      <c r="H1475" s="186">
        <f t="shared" ca="1" si="48"/>
        <v>-6.9083396904124472E-3</v>
      </c>
    </row>
    <row r="1476" spans="2:8">
      <c r="B1476" s="36">
        <v>44088</v>
      </c>
      <c r="C1476" s="185">
        <v>2037.65</v>
      </c>
      <c r="D1476" s="185">
        <f t="shared" ref="D1476:D1539" si="49">(C1476-C1477)/C1477</f>
        <v>-0.35629442426157004</v>
      </c>
      <c r="E1476" s="185">
        <v>-5.6405728860107107E-4</v>
      </c>
      <c r="F1476" s="171"/>
      <c r="G1476" s="171">
        <v>1473</v>
      </c>
      <c r="H1476" s="186">
        <f t="shared" ca="1" si="48"/>
        <v>-4.821034622572339E-4</v>
      </c>
    </row>
    <row r="1477" spans="2:8">
      <c r="B1477" s="36">
        <v>45538</v>
      </c>
      <c r="C1477" s="185">
        <v>3165.5</v>
      </c>
      <c r="D1477" s="185">
        <f t="shared" si="49"/>
        <v>-2.6314575291059867E-2</v>
      </c>
      <c r="E1477" s="185">
        <v>-5.6830739115340566E-4</v>
      </c>
      <c r="F1477" s="171"/>
      <c r="G1477" s="171">
        <v>1474</v>
      </c>
      <c r="H1477" s="186">
        <f t="shared" ref="H1477:H1540" ca="1" si="50">_xlfn.NORM.INV(RAND(),N$6,N$7)</f>
        <v>-2.5696904115223534E-3</v>
      </c>
    </row>
    <row r="1478" spans="2:8">
      <c r="B1478" s="36">
        <v>45177</v>
      </c>
      <c r="C1478" s="185">
        <v>3251.05</v>
      </c>
      <c r="D1478" s="185">
        <f t="shared" si="49"/>
        <v>1.2463637934012783</v>
      </c>
      <c r="E1478" s="185">
        <v>-5.6872329306154783E-4</v>
      </c>
      <c r="F1478" s="171"/>
      <c r="G1478" s="171">
        <v>1475</v>
      </c>
      <c r="H1478" s="186">
        <f t="shared" ca="1" si="50"/>
        <v>-1.4590533250377839E-2</v>
      </c>
    </row>
    <row r="1479" spans="2:8">
      <c r="B1479" s="36">
        <v>43588</v>
      </c>
      <c r="C1479" s="185">
        <v>1447.25</v>
      </c>
      <c r="D1479" s="185">
        <f t="shared" si="49"/>
        <v>3.2606756804965963E-2</v>
      </c>
      <c r="E1479" s="185">
        <v>-5.8697603756640367E-4</v>
      </c>
      <c r="F1479" s="171"/>
      <c r="G1479" s="171">
        <v>1476</v>
      </c>
      <c r="H1479" s="186">
        <f t="shared" ca="1" si="50"/>
        <v>2.9884379178058665E-3</v>
      </c>
    </row>
    <row r="1480" spans="2:8">
      <c r="B1480" s="36">
        <v>43522</v>
      </c>
      <c r="C1480" s="185">
        <v>1401.55</v>
      </c>
      <c r="D1480" s="185">
        <f t="shared" si="49"/>
        <v>0.22614933729933076</v>
      </c>
      <c r="E1480" s="185">
        <v>-6.061038220194926E-4</v>
      </c>
      <c r="F1480" s="171"/>
      <c r="G1480" s="171">
        <v>1477</v>
      </c>
      <c r="H1480" s="186">
        <f t="shared" ca="1" si="50"/>
        <v>1.8414549154728902E-2</v>
      </c>
    </row>
    <row r="1481" spans="2:8">
      <c r="B1481" s="36">
        <v>42899</v>
      </c>
      <c r="C1481" s="185">
        <v>1143.05</v>
      </c>
      <c r="D1481" s="185">
        <f t="shared" si="49"/>
        <v>-0.17227271081501871</v>
      </c>
      <c r="E1481" s="185">
        <v>-6.1202185792353704E-4</v>
      </c>
      <c r="F1481" s="171"/>
      <c r="G1481" s="171">
        <v>1478</v>
      </c>
      <c r="H1481" s="186">
        <f t="shared" ca="1" si="50"/>
        <v>-3.2443399308513059E-3</v>
      </c>
    </row>
    <row r="1482" spans="2:8">
      <c r="B1482" s="36">
        <v>43515</v>
      </c>
      <c r="C1482" s="185">
        <v>1380.95</v>
      </c>
      <c r="D1482" s="185">
        <f t="shared" si="49"/>
        <v>6.698860343828475E-2</v>
      </c>
      <c r="E1482" s="185">
        <v>-6.1513967289036702E-4</v>
      </c>
      <c r="F1482" s="171"/>
      <c r="G1482" s="171">
        <v>1479</v>
      </c>
      <c r="H1482" s="186">
        <f t="shared" ca="1" si="50"/>
        <v>4.5409919637934663E-3</v>
      </c>
    </row>
    <row r="1483" spans="2:8">
      <c r="B1483" s="36">
        <v>43245</v>
      </c>
      <c r="C1483" s="185">
        <v>1294.25</v>
      </c>
      <c r="D1483" s="185">
        <f t="shared" si="49"/>
        <v>-0.5443423461484298</v>
      </c>
      <c r="E1483" s="185">
        <v>-6.563199752914131E-4</v>
      </c>
      <c r="F1483" s="171"/>
      <c r="G1483" s="171">
        <v>1480</v>
      </c>
      <c r="H1483" s="186">
        <f t="shared" ca="1" si="50"/>
        <v>9.1675145819423084E-3</v>
      </c>
    </row>
    <row r="1484" spans="2:8">
      <c r="B1484" s="36">
        <v>44707</v>
      </c>
      <c r="C1484" s="185">
        <v>2840.4</v>
      </c>
      <c r="D1484" s="185">
        <f t="shared" si="49"/>
        <v>1.3788944723618091</v>
      </c>
      <c r="E1484" s="185">
        <v>-6.684727157583967E-4</v>
      </c>
      <c r="F1484" s="171"/>
      <c r="G1484" s="171">
        <v>1481</v>
      </c>
      <c r="H1484" s="186">
        <f t="shared" ca="1" si="50"/>
        <v>1.4586088280748671E-2</v>
      </c>
    </row>
    <row r="1485" spans="2:8">
      <c r="B1485" s="36">
        <v>42636</v>
      </c>
      <c r="C1485" s="185">
        <v>1194</v>
      </c>
      <c r="D1485" s="185">
        <f t="shared" si="49"/>
        <v>6.7071808391795842E-2</v>
      </c>
      <c r="E1485" s="185">
        <v>-6.6956812855704267E-4</v>
      </c>
      <c r="F1485" s="171"/>
      <c r="G1485" s="171">
        <v>1482</v>
      </c>
      <c r="H1485" s="186">
        <f t="shared" ca="1" si="50"/>
        <v>2.5249359080151785E-3</v>
      </c>
    </row>
    <row r="1486" spans="2:8">
      <c r="B1486" s="36">
        <v>43160</v>
      </c>
      <c r="C1486" s="185">
        <v>1118.95</v>
      </c>
      <c r="D1486" s="185">
        <f t="shared" si="49"/>
        <v>1.1480225988700606E-2</v>
      </c>
      <c r="E1486" s="185">
        <v>-6.6982227382334555E-4</v>
      </c>
      <c r="F1486" s="171"/>
      <c r="G1486" s="171">
        <v>1483</v>
      </c>
      <c r="H1486" s="186">
        <f t="shared" ca="1" si="50"/>
        <v>-2.1918186616728549E-2</v>
      </c>
    </row>
    <row r="1487" spans="2:8">
      <c r="B1487" s="36">
        <v>43180</v>
      </c>
      <c r="C1487" s="185">
        <v>1106.25</v>
      </c>
      <c r="D1487" s="185">
        <f t="shared" si="49"/>
        <v>-0.55810098266357755</v>
      </c>
      <c r="E1487" s="185">
        <v>-6.7750677506775068E-4</v>
      </c>
      <c r="F1487" s="171"/>
      <c r="G1487" s="171">
        <v>1484</v>
      </c>
      <c r="H1487" s="186">
        <f t="shared" ca="1" si="50"/>
        <v>1.1345060259018677E-2</v>
      </c>
    </row>
    <row r="1488" spans="2:8">
      <c r="B1488" s="36">
        <v>45954</v>
      </c>
      <c r="C1488" s="185">
        <v>2503.4</v>
      </c>
      <c r="D1488" s="185">
        <f t="shared" si="49"/>
        <v>-0.23929624114983741</v>
      </c>
      <c r="E1488" s="185">
        <v>-6.7861562412670879E-4</v>
      </c>
      <c r="F1488" s="171"/>
      <c r="G1488" s="171">
        <v>1485</v>
      </c>
      <c r="H1488" s="186">
        <f t="shared" ca="1" si="50"/>
        <v>1.2221896902436385E-3</v>
      </c>
    </row>
    <row r="1489" spans="2:8">
      <c r="B1489" s="36">
        <v>45303</v>
      </c>
      <c r="C1489" s="185">
        <v>3290.9</v>
      </c>
      <c r="D1489" s="185">
        <f t="shared" si="49"/>
        <v>1.880689775910364</v>
      </c>
      <c r="E1489" s="185">
        <v>-6.8323641498261537E-4</v>
      </c>
      <c r="F1489" s="171"/>
      <c r="G1489" s="171">
        <v>1486</v>
      </c>
      <c r="H1489" s="186">
        <f t="shared" ca="1" si="50"/>
        <v>1.5893435346569708E-2</v>
      </c>
    </row>
    <row r="1490" spans="2:8">
      <c r="B1490" s="36">
        <v>43173</v>
      </c>
      <c r="C1490" s="185">
        <v>1142.4000000000001</v>
      </c>
      <c r="D1490" s="185">
        <f t="shared" si="49"/>
        <v>0.15674362089914951</v>
      </c>
      <c r="E1490" s="185">
        <v>-6.9979006298106583E-4</v>
      </c>
      <c r="F1490" s="171"/>
      <c r="G1490" s="171">
        <v>1487</v>
      </c>
      <c r="H1490" s="186">
        <f t="shared" ca="1" si="50"/>
        <v>1.851384314068516E-2</v>
      </c>
    </row>
    <row r="1491" spans="2:8">
      <c r="B1491" s="36">
        <v>42521</v>
      </c>
      <c r="C1491" s="185">
        <v>987.6</v>
      </c>
      <c r="D1491" s="185">
        <f t="shared" si="49"/>
        <v>0.18723327522990924</v>
      </c>
      <c r="E1491" s="185">
        <v>-7.0828695740152972E-4</v>
      </c>
      <c r="F1491" s="171"/>
      <c r="G1491" s="171">
        <v>1488</v>
      </c>
      <c r="H1491" s="186">
        <f t="shared" ca="1" si="50"/>
        <v>8.553407969632762E-3</v>
      </c>
    </row>
    <row r="1492" spans="2:8">
      <c r="B1492" s="36">
        <v>42310</v>
      </c>
      <c r="C1492" s="185">
        <v>831.85</v>
      </c>
      <c r="D1492" s="185">
        <f t="shared" si="49"/>
        <v>-0.24855465221318879</v>
      </c>
      <c r="E1492" s="185">
        <v>-7.2076400985046879E-4</v>
      </c>
      <c r="F1492" s="171"/>
      <c r="G1492" s="171">
        <v>1489</v>
      </c>
      <c r="H1492" s="186">
        <f t="shared" ca="1" si="50"/>
        <v>-2.1646612371451239E-3</v>
      </c>
    </row>
    <row r="1493" spans="2:8">
      <c r="B1493" s="36">
        <v>43179</v>
      </c>
      <c r="C1493" s="185">
        <v>1107</v>
      </c>
      <c r="D1493" s="185">
        <f t="shared" si="49"/>
        <v>-0.64442874120707938</v>
      </c>
      <c r="E1493" s="185">
        <v>-7.2215201299869521E-4</v>
      </c>
      <c r="F1493" s="171"/>
      <c r="G1493" s="171">
        <v>1490</v>
      </c>
      <c r="H1493" s="186">
        <f t="shared" ca="1" si="50"/>
        <v>-2.2157617933378372E-2</v>
      </c>
    </row>
    <row r="1494" spans="2:8">
      <c r="B1494" s="36">
        <v>45511</v>
      </c>
      <c r="C1494" s="185">
        <v>3113.3</v>
      </c>
      <c r="D1494" s="185">
        <f t="shared" si="49"/>
        <v>0.29758679614887673</v>
      </c>
      <c r="E1494" s="185">
        <v>-7.2218388406541381E-4</v>
      </c>
      <c r="F1494" s="171"/>
      <c r="G1494" s="171">
        <v>1491</v>
      </c>
      <c r="H1494" s="186">
        <f t="shared" ca="1" si="50"/>
        <v>1.7872792914885954E-2</v>
      </c>
    </row>
    <row r="1495" spans="2:8">
      <c r="B1495" s="36">
        <v>45636</v>
      </c>
      <c r="C1495" s="185">
        <v>2399.3000000000002</v>
      </c>
      <c r="D1495" s="185">
        <f t="shared" si="49"/>
        <v>1.4717699302178127E-2</v>
      </c>
      <c r="E1495" s="185">
        <v>-7.2884779575602338E-4</v>
      </c>
      <c r="F1495" s="171"/>
      <c r="G1495" s="171">
        <v>1492</v>
      </c>
      <c r="H1495" s="186">
        <f t="shared" ca="1" si="50"/>
        <v>2.9127589286089461E-4</v>
      </c>
    </row>
    <row r="1496" spans="2:8">
      <c r="B1496" s="36">
        <v>45937</v>
      </c>
      <c r="C1496" s="185">
        <v>2364.5</v>
      </c>
      <c r="D1496" s="185">
        <f t="shared" si="49"/>
        <v>0.64252717863221154</v>
      </c>
      <c r="E1496" s="185">
        <v>-7.6068123230367318E-4</v>
      </c>
      <c r="F1496" s="171"/>
      <c r="G1496" s="171">
        <v>1493</v>
      </c>
      <c r="H1496" s="186">
        <f t="shared" ca="1" si="50"/>
        <v>-2.6265576935143916E-2</v>
      </c>
    </row>
    <row r="1497" spans="2:8">
      <c r="B1497" s="36">
        <v>43539</v>
      </c>
      <c r="C1497" s="185">
        <v>1439.55</v>
      </c>
      <c r="D1497" s="185">
        <f t="shared" si="49"/>
        <v>-0.54193117273638491</v>
      </c>
      <c r="E1497" s="185">
        <v>-7.9822308599992434E-4</v>
      </c>
      <c r="F1497" s="171"/>
      <c r="G1497" s="171">
        <v>1494</v>
      </c>
      <c r="H1497" s="186">
        <f t="shared" ca="1" si="50"/>
        <v>1.9500111605136844E-2</v>
      </c>
    </row>
    <row r="1498" spans="2:8">
      <c r="B1498" s="36">
        <v>45251</v>
      </c>
      <c r="C1498" s="185">
        <v>3142.65</v>
      </c>
      <c r="D1498" s="185">
        <f t="shared" si="49"/>
        <v>0.81677072493929948</v>
      </c>
      <c r="E1498" s="185">
        <v>-8.1075925219373246E-4</v>
      </c>
      <c r="F1498" s="171"/>
      <c r="G1498" s="171">
        <v>1495</v>
      </c>
      <c r="H1498" s="186">
        <f t="shared" ca="1" si="50"/>
        <v>-8.1489437220694412E-3</v>
      </c>
    </row>
    <row r="1499" spans="2:8">
      <c r="B1499" s="36">
        <v>43745</v>
      </c>
      <c r="C1499" s="185">
        <v>1729.8</v>
      </c>
      <c r="D1499" s="185">
        <f t="shared" si="49"/>
        <v>0.9925128146057709</v>
      </c>
      <c r="E1499" s="185">
        <v>-8.3754512635381693E-4</v>
      </c>
      <c r="F1499" s="171"/>
      <c r="G1499" s="171">
        <v>1496</v>
      </c>
      <c r="H1499" s="186">
        <f t="shared" ca="1" si="50"/>
        <v>1.9403464838227375E-2</v>
      </c>
    </row>
    <row r="1500" spans="2:8">
      <c r="B1500" s="36">
        <v>42725</v>
      </c>
      <c r="C1500" s="185">
        <v>868.15</v>
      </c>
      <c r="D1500" s="185">
        <f t="shared" si="49"/>
        <v>-0.24851763687513528</v>
      </c>
      <c r="E1500" s="185">
        <v>-8.6316031764299694E-4</v>
      </c>
      <c r="F1500" s="171"/>
      <c r="G1500" s="171">
        <v>1497</v>
      </c>
      <c r="H1500" s="186">
        <f t="shared" ca="1" si="50"/>
        <v>2.028605102612947E-2</v>
      </c>
    </row>
    <row r="1501" spans="2:8">
      <c r="B1501" s="36">
        <v>42936</v>
      </c>
      <c r="C1501" s="185">
        <v>1155.25</v>
      </c>
      <c r="D1501" s="185">
        <f t="shared" si="49"/>
        <v>-0.48652132364379846</v>
      </c>
      <c r="E1501" s="185">
        <v>-9.0806884026632759E-4</v>
      </c>
      <c r="F1501" s="171"/>
      <c r="G1501" s="171">
        <v>1498</v>
      </c>
      <c r="H1501" s="186">
        <f t="shared" ca="1" si="50"/>
        <v>-5.35191310272474E-3</v>
      </c>
    </row>
    <row r="1502" spans="2:8">
      <c r="B1502" s="36">
        <v>45671</v>
      </c>
      <c r="C1502" s="185">
        <v>2249.85</v>
      </c>
      <c r="D1502" s="185">
        <f t="shared" si="49"/>
        <v>-0.24770534833564614</v>
      </c>
      <c r="E1502" s="185">
        <v>-9.3252514487440188E-4</v>
      </c>
      <c r="F1502" s="171"/>
      <c r="G1502" s="171">
        <v>1499</v>
      </c>
      <c r="H1502" s="186">
        <f t="shared" ca="1" si="50"/>
        <v>-4.1155710504555583E-3</v>
      </c>
    </row>
    <row r="1503" spans="2:8">
      <c r="B1503" s="36">
        <v>44393</v>
      </c>
      <c r="C1503" s="185">
        <v>2990.65</v>
      </c>
      <c r="D1503" s="185">
        <f t="shared" si="49"/>
        <v>6.0288591079912142E-2</v>
      </c>
      <c r="E1503" s="185">
        <v>-9.3537556999439685E-4</v>
      </c>
      <c r="F1503" s="171"/>
      <c r="G1503" s="171">
        <v>1500</v>
      </c>
      <c r="H1503" s="186">
        <f t="shared" ca="1" si="50"/>
        <v>2.2753664896739644E-2</v>
      </c>
    </row>
    <row r="1504" spans="2:8">
      <c r="B1504" s="36">
        <v>45429</v>
      </c>
      <c r="C1504" s="185">
        <v>2820.6</v>
      </c>
      <c r="D1504" s="185">
        <f t="shared" si="49"/>
        <v>-6.6150178784267044E-2</v>
      </c>
      <c r="E1504" s="185">
        <v>-9.5632770162585364E-4</v>
      </c>
      <c r="F1504" s="171"/>
      <c r="G1504" s="171">
        <v>1501</v>
      </c>
      <c r="H1504" s="186">
        <f t="shared" ca="1" si="50"/>
        <v>7.8593656776224999E-3</v>
      </c>
    </row>
    <row r="1505" spans="2:8">
      <c r="B1505" s="36">
        <v>44761</v>
      </c>
      <c r="C1505" s="185">
        <v>3020.4</v>
      </c>
      <c r="D1505" s="185">
        <f t="shared" si="49"/>
        <v>1.5481081537098751</v>
      </c>
      <c r="E1505" s="185">
        <v>-9.5921674990906978E-4</v>
      </c>
      <c r="F1505" s="171"/>
      <c r="G1505" s="171">
        <v>1502</v>
      </c>
      <c r="H1505" s="186">
        <f t="shared" ca="1" si="50"/>
        <v>-4.3498007304130918E-4</v>
      </c>
    </row>
    <row r="1506" spans="2:8">
      <c r="B1506" s="36">
        <v>43039</v>
      </c>
      <c r="C1506" s="185">
        <v>1185.3499999999999</v>
      </c>
      <c r="D1506" s="185">
        <f t="shared" si="49"/>
        <v>-0.48348511917730624</v>
      </c>
      <c r="E1506" s="185">
        <v>-9.6923725242316979E-4</v>
      </c>
      <c r="F1506" s="171"/>
      <c r="G1506" s="171">
        <v>1503</v>
      </c>
      <c r="H1506" s="186">
        <f t="shared" ca="1" si="50"/>
        <v>1.4011798338783138E-2</v>
      </c>
    </row>
    <row r="1507" spans="2:8">
      <c r="B1507" s="36">
        <v>45657</v>
      </c>
      <c r="C1507" s="185">
        <v>2294.9</v>
      </c>
      <c r="D1507" s="185">
        <f t="shared" si="49"/>
        <v>-0.23188405797101441</v>
      </c>
      <c r="E1507" s="185">
        <v>-9.7947456631042817E-4</v>
      </c>
      <c r="F1507" s="171"/>
      <c r="G1507" s="171">
        <v>1504</v>
      </c>
      <c r="H1507" s="186">
        <f t="shared" ca="1" si="50"/>
        <v>2.0753990582982867E-2</v>
      </c>
    </row>
    <row r="1508" spans="2:8">
      <c r="B1508" s="36">
        <v>44396</v>
      </c>
      <c r="C1508" s="185">
        <v>2987.7</v>
      </c>
      <c r="D1508" s="185">
        <f t="shared" si="49"/>
        <v>-4.7486968581129635E-2</v>
      </c>
      <c r="E1508" s="185">
        <v>-9.8640763713583098E-4</v>
      </c>
      <c r="F1508" s="171"/>
      <c r="G1508" s="171">
        <v>1505</v>
      </c>
      <c r="H1508" s="186">
        <f t="shared" ca="1" si="50"/>
        <v>-1.108154063392206E-2</v>
      </c>
    </row>
    <row r="1509" spans="2:8">
      <c r="B1509" s="36">
        <v>45061</v>
      </c>
      <c r="C1509" s="185">
        <v>3136.65</v>
      </c>
      <c r="D1509" s="185">
        <f t="shared" si="49"/>
        <v>0.94310051107325388</v>
      </c>
      <c r="E1509" s="185">
        <v>-9.8733975634999896E-4</v>
      </c>
      <c r="F1509" s="171"/>
      <c r="G1509" s="171">
        <v>1506</v>
      </c>
      <c r="H1509" s="186">
        <f t="shared" ca="1" si="50"/>
        <v>-1.8077960292695254E-2</v>
      </c>
    </row>
    <row r="1510" spans="2:8">
      <c r="B1510" s="36">
        <v>43957</v>
      </c>
      <c r="C1510" s="185">
        <v>1614.25</v>
      </c>
      <c r="D1510" s="185">
        <f t="shared" si="49"/>
        <v>-0.13328859060402684</v>
      </c>
      <c r="E1510" s="185">
        <v>-9.9019092118693506E-4</v>
      </c>
      <c r="F1510" s="171"/>
      <c r="G1510" s="171">
        <v>1507</v>
      </c>
      <c r="H1510" s="186">
        <f t="shared" ca="1" si="50"/>
        <v>9.3597253058411555E-3</v>
      </c>
    </row>
    <row r="1511" spans="2:8">
      <c r="B1511" s="36">
        <v>43868</v>
      </c>
      <c r="C1511" s="185">
        <v>1862.5</v>
      </c>
      <c r="D1511" s="185">
        <f t="shared" si="49"/>
        <v>-0.28678103699165203</v>
      </c>
      <c r="E1511" s="185">
        <v>-9.92302947407895E-4</v>
      </c>
      <c r="F1511" s="171"/>
      <c r="G1511" s="171">
        <v>1508</v>
      </c>
      <c r="H1511" s="186">
        <f t="shared" ca="1" si="50"/>
        <v>-3.9686833018053955E-3</v>
      </c>
    </row>
    <row r="1512" spans="2:8">
      <c r="B1512" s="36">
        <v>46160</v>
      </c>
      <c r="C1512" s="185">
        <v>2611.4</v>
      </c>
      <c r="D1512" s="185">
        <f t="shared" si="49"/>
        <v>5.0992071477442058E-2</v>
      </c>
      <c r="E1512" s="185">
        <v>-9.9464422341236005E-4</v>
      </c>
      <c r="F1512" s="171"/>
      <c r="G1512" s="171">
        <v>1509</v>
      </c>
      <c r="H1512" s="186">
        <f t="shared" ca="1" si="50"/>
        <v>1.4398645402417762E-2</v>
      </c>
    </row>
    <row r="1513" spans="2:8">
      <c r="B1513" s="36">
        <v>46139</v>
      </c>
      <c r="C1513" s="185">
        <v>2484.6999999999998</v>
      </c>
      <c r="D1513" s="185">
        <f t="shared" si="49"/>
        <v>0.72764566819635634</v>
      </c>
      <c r="E1513" s="185">
        <v>-1.0051463493084595E-3</v>
      </c>
      <c r="F1513" s="171"/>
      <c r="G1513" s="171">
        <v>1510</v>
      </c>
      <c r="H1513" s="186">
        <f t="shared" ca="1" si="50"/>
        <v>-7.7266022654204772E-3</v>
      </c>
    </row>
    <row r="1514" spans="2:8">
      <c r="B1514" s="36">
        <v>43311</v>
      </c>
      <c r="C1514" s="185">
        <v>1438.2</v>
      </c>
      <c r="D1514" s="185">
        <f t="shared" si="49"/>
        <v>0.64000228063173492</v>
      </c>
      <c r="E1514" s="185">
        <v>-1.0071892473865491E-3</v>
      </c>
      <c r="F1514" s="171"/>
      <c r="G1514" s="171">
        <v>1511</v>
      </c>
      <c r="H1514" s="186">
        <f t="shared" ca="1" si="50"/>
        <v>1.0162525489469609E-2</v>
      </c>
    </row>
    <row r="1515" spans="2:8">
      <c r="B1515" s="36">
        <v>42381</v>
      </c>
      <c r="C1515" s="185">
        <v>876.95</v>
      </c>
      <c r="D1515" s="185">
        <f t="shared" si="49"/>
        <v>-9.1808202154101057E-2</v>
      </c>
      <c r="E1515" s="185">
        <v>-1.025232101156208E-3</v>
      </c>
      <c r="F1515" s="171"/>
      <c r="G1515" s="171">
        <v>1512</v>
      </c>
      <c r="H1515" s="186">
        <f t="shared" ca="1" si="50"/>
        <v>-9.9996313535594145E-3</v>
      </c>
    </row>
    <row r="1516" spans="2:8">
      <c r="B1516" s="36">
        <v>42758</v>
      </c>
      <c r="C1516" s="185">
        <v>965.6</v>
      </c>
      <c r="D1516" s="185">
        <f t="shared" si="49"/>
        <v>-0.64210526315789473</v>
      </c>
      <c r="E1516" s="185">
        <v>-1.0345541071798054E-3</v>
      </c>
      <c r="F1516" s="171"/>
      <c r="G1516" s="171">
        <v>1513</v>
      </c>
      <c r="H1516" s="186">
        <f t="shared" ca="1" si="50"/>
        <v>5.3834558060857794E-3</v>
      </c>
    </row>
    <row r="1517" spans="2:8">
      <c r="B1517" s="36">
        <v>44721</v>
      </c>
      <c r="C1517" s="185">
        <v>2698</v>
      </c>
      <c r="D1517" s="185">
        <f t="shared" si="49"/>
        <v>0.89606100003513822</v>
      </c>
      <c r="E1517" s="185">
        <v>-1.0367298578199725E-3</v>
      </c>
      <c r="F1517" s="171"/>
      <c r="G1517" s="171">
        <v>1514</v>
      </c>
      <c r="H1517" s="186">
        <f t="shared" ca="1" si="50"/>
        <v>-2.2923937817836064E-3</v>
      </c>
    </row>
    <row r="1518" spans="2:8">
      <c r="B1518" s="36">
        <v>43628</v>
      </c>
      <c r="C1518" s="185">
        <v>1422.95</v>
      </c>
      <c r="D1518" s="185">
        <f t="shared" si="49"/>
        <v>-0.42156504065040651</v>
      </c>
      <c r="E1518" s="185">
        <v>-1.0530380146723296E-3</v>
      </c>
      <c r="F1518" s="171"/>
      <c r="G1518" s="171">
        <v>1515</v>
      </c>
      <c r="H1518" s="186">
        <f t="shared" ca="1" si="50"/>
        <v>9.4846859115270288E-3</v>
      </c>
    </row>
    <row r="1519" spans="2:8">
      <c r="B1519" s="36">
        <v>46141</v>
      </c>
      <c r="C1519" s="185">
        <v>2460</v>
      </c>
      <c r="D1519" s="185">
        <f t="shared" si="49"/>
        <v>-0.26361636208522293</v>
      </c>
      <c r="E1519" s="185">
        <v>-1.05579468854053E-3</v>
      </c>
      <c r="F1519" s="171"/>
      <c r="G1519" s="171">
        <v>1516</v>
      </c>
      <c r="H1519" s="186">
        <f t="shared" ca="1" si="50"/>
        <v>5.3641377771997817E-3</v>
      </c>
    </row>
    <row r="1520" spans="2:8">
      <c r="B1520" s="36">
        <v>44774</v>
      </c>
      <c r="C1520" s="185">
        <v>3340.65</v>
      </c>
      <c r="D1520" s="185">
        <f t="shared" si="49"/>
        <v>2.7946839325268362</v>
      </c>
      <c r="E1520" s="185">
        <v>-1.0615393816158505E-3</v>
      </c>
      <c r="F1520" s="171"/>
      <c r="G1520" s="171">
        <v>1517</v>
      </c>
      <c r="H1520" s="186">
        <f t="shared" ca="1" si="50"/>
        <v>7.8557609054778401E-3</v>
      </c>
    </row>
    <row r="1521" spans="2:8">
      <c r="B1521" s="36">
        <v>42361</v>
      </c>
      <c r="C1521" s="185">
        <v>880.35</v>
      </c>
      <c r="D1521" s="185">
        <f t="shared" si="49"/>
        <v>-0.51274387712743874</v>
      </c>
      <c r="E1521" s="185">
        <v>-1.0779530239418266E-3</v>
      </c>
      <c r="F1521" s="171"/>
      <c r="G1521" s="171">
        <v>1518</v>
      </c>
      <c r="H1521" s="186">
        <f t="shared" ca="1" si="50"/>
        <v>-2.6987904967294598E-4</v>
      </c>
    </row>
    <row r="1522" spans="2:8">
      <c r="B1522" s="36">
        <v>43823</v>
      </c>
      <c r="C1522" s="185">
        <v>1806.75</v>
      </c>
      <c r="D1522" s="185">
        <f t="shared" si="49"/>
        <v>0.74430391967561316</v>
      </c>
      <c r="E1522" s="185">
        <v>-1.0781224083596204E-3</v>
      </c>
      <c r="F1522" s="171"/>
      <c r="G1522" s="171">
        <v>1519</v>
      </c>
      <c r="H1522" s="186">
        <f t="shared" ca="1" si="50"/>
        <v>-4.6295856881146333E-3</v>
      </c>
    </row>
    <row r="1523" spans="2:8">
      <c r="B1523" s="36">
        <v>42804</v>
      </c>
      <c r="C1523" s="185">
        <v>1035.8</v>
      </c>
      <c r="D1523" s="185">
        <f t="shared" si="49"/>
        <v>-0.64677999624887039</v>
      </c>
      <c r="E1523" s="185">
        <v>-1.1090216500314295E-3</v>
      </c>
      <c r="F1523" s="171"/>
      <c r="G1523" s="171">
        <v>1520</v>
      </c>
      <c r="H1523" s="186">
        <f t="shared" ca="1" si="50"/>
        <v>1.4418361477944439E-3</v>
      </c>
    </row>
    <row r="1524" spans="2:8">
      <c r="B1524" s="36">
        <v>45597</v>
      </c>
      <c r="C1524" s="185">
        <v>2932.45</v>
      </c>
      <c r="D1524" s="185">
        <f t="shared" si="49"/>
        <v>2.6678549093183239</v>
      </c>
      <c r="E1524" s="185">
        <v>-1.1240739163757751E-3</v>
      </c>
      <c r="F1524" s="171"/>
      <c r="G1524" s="171">
        <v>1521</v>
      </c>
      <c r="H1524" s="186">
        <f t="shared" ca="1" si="50"/>
        <v>1.9771155898240952E-3</v>
      </c>
    </row>
    <row r="1525" spans="2:8">
      <c r="B1525" s="36">
        <v>42195</v>
      </c>
      <c r="C1525" s="185">
        <v>799.5</v>
      </c>
      <c r="D1525" s="185">
        <f t="shared" si="49"/>
        <v>-0.7549575504949888</v>
      </c>
      <c r="E1525" s="185">
        <v>-1.124437781109417E-3</v>
      </c>
      <c r="F1525" s="171"/>
      <c r="G1525" s="171">
        <v>1522</v>
      </c>
      <c r="H1525" s="186">
        <f t="shared" ca="1" si="50"/>
        <v>-1.4083470636956474E-2</v>
      </c>
    </row>
    <row r="1526" spans="2:8">
      <c r="B1526" s="36">
        <v>45181</v>
      </c>
      <c r="C1526" s="185">
        <v>3262.7</v>
      </c>
      <c r="D1526" s="185">
        <f t="shared" si="49"/>
        <v>0.25541575281850004</v>
      </c>
      <c r="E1526" s="185">
        <v>-1.1327455302474507E-3</v>
      </c>
      <c r="F1526" s="171"/>
      <c r="G1526" s="171">
        <v>1523</v>
      </c>
      <c r="H1526" s="186">
        <f t="shared" ca="1" si="50"/>
        <v>1.9642393460179916E-2</v>
      </c>
    </row>
    <row r="1527" spans="2:8">
      <c r="B1527" s="36">
        <v>44214</v>
      </c>
      <c r="C1527" s="185">
        <v>2598.9</v>
      </c>
      <c r="D1527" s="185">
        <f t="shared" si="49"/>
        <v>5.7667263552010531E-2</v>
      </c>
      <c r="E1527" s="185">
        <v>-1.1338086361626606E-3</v>
      </c>
      <c r="F1527" s="171"/>
      <c r="G1527" s="171">
        <v>1524</v>
      </c>
      <c r="H1527" s="186">
        <f t="shared" ca="1" si="50"/>
        <v>2.5095454972477223E-2</v>
      </c>
    </row>
    <row r="1528" spans="2:8">
      <c r="B1528" s="36">
        <v>46142</v>
      </c>
      <c r="C1528" s="185">
        <v>2457.1999999999998</v>
      </c>
      <c r="D1528" s="185">
        <f t="shared" si="49"/>
        <v>-0.2039136914404199</v>
      </c>
      <c r="E1528" s="185">
        <v>-1.1382113821138951E-3</v>
      </c>
      <c r="F1528" s="171"/>
      <c r="G1528" s="171">
        <v>1525</v>
      </c>
      <c r="H1528" s="186">
        <f t="shared" ca="1" si="50"/>
        <v>1.0654735128758405E-2</v>
      </c>
    </row>
    <row r="1529" spans="2:8">
      <c r="B1529" s="36">
        <v>44915</v>
      </c>
      <c r="C1529" s="185">
        <v>3086.6</v>
      </c>
      <c r="D1529" s="185">
        <f t="shared" si="49"/>
        <v>1.754540181161037</v>
      </c>
      <c r="E1529" s="185">
        <v>-1.148811546365122E-3</v>
      </c>
      <c r="F1529" s="171"/>
      <c r="G1529" s="171">
        <v>1526</v>
      </c>
      <c r="H1529" s="186">
        <f t="shared" ca="1" si="50"/>
        <v>6.4494289997089503E-3</v>
      </c>
    </row>
    <row r="1530" spans="2:8">
      <c r="B1530" s="36">
        <v>43082</v>
      </c>
      <c r="C1530" s="185">
        <v>1120.55</v>
      </c>
      <c r="D1530" s="185">
        <f t="shared" si="49"/>
        <v>-0.58860782730009553</v>
      </c>
      <c r="E1530" s="185">
        <v>-1.1588001961046082E-3</v>
      </c>
      <c r="F1530" s="171"/>
      <c r="G1530" s="171">
        <v>1527</v>
      </c>
      <c r="H1530" s="186">
        <f t="shared" ca="1" si="50"/>
        <v>1.661255358809284E-2</v>
      </c>
    </row>
    <row r="1531" spans="2:8">
      <c r="B1531" s="36">
        <v>46190</v>
      </c>
      <c r="C1531" s="185">
        <v>2723.8</v>
      </c>
      <c r="D1531" s="185">
        <f t="shared" si="49"/>
        <v>-0.21182921712458577</v>
      </c>
      <c r="E1531" s="185">
        <v>-1.1734506784011067E-3</v>
      </c>
      <c r="F1531" s="171"/>
      <c r="G1531" s="171">
        <v>1528</v>
      </c>
      <c r="H1531" s="186">
        <f t="shared" ca="1" si="50"/>
        <v>5.5047616886335828E-3</v>
      </c>
    </row>
    <row r="1532" spans="2:8">
      <c r="B1532" s="36">
        <v>44813</v>
      </c>
      <c r="C1532" s="185">
        <v>3455.85</v>
      </c>
      <c r="D1532" s="185">
        <f t="shared" si="49"/>
        <v>3.1143520447645687</v>
      </c>
      <c r="E1532" s="185">
        <v>-1.1849882223731296E-3</v>
      </c>
      <c r="F1532" s="171"/>
      <c r="G1532" s="171">
        <v>1529</v>
      </c>
      <c r="H1532" s="186">
        <f t="shared" ca="1" si="50"/>
        <v>-2.4096435405891441E-2</v>
      </c>
    </row>
    <row r="1533" spans="2:8">
      <c r="B1533" s="36">
        <v>42278</v>
      </c>
      <c r="C1533" s="185">
        <v>839.95</v>
      </c>
      <c r="D1533" s="185">
        <f t="shared" si="49"/>
        <v>-0.35226527858106804</v>
      </c>
      <c r="E1533" s="185">
        <v>-1.1891313395564539E-3</v>
      </c>
      <c r="F1533" s="171"/>
      <c r="G1533" s="171">
        <v>1530</v>
      </c>
      <c r="H1533" s="186">
        <f t="shared" ca="1" si="50"/>
        <v>1.6351857765416387E-2</v>
      </c>
    </row>
    <row r="1534" spans="2:8">
      <c r="B1534" s="36">
        <v>43284</v>
      </c>
      <c r="C1534" s="185">
        <v>1296.75</v>
      </c>
      <c r="D1534" s="185">
        <f t="shared" si="49"/>
        <v>-0.55428954423592491</v>
      </c>
      <c r="E1534" s="185">
        <v>-1.2323333461700691E-3</v>
      </c>
      <c r="F1534" s="171"/>
      <c r="G1534" s="171">
        <v>1531</v>
      </c>
      <c r="H1534" s="186">
        <f t="shared" ca="1" si="50"/>
        <v>3.0461202289598162E-3</v>
      </c>
    </row>
    <row r="1535" spans="2:8">
      <c r="B1535" s="36">
        <v>45441</v>
      </c>
      <c r="C1535" s="185">
        <v>2909.4</v>
      </c>
      <c r="D1535" s="185">
        <f t="shared" si="49"/>
        <v>0.16139076284379872</v>
      </c>
      <c r="E1535" s="185">
        <v>-1.2358393408856536E-3</v>
      </c>
      <c r="F1535" s="171"/>
      <c r="G1535" s="171">
        <v>1532</v>
      </c>
      <c r="H1535" s="186">
        <f t="shared" ca="1" si="50"/>
        <v>1.1227573351593674E-2</v>
      </c>
    </row>
    <row r="1536" spans="2:8">
      <c r="B1536" s="36">
        <v>45953</v>
      </c>
      <c r="C1536" s="185">
        <v>2505.1</v>
      </c>
      <c r="D1536" s="185">
        <f t="shared" si="49"/>
        <v>1.0712720658150396</v>
      </c>
      <c r="E1536" s="185">
        <v>-1.2359460968024516E-3</v>
      </c>
      <c r="F1536" s="171"/>
      <c r="G1536" s="171">
        <v>1533</v>
      </c>
      <c r="H1536" s="186">
        <f t="shared" ca="1" si="50"/>
        <v>1.9384524458890408E-3</v>
      </c>
    </row>
    <row r="1537" spans="2:8">
      <c r="B1537" s="36">
        <v>42984</v>
      </c>
      <c r="C1537" s="185">
        <v>1209.45</v>
      </c>
      <c r="D1537" s="185">
        <f t="shared" si="49"/>
        <v>-0.59794893956518846</v>
      </c>
      <c r="E1537" s="185">
        <v>-1.2386968908708038E-3</v>
      </c>
      <c r="F1537" s="171"/>
      <c r="G1537" s="171">
        <v>1534</v>
      </c>
      <c r="H1537" s="186">
        <f t="shared" ca="1" si="50"/>
        <v>1.2338117383946402E-2</v>
      </c>
    </row>
    <row r="1538" spans="2:8">
      <c r="B1538" s="36">
        <v>44377</v>
      </c>
      <c r="C1538" s="185">
        <v>3008.2</v>
      </c>
      <c r="D1538" s="185">
        <f t="shared" si="49"/>
        <v>0.22608518443040546</v>
      </c>
      <c r="E1538" s="185">
        <v>-1.2616201859230352E-3</v>
      </c>
      <c r="F1538" s="171"/>
      <c r="G1538" s="171">
        <v>1535</v>
      </c>
      <c r="H1538" s="186">
        <f t="shared" ca="1" si="50"/>
        <v>-6.5306476761503272E-3</v>
      </c>
    </row>
    <row r="1539" spans="2:8">
      <c r="B1539" s="36">
        <v>45776</v>
      </c>
      <c r="C1539" s="185">
        <v>2453.5</v>
      </c>
      <c r="D1539" s="185">
        <f t="shared" si="49"/>
        <v>0.63659406997298462</v>
      </c>
      <c r="E1539" s="185">
        <v>-1.2619067003174749E-3</v>
      </c>
      <c r="F1539" s="171"/>
      <c r="G1539" s="171">
        <v>1536</v>
      </c>
      <c r="H1539" s="186">
        <f t="shared" ca="1" si="50"/>
        <v>-6.6858344759502383E-3</v>
      </c>
    </row>
    <row r="1540" spans="2:8">
      <c r="B1540" s="36">
        <v>43970</v>
      </c>
      <c r="C1540" s="185">
        <v>1499.15</v>
      </c>
      <c r="D1540" s="185">
        <f t="shared" ref="D1540:D1603" si="51">(C1540-C1541)/C1541</f>
        <v>-0.34061269820325046</v>
      </c>
      <c r="E1540" s="185">
        <v>-1.2657806202324132E-3</v>
      </c>
      <c r="F1540" s="171"/>
      <c r="G1540" s="171">
        <v>1537</v>
      </c>
      <c r="H1540" s="186">
        <f t="shared" ca="1" si="50"/>
        <v>3.2347413697124495E-2</v>
      </c>
    </row>
    <row r="1541" spans="2:8">
      <c r="B1541" s="36">
        <v>45698</v>
      </c>
      <c r="C1541" s="185">
        <v>2273.5500000000002</v>
      </c>
      <c r="D1541" s="185">
        <f t="shared" si="51"/>
        <v>-0.27016355552702115</v>
      </c>
      <c r="E1541" s="185">
        <v>-1.2739133299653567E-3</v>
      </c>
      <c r="F1541" s="171"/>
      <c r="G1541" s="171">
        <v>1538</v>
      </c>
      <c r="H1541" s="186">
        <f t="shared" ref="H1541:H1604" ca="1" si="52">_xlfn.NORM.INV(RAND(),N$6,N$7)</f>
        <v>-1.8704317675528274E-2</v>
      </c>
    </row>
    <row r="1542" spans="2:8">
      <c r="B1542" s="36">
        <v>44924</v>
      </c>
      <c r="C1542" s="185">
        <v>3115.15</v>
      </c>
      <c r="D1542" s="185">
        <f t="shared" si="51"/>
        <v>8.2288156203314422E-2</v>
      </c>
      <c r="E1542" s="185">
        <v>-1.2824006540243336E-3</v>
      </c>
      <c r="F1542" s="171"/>
      <c r="G1542" s="171">
        <v>1539</v>
      </c>
      <c r="H1542" s="186">
        <f t="shared" ca="1" si="52"/>
        <v>-2.5965600790717417E-2</v>
      </c>
    </row>
    <row r="1543" spans="2:8">
      <c r="B1543" s="36">
        <v>45384</v>
      </c>
      <c r="C1543" s="185">
        <v>2878.3</v>
      </c>
      <c r="D1543" s="185">
        <f t="shared" si="51"/>
        <v>1.1149197251919616</v>
      </c>
      <c r="E1543" s="185">
        <v>-1.2838306731435872E-3</v>
      </c>
      <c r="F1543" s="171"/>
      <c r="G1543" s="171">
        <v>1540</v>
      </c>
      <c r="H1543" s="186">
        <f t="shared" ca="1" si="52"/>
        <v>-3.0642339788021923E-2</v>
      </c>
    </row>
    <row r="1544" spans="2:8">
      <c r="B1544" s="36">
        <v>43643</v>
      </c>
      <c r="C1544" s="185">
        <v>1360.95</v>
      </c>
      <c r="D1544" s="185">
        <f t="shared" si="51"/>
        <v>-0.58073658754486224</v>
      </c>
      <c r="E1544" s="185">
        <v>-1.2842151610772731E-3</v>
      </c>
      <c r="F1544" s="171"/>
      <c r="G1544" s="171">
        <v>1541</v>
      </c>
      <c r="H1544" s="186">
        <f t="shared" ca="1" si="52"/>
        <v>-3.8609015011624838E-3</v>
      </c>
    </row>
    <row r="1545" spans="2:8">
      <c r="B1545" s="36">
        <v>45271</v>
      </c>
      <c r="C1545" s="185">
        <v>3246.05</v>
      </c>
      <c r="D1545" s="185">
        <f t="shared" si="51"/>
        <v>8.0161556367459462E-4</v>
      </c>
      <c r="E1545" s="185">
        <v>-1.2922082916698157E-3</v>
      </c>
      <c r="F1545" s="171"/>
      <c r="G1545" s="171">
        <v>1542</v>
      </c>
      <c r="H1545" s="186">
        <f t="shared" ca="1" si="52"/>
        <v>1.7593454708483024E-2</v>
      </c>
    </row>
    <row r="1546" spans="2:8">
      <c r="B1546" s="36">
        <v>44680</v>
      </c>
      <c r="C1546" s="185">
        <v>3243.45</v>
      </c>
      <c r="D1546" s="185">
        <f t="shared" si="51"/>
        <v>1.5814397707827608</v>
      </c>
      <c r="E1546" s="185">
        <v>-1.3086184068725559E-3</v>
      </c>
      <c r="F1546" s="171"/>
      <c r="G1546" s="171">
        <v>1543</v>
      </c>
      <c r="H1546" s="186">
        <f t="shared" ca="1" si="52"/>
        <v>-1.1165461200055415E-2</v>
      </c>
    </row>
    <row r="1547" spans="2:8">
      <c r="B1547" s="36">
        <v>42997</v>
      </c>
      <c r="C1547" s="185">
        <v>1256.45</v>
      </c>
      <c r="D1547" s="185">
        <f t="shared" si="51"/>
        <v>-0.44815091356289533</v>
      </c>
      <c r="E1547" s="185">
        <v>-1.3115014704712373E-3</v>
      </c>
      <c r="F1547" s="171"/>
      <c r="G1547" s="171">
        <v>1544</v>
      </c>
      <c r="H1547" s="186">
        <f t="shared" ca="1" si="52"/>
        <v>-8.0648462994811678E-3</v>
      </c>
    </row>
    <row r="1548" spans="2:8">
      <c r="B1548" s="36">
        <v>45649</v>
      </c>
      <c r="C1548" s="185">
        <v>2276.8000000000002</v>
      </c>
      <c r="D1548" s="185">
        <f t="shared" si="51"/>
        <v>-0.17698091382301906</v>
      </c>
      <c r="E1548" s="185">
        <v>-1.3159049039389418E-3</v>
      </c>
      <c r="F1548" s="171"/>
      <c r="G1548" s="171">
        <v>1545</v>
      </c>
      <c r="H1548" s="186">
        <f t="shared" ca="1" si="52"/>
        <v>3.6472838137914135E-3</v>
      </c>
    </row>
    <row r="1549" spans="2:8">
      <c r="B1549" s="36">
        <v>44963</v>
      </c>
      <c r="C1549" s="185">
        <v>2766.4</v>
      </c>
      <c r="D1549" s="185">
        <f t="shared" si="51"/>
        <v>-0.12808875441250633</v>
      </c>
      <c r="E1549" s="185">
        <v>-1.3356918522796355E-3</v>
      </c>
      <c r="F1549" s="171"/>
      <c r="G1549" s="171">
        <v>1546</v>
      </c>
      <c r="H1549" s="186">
        <f t="shared" ca="1" si="52"/>
        <v>1.5227318062091369E-2</v>
      </c>
    </row>
    <row r="1550" spans="2:8">
      <c r="B1550" s="36">
        <v>45211</v>
      </c>
      <c r="C1550" s="185">
        <v>3172.8</v>
      </c>
      <c r="D1550" s="185">
        <f t="shared" si="51"/>
        <v>1.750108347057294</v>
      </c>
      <c r="E1550" s="185">
        <v>-1.337718953116885E-3</v>
      </c>
      <c r="F1550" s="171"/>
      <c r="G1550" s="171">
        <v>1547</v>
      </c>
      <c r="H1550" s="186">
        <f t="shared" ca="1" si="52"/>
        <v>-1.5045859153676414E-2</v>
      </c>
    </row>
    <row r="1551" spans="2:8">
      <c r="B1551" s="36">
        <v>42937</v>
      </c>
      <c r="C1551" s="185">
        <v>1153.7</v>
      </c>
      <c r="D1551" s="185">
        <f t="shared" si="51"/>
        <v>-0.6239508466565622</v>
      </c>
      <c r="E1551" s="185">
        <v>-1.3417009305344769E-3</v>
      </c>
      <c r="F1551" s="171"/>
      <c r="G1551" s="171">
        <v>1548</v>
      </c>
      <c r="H1551" s="186">
        <f t="shared" ca="1" si="52"/>
        <v>4.0904721967606038E-3</v>
      </c>
    </row>
    <row r="1552" spans="2:8">
      <c r="B1552" s="36">
        <v>44764</v>
      </c>
      <c r="C1552" s="185">
        <v>3067.95</v>
      </c>
      <c r="D1552" s="185">
        <f t="shared" si="51"/>
        <v>0.2176820797777336</v>
      </c>
      <c r="E1552" s="185">
        <v>-1.3671207460574102E-3</v>
      </c>
      <c r="F1552" s="171"/>
      <c r="G1552" s="171">
        <v>1549</v>
      </c>
      <c r="H1552" s="186">
        <f t="shared" ca="1" si="52"/>
        <v>-4.3847554953397186E-3</v>
      </c>
    </row>
    <row r="1553" spans="2:8">
      <c r="B1553" s="36">
        <v>45964</v>
      </c>
      <c r="C1553" s="185">
        <v>2519.5</v>
      </c>
      <c r="D1553" s="185">
        <f t="shared" si="51"/>
        <v>1.2597425893537826</v>
      </c>
      <c r="E1553" s="185">
        <v>-1.3872374157748713E-3</v>
      </c>
      <c r="F1553" s="171"/>
      <c r="G1553" s="171">
        <v>1550</v>
      </c>
      <c r="H1553" s="186">
        <f t="shared" ca="1" si="52"/>
        <v>-7.2640170450157396E-3</v>
      </c>
    </row>
    <row r="1554" spans="2:8">
      <c r="B1554" s="36">
        <v>42604</v>
      </c>
      <c r="C1554" s="185">
        <v>1114.95</v>
      </c>
      <c r="D1554" s="185">
        <f t="shared" si="51"/>
        <v>-0.19842553650382833</v>
      </c>
      <c r="E1554" s="185">
        <v>-1.3882669055082441E-3</v>
      </c>
      <c r="F1554" s="171"/>
      <c r="G1554" s="171">
        <v>1551</v>
      </c>
      <c r="H1554" s="186">
        <f t="shared" ca="1" si="52"/>
        <v>1.2198733501849728E-2</v>
      </c>
    </row>
    <row r="1555" spans="2:8">
      <c r="B1555" s="36">
        <v>43593</v>
      </c>
      <c r="C1555" s="185">
        <v>1390.95</v>
      </c>
      <c r="D1555" s="185">
        <f t="shared" si="51"/>
        <v>-0.58628535736593201</v>
      </c>
      <c r="E1555" s="185">
        <v>-1.3999569244023586E-3</v>
      </c>
      <c r="F1555" s="171"/>
      <c r="G1555" s="171">
        <v>1552</v>
      </c>
      <c r="H1555" s="186">
        <f t="shared" ca="1" si="52"/>
        <v>-4.4508805985678235E-4</v>
      </c>
    </row>
    <row r="1556" spans="2:8">
      <c r="B1556" s="36">
        <v>44453</v>
      </c>
      <c r="C1556" s="185">
        <v>3362.1</v>
      </c>
      <c r="D1556" s="185">
        <f t="shared" si="51"/>
        <v>0.86809279066537015</v>
      </c>
      <c r="E1556" s="185">
        <v>-1.410814262589661E-3</v>
      </c>
      <c r="F1556" s="171"/>
      <c r="G1556" s="171">
        <v>1553</v>
      </c>
      <c r="H1556" s="186">
        <f t="shared" ca="1" si="52"/>
        <v>1.2283773951646287E-2</v>
      </c>
    </row>
    <row r="1557" spans="2:8">
      <c r="B1557" s="36">
        <v>43832</v>
      </c>
      <c r="C1557" s="185">
        <v>1799.75</v>
      </c>
      <c r="D1557" s="185">
        <f t="shared" si="51"/>
        <v>0.28954250707555612</v>
      </c>
      <c r="E1557" s="185">
        <v>-1.4148587915441128E-3</v>
      </c>
      <c r="F1557" s="171"/>
      <c r="G1557" s="171">
        <v>1554</v>
      </c>
      <c r="H1557" s="186">
        <f t="shared" ca="1" si="52"/>
        <v>-4.9336970408426981E-3</v>
      </c>
    </row>
    <row r="1558" spans="2:8">
      <c r="B1558" s="36">
        <v>43482</v>
      </c>
      <c r="C1558" s="185">
        <v>1395.65</v>
      </c>
      <c r="D1558" s="185">
        <f t="shared" si="51"/>
        <v>0.21779154487151534</v>
      </c>
      <c r="E1558" s="185">
        <v>-1.4309734196687296E-3</v>
      </c>
      <c r="F1558" s="171"/>
      <c r="G1558" s="171">
        <v>1555</v>
      </c>
      <c r="H1558" s="186">
        <f t="shared" ca="1" si="52"/>
        <v>5.7572245881021998E-3</v>
      </c>
    </row>
    <row r="1559" spans="2:8">
      <c r="B1559" s="36">
        <v>43097</v>
      </c>
      <c r="C1559" s="185">
        <v>1146.05</v>
      </c>
      <c r="D1559" s="185">
        <f t="shared" si="51"/>
        <v>-0.12638640088424741</v>
      </c>
      <c r="E1559" s="185">
        <v>-1.4376579245448209E-3</v>
      </c>
      <c r="F1559" s="171"/>
      <c r="G1559" s="171">
        <v>1556</v>
      </c>
      <c r="H1559" s="186">
        <f t="shared" ca="1" si="52"/>
        <v>-9.6709618480486422E-3</v>
      </c>
    </row>
    <row r="1560" spans="2:8">
      <c r="B1560" s="36">
        <v>43238</v>
      </c>
      <c r="C1560" s="185">
        <v>1311.85</v>
      </c>
      <c r="D1560" s="185">
        <f t="shared" si="51"/>
        <v>0.52789424644770544</v>
      </c>
      <c r="E1560" s="185">
        <v>-1.4462416745956925E-3</v>
      </c>
      <c r="F1560" s="171"/>
      <c r="G1560" s="171">
        <v>1557</v>
      </c>
      <c r="H1560" s="186">
        <f t="shared" ca="1" si="52"/>
        <v>-3.0238667986935697E-2</v>
      </c>
    </row>
    <row r="1561" spans="2:8">
      <c r="B1561" s="36">
        <v>42397</v>
      </c>
      <c r="C1561" s="185">
        <v>858.6</v>
      </c>
      <c r="D1561" s="185">
        <f t="shared" si="51"/>
        <v>-0.26448794277637377</v>
      </c>
      <c r="E1561" s="185">
        <v>-1.4537419317322789E-3</v>
      </c>
      <c r="F1561" s="171"/>
      <c r="G1561" s="171">
        <v>1558</v>
      </c>
      <c r="H1561" s="186">
        <f t="shared" ca="1" si="52"/>
        <v>2.7726310681389248E-2</v>
      </c>
    </row>
    <row r="1562" spans="2:8">
      <c r="B1562" s="36">
        <v>42864</v>
      </c>
      <c r="C1562" s="185">
        <v>1167.3499999999999</v>
      </c>
      <c r="D1562" s="185">
        <f t="shared" si="51"/>
        <v>-0.60342103922134838</v>
      </c>
      <c r="E1562" s="185">
        <v>-1.4541721910953727E-3</v>
      </c>
      <c r="F1562" s="171"/>
      <c r="G1562" s="171">
        <v>1559</v>
      </c>
      <c r="H1562" s="186">
        <f t="shared" ca="1" si="52"/>
        <v>6.4632778107898466E-3</v>
      </c>
    </row>
    <row r="1563" spans="2:8">
      <c r="B1563" s="36">
        <v>44756</v>
      </c>
      <c r="C1563" s="185">
        <v>2943.55</v>
      </c>
      <c r="D1563" s="185">
        <f t="shared" si="51"/>
        <v>1.5647381719961664</v>
      </c>
      <c r="E1563" s="185">
        <v>-1.4756267173241661E-3</v>
      </c>
      <c r="F1563" s="171"/>
      <c r="G1563" s="171">
        <v>1560</v>
      </c>
      <c r="H1563" s="186">
        <f t="shared" ca="1" si="52"/>
        <v>-2.2483837443499743E-2</v>
      </c>
    </row>
    <row r="1564" spans="2:8">
      <c r="B1564" s="36">
        <v>43096</v>
      </c>
      <c r="C1564" s="185">
        <v>1147.7</v>
      </c>
      <c r="D1564" s="185">
        <f t="shared" si="51"/>
        <v>0.29209119054320298</v>
      </c>
      <c r="E1564" s="185">
        <v>-1.4790325387158913E-3</v>
      </c>
      <c r="F1564" s="171"/>
      <c r="G1564" s="171">
        <v>1561</v>
      </c>
      <c r="H1564" s="186">
        <f t="shared" ca="1" si="52"/>
        <v>3.0781556894293291E-3</v>
      </c>
    </row>
    <row r="1565" spans="2:8">
      <c r="B1565" s="36">
        <v>42409</v>
      </c>
      <c r="C1565" s="185">
        <v>888.25</v>
      </c>
      <c r="D1565" s="185">
        <f t="shared" si="51"/>
        <v>-0.24756459127488353</v>
      </c>
      <c r="E1565" s="185">
        <v>-1.5175359712230471E-3</v>
      </c>
      <c r="F1565" s="171"/>
      <c r="G1565" s="171">
        <v>1562</v>
      </c>
      <c r="H1565" s="186">
        <f t="shared" ca="1" si="52"/>
        <v>2.4637387304474678E-2</v>
      </c>
    </row>
    <row r="1566" spans="2:8">
      <c r="B1566" s="36">
        <v>43027</v>
      </c>
      <c r="C1566" s="185">
        <v>1180.5</v>
      </c>
      <c r="D1566" s="185">
        <f t="shared" si="51"/>
        <v>-0.626866851047017</v>
      </c>
      <c r="E1566" s="185">
        <v>-1.5224562293833668E-3</v>
      </c>
      <c r="F1566" s="171"/>
      <c r="G1566" s="171">
        <v>1563</v>
      </c>
      <c r="H1566" s="186">
        <f t="shared" ca="1" si="52"/>
        <v>1.6145050138521015E-2</v>
      </c>
    </row>
    <row r="1567" spans="2:8">
      <c r="B1567" s="36">
        <v>45531</v>
      </c>
      <c r="C1567" s="185">
        <v>3163.75</v>
      </c>
      <c r="D1567" s="185">
        <f t="shared" si="51"/>
        <v>1.3141206158797496</v>
      </c>
      <c r="E1567" s="185">
        <v>-1.5306444486523731E-3</v>
      </c>
      <c r="F1567" s="171"/>
      <c r="G1567" s="171">
        <v>1564</v>
      </c>
      <c r="H1567" s="186">
        <f t="shared" ca="1" si="52"/>
        <v>4.0080213004304952E-3</v>
      </c>
    </row>
    <row r="1568" spans="2:8">
      <c r="B1568" s="36">
        <v>43613</v>
      </c>
      <c r="C1568" s="185">
        <v>1367.15</v>
      </c>
      <c r="D1568" s="185">
        <f t="shared" si="51"/>
        <v>5.5918130913303797E-2</v>
      </c>
      <c r="E1568" s="185">
        <v>-1.5336863246302056E-3</v>
      </c>
      <c r="F1568" s="171"/>
      <c r="G1568" s="171">
        <v>1565</v>
      </c>
      <c r="H1568" s="186">
        <f t="shared" ca="1" si="52"/>
        <v>4.7917571331940311E-3</v>
      </c>
    </row>
    <row r="1569" spans="2:8">
      <c r="B1569" s="36">
        <v>43285</v>
      </c>
      <c r="C1569" s="185">
        <v>1294.75</v>
      </c>
      <c r="D1569" s="185">
        <f t="shared" si="51"/>
        <v>-0.6219432075333966</v>
      </c>
      <c r="E1569" s="185">
        <v>-1.542317331791016E-3</v>
      </c>
      <c r="F1569" s="171"/>
      <c r="G1569" s="171">
        <v>1566</v>
      </c>
      <c r="H1569" s="186">
        <f t="shared" ca="1" si="52"/>
        <v>-3.4476556290358944E-2</v>
      </c>
    </row>
    <row r="1570" spans="2:8">
      <c r="B1570" s="36">
        <v>45292</v>
      </c>
      <c r="C1570" s="185">
        <v>3424.75</v>
      </c>
      <c r="D1570" s="185">
        <f t="shared" si="51"/>
        <v>3.2625552305681746</v>
      </c>
      <c r="E1570" s="185">
        <v>-1.5451669800732298E-3</v>
      </c>
      <c r="F1570" s="171"/>
      <c r="G1570" s="171">
        <v>1567</v>
      </c>
      <c r="H1570" s="186">
        <f t="shared" ca="1" si="52"/>
        <v>-9.6488321284554941E-3</v>
      </c>
    </row>
    <row r="1571" spans="2:8">
      <c r="B1571" s="36">
        <v>42321</v>
      </c>
      <c r="C1571" s="185">
        <v>803.45</v>
      </c>
      <c r="D1571" s="185">
        <f t="shared" si="51"/>
        <v>-0.3725987818210213</v>
      </c>
      <c r="E1571" s="185">
        <v>-1.5533739281719894E-3</v>
      </c>
      <c r="F1571" s="171"/>
      <c r="G1571" s="171">
        <v>1568</v>
      </c>
      <c r="H1571" s="186">
        <f t="shared" ca="1" si="52"/>
        <v>8.0966319755095984E-3</v>
      </c>
    </row>
    <row r="1572" spans="2:8">
      <c r="B1572" s="36">
        <v>43264</v>
      </c>
      <c r="C1572" s="185">
        <v>1280.5999999999999</v>
      </c>
      <c r="D1572" s="185">
        <f t="shared" si="51"/>
        <v>-0.47291735265064211</v>
      </c>
      <c r="E1572" s="185">
        <v>-1.5593326056447842E-3</v>
      </c>
      <c r="F1572" s="171"/>
      <c r="G1572" s="171">
        <v>1569</v>
      </c>
      <c r="H1572" s="186">
        <f t="shared" ca="1" si="52"/>
        <v>1.9463281780003439E-2</v>
      </c>
    </row>
    <row r="1573" spans="2:8">
      <c r="B1573" s="36">
        <v>45769</v>
      </c>
      <c r="C1573" s="185">
        <v>2429.6</v>
      </c>
      <c r="D1573" s="185">
        <f t="shared" si="51"/>
        <v>0.73635876362336961</v>
      </c>
      <c r="E1573" s="185">
        <v>-1.5616010520260466E-3</v>
      </c>
      <c r="F1573" s="171"/>
      <c r="G1573" s="171">
        <v>1570</v>
      </c>
      <c r="H1573" s="186">
        <f t="shared" ca="1" si="52"/>
        <v>-2.7114659241029813E-3</v>
      </c>
    </row>
    <row r="1574" spans="2:8">
      <c r="B1574" s="36">
        <v>43328</v>
      </c>
      <c r="C1574" s="185">
        <v>1399.25</v>
      </c>
      <c r="D1574" s="185">
        <f t="shared" si="51"/>
        <v>8.1713115070928877E-2</v>
      </c>
      <c r="E1574" s="185">
        <v>-1.569802704341964E-3</v>
      </c>
      <c r="F1574" s="171"/>
      <c r="G1574" s="171">
        <v>1571</v>
      </c>
      <c r="H1574" s="186">
        <f t="shared" ca="1" si="52"/>
        <v>1.635756912715372E-2</v>
      </c>
    </row>
    <row r="1575" spans="2:8">
      <c r="B1575" s="36">
        <v>43362</v>
      </c>
      <c r="C1575" s="185">
        <v>1293.55</v>
      </c>
      <c r="D1575" s="185">
        <f t="shared" si="51"/>
        <v>-0.58240250516528924</v>
      </c>
      <c r="E1575" s="185">
        <v>-1.5822784810126233E-3</v>
      </c>
      <c r="F1575" s="171"/>
      <c r="G1575" s="171">
        <v>1572</v>
      </c>
      <c r="H1575" s="186">
        <f t="shared" ca="1" si="52"/>
        <v>5.3783075003690809E-3</v>
      </c>
    </row>
    <row r="1576" spans="2:8">
      <c r="B1576" s="36">
        <v>44886</v>
      </c>
      <c r="C1576" s="185">
        <v>3097.6</v>
      </c>
      <c r="D1576" s="185">
        <f t="shared" si="51"/>
        <v>1.681324388660463</v>
      </c>
      <c r="E1576" s="185">
        <v>-1.595461797553713E-3</v>
      </c>
      <c r="F1576" s="171"/>
      <c r="G1576" s="171">
        <v>1573</v>
      </c>
      <c r="H1576" s="186">
        <f t="shared" ca="1" si="52"/>
        <v>7.5539182004242774E-4</v>
      </c>
    </row>
    <row r="1577" spans="2:8">
      <c r="B1577" s="36">
        <v>42957</v>
      </c>
      <c r="C1577" s="185">
        <v>1155.25</v>
      </c>
      <c r="D1577" s="185">
        <f t="shared" si="51"/>
        <v>-0.61218255367004049</v>
      </c>
      <c r="E1577" s="185">
        <v>-1.5988246478263843E-3</v>
      </c>
      <c r="F1577" s="171"/>
      <c r="G1577" s="171">
        <v>1574</v>
      </c>
      <c r="H1577" s="186">
        <f t="shared" ca="1" si="52"/>
        <v>-1.9599881645366624E-2</v>
      </c>
    </row>
    <row r="1578" spans="2:8">
      <c r="B1578" s="36">
        <v>44419</v>
      </c>
      <c r="C1578" s="185">
        <v>2978.85</v>
      </c>
      <c r="D1578" s="185">
        <f t="shared" si="51"/>
        <v>-8.0998951070525141E-2</v>
      </c>
      <c r="E1578" s="185">
        <v>-1.6087677844251779E-3</v>
      </c>
      <c r="F1578" s="171"/>
      <c r="G1578" s="171">
        <v>1575</v>
      </c>
      <c r="H1578" s="186">
        <f t="shared" ca="1" si="52"/>
        <v>1.1585238798101399E-2</v>
      </c>
    </row>
    <row r="1579" spans="2:8">
      <c r="B1579" s="36">
        <v>45174</v>
      </c>
      <c r="C1579" s="185">
        <v>3241.4</v>
      </c>
      <c r="D1579" s="185">
        <f t="shared" si="51"/>
        <v>0.87787497827472349</v>
      </c>
      <c r="E1579" s="185">
        <v>-1.617051422235227E-3</v>
      </c>
      <c r="F1579" s="171"/>
      <c r="G1579" s="171">
        <v>1576</v>
      </c>
      <c r="H1579" s="186">
        <f t="shared" ca="1" si="52"/>
        <v>2.8193501743169181E-3</v>
      </c>
    </row>
    <row r="1580" spans="2:8">
      <c r="B1580" s="36">
        <v>43942</v>
      </c>
      <c r="C1580" s="185">
        <v>1726.1</v>
      </c>
      <c r="D1580" s="185">
        <f t="shared" si="51"/>
        <v>-0.29127489221925684</v>
      </c>
      <c r="E1580" s="185">
        <v>-1.6195268667940203E-3</v>
      </c>
      <c r="F1580" s="171"/>
      <c r="G1580" s="171">
        <v>1577</v>
      </c>
      <c r="H1580" s="186">
        <f t="shared" ca="1" si="52"/>
        <v>2.3355444937321148E-3</v>
      </c>
    </row>
    <row r="1581" spans="2:8">
      <c r="B1581" s="36">
        <v>45842</v>
      </c>
      <c r="C1581" s="185">
        <v>2435.5</v>
      </c>
      <c r="D1581" s="185">
        <f t="shared" si="51"/>
        <v>1.0009037134406835</v>
      </c>
      <c r="E1581" s="185">
        <v>-1.639680262348842E-3</v>
      </c>
      <c r="F1581" s="171"/>
      <c r="G1581" s="171">
        <v>1578</v>
      </c>
      <c r="H1581" s="186">
        <f t="shared" ca="1" si="52"/>
        <v>2.2639306208997217E-2</v>
      </c>
    </row>
    <row r="1582" spans="2:8">
      <c r="B1582" s="36">
        <v>42656</v>
      </c>
      <c r="C1582" s="185">
        <v>1217.2</v>
      </c>
      <c r="D1582" s="185">
        <f t="shared" si="51"/>
        <v>5.852682841986255E-2</v>
      </c>
      <c r="E1582" s="185">
        <v>-1.6404199475065617E-3</v>
      </c>
      <c r="F1582" s="171"/>
      <c r="G1582" s="171">
        <v>1579</v>
      </c>
      <c r="H1582" s="186">
        <f t="shared" ca="1" si="52"/>
        <v>-7.7452680898370116E-3</v>
      </c>
    </row>
    <row r="1583" spans="2:8">
      <c r="B1583" s="36">
        <v>43125</v>
      </c>
      <c r="C1583" s="185">
        <v>1149.9000000000001</v>
      </c>
      <c r="D1583" s="185">
        <f t="shared" si="51"/>
        <v>-0.55791780400599744</v>
      </c>
      <c r="E1583" s="185">
        <v>-1.6495919430455494E-3</v>
      </c>
      <c r="F1583" s="171"/>
      <c r="G1583" s="171">
        <v>1580</v>
      </c>
      <c r="H1583" s="186">
        <f t="shared" ca="1" si="52"/>
        <v>2.4511769984614771E-2</v>
      </c>
    </row>
    <row r="1584" spans="2:8">
      <c r="B1584" s="36">
        <v>46163</v>
      </c>
      <c r="C1584" s="185">
        <v>2601.1</v>
      </c>
      <c r="D1584" s="185">
        <f t="shared" si="51"/>
        <v>-0.23434004474272929</v>
      </c>
      <c r="E1584" s="185">
        <v>-1.6504183618638911E-3</v>
      </c>
      <c r="F1584" s="171"/>
      <c r="G1584" s="171">
        <v>1581</v>
      </c>
      <c r="H1584" s="186">
        <f t="shared" ca="1" si="52"/>
        <v>9.1189856608051983E-3</v>
      </c>
    </row>
    <row r="1585" spans="2:8">
      <c r="B1585" s="36">
        <v>45288</v>
      </c>
      <c r="C1585" s="185">
        <v>3397.2</v>
      </c>
      <c r="D1585" s="185">
        <f t="shared" si="51"/>
        <v>0.92541373838131924</v>
      </c>
      <c r="E1585" s="185">
        <v>-1.6603729226971778E-3</v>
      </c>
      <c r="F1585" s="171"/>
      <c r="G1585" s="171">
        <v>1582</v>
      </c>
      <c r="H1585" s="186">
        <f t="shared" ca="1" si="52"/>
        <v>8.2396181083126876E-3</v>
      </c>
    </row>
    <row r="1586" spans="2:8">
      <c r="B1586" s="36">
        <v>43951</v>
      </c>
      <c r="C1586" s="185">
        <v>1764.4</v>
      </c>
      <c r="D1586" s="185">
        <f t="shared" si="51"/>
        <v>-0.4885871219257692</v>
      </c>
      <c r="E1586" s="185">
        <v>-1.6691657000593081E-3</v>
      </c>
      <c r="F1586" s="171"/>
      <c r="G1586" s="171">
        <v>1583</v>
      </c>
      <c r="H1586" s="186">
        <f t="shared" ca="1" si="52"/>
        <v>1.3165253909697125E-2</v>
      </c>
    </row>
    <row r="1587" spans="2:8">
      <c r="B1587" s="36">
        <v>44816</v>
      </c>
      <c r="C1587" s="185">
        <v>3450.05</v>
      </c>
      <c r="D1587" s="185">
        <f t="shared" si="51"/>
        <v>1.9345893760898225</v>
      </c>
      <c r="E1587" s="185">
        <v>-1.6783135842121989E-3</v>
      </c>
      <c r="F1587" s="171"/>
      <c r="G1587" s="171">
        <v>1584</v>
      </c>
      <c r="H1587" s="186">
        <f t="shared" ca="1" si="52"/>
        <v>-3.0381927546110746E-2</v>
      </c>
    </row>
    <row r="1588" spans="2:8">
      <c r="B1588" s="36">
        <v>43024</v>
      </c>
      <c r="C1588" s="185">
        <v>1175.6500000000001</v>
      </c>
      <c r="D1588" s="185">
        <f t="shared" si="51"/>
        <v>-0.64214835783642288</v>
      </c>
      <c r="E1588" s="185">
        <v>-1.6982974567995583E-3</v>
      </c>
      <c r="F1588" s="171"/>
      <c r="G1588" s="171">
        <v>1585</v>
      </c>
      <c r="H1588" s="186">
        <f t="shared" ca="1" si="52"/>
        <v>6.3079622146911558E-3</v>
      </c>
    </row>
    <row r="1589" spans="2:8">
      <c r="B1589" s="36">
        <v>45306</v>
      </c>
      <c r="C1589" s="185">
        <v>3285.3</v>
      </c>
      <c r="D1589" s="185">
        <f t="shared" si="51"/>
        <v>-3.9512344866903373E-2</v>
      </c>
      <c r="E1589" s="185">
        <v>-1.7016621592877053E-3</v>
      </c>
      <c r="F1589" s="171"/>
      <c r="G1589" s="171">
        <v>1586</v>
      </c>
      <c r="H1589" s="186">
        <f t="shared" ca="1" si="52"/>
        <v>-1.9381327937370851E-2</v>
      </c>
    </row>
    <row r="1590" spans="2:8">
      <c r="B1590" s="36">
        <v>44784</v>
      </c>
      <c r="C1590" s="185">
        <v>3420.45</v>
      </c>
      <c r="D1590" s="185">
        <f t="shared" si="51"/>
        <v>0.13717439366989709</v>
      </c>
      <c r="E1590" s="185">
        <v>-1.7073811400053595E-3</v>
      </c>
      <c r="F1590" s="171"/>
      <c r="G1590" s="171">
        <v>1587</v>
      </c>
      <c r="H1590" s="186">
        <f t="shared" ca="1" si="52"/>
        <v>1.0260599727104363E-2</v>
      </c>
    </row>
    <row r="1591" spans="2:8">
      <c r="B1591" s="36">
        <v>44390</v>
      </c>
      <c r="C1591" s="185">
        <v>3007.85</v>
      </c>
      <c r="D1591" s="185">
        <f t="shared" si="51"/>
        <v>1.2429066776033706</v>
      </c>
      <c r="E1591" s="185">
        <v>-1.7092598738798841E-3</v>
      </c>
      <c r="F1591" s="171"/>
      <c r="G1591" s="171">
        <v>1588</v>
      </c>
      <c r="H1591" s="186">
        <f t="shared" ca="1" si="52"/>
        <v>9.4100025978166423E-3</v>
      </c>
    </row>
    <row r="1592" spans="2:8">
      <c r="B1592" s="36">
        <v>43451</v>
      </c>
      <c r="C1592" s="185">
        <v>1341.05</v>
      </c>
      <c r="D1592" s="185">
        <f t="shared" si="51"/>
        <v>-0.2177501677020445</v>
      </c>
      <c r="E1592" s="185">
        <v>-1.7121375665313989E-3</v>
      </c>
      <c r="F1592" s="171"/>
      <c r="G1592" s="171">
        <v>1589</v>
      </c>
      <c r="H1592" s="186">
        <f t="shared" ca="1" si="52"/>
        <v>3.5445226579022904E-3</v>
      </c>
    </row>
    <row r="1593" spans="2:8">
      <c r="B1593" s="36">
        <v>43797</v>
      </c>
      <c r="C1593" s="185">
        <v>1714.35</v>
      </c>
      <c r="D1593" s="185">
        <f t="shared" si="51"/>
        <v>-0.43248477224576276</v>
      </c>
      <c r="E1593" s="185">
        <v>-1.717812845746256E-3</v>
      </c>
      <c r="F1593" s="171"/>
      <c r="G1593" s="171">
        <v>1590</v>
      </c>
      <c r="H1593" s="186">
        <f t="shared" ca="1" si="52"/>
        <v>-7.8752163248510081E-3</v>
      </c>
    </row>
    <row r="1594" spans="2:8">
      <c r="B1594" s="36">
        <v>44931</v>
      </c>
      <c r="C1594" s="185">
        <v>3020.8</v>
      </c>
      <c r="D1594" s="185">
        <f t="shared" si="51"/>
        <v>0.69617339060613725</v>
      </c>
      <c r="E1594" s="185">
        <v>-1.7184401850627291E-3</v>
      </c>
      <c r="F1594" s="171"/>
      <c r="G1594" s="171">
        <v>1591</v>
      </c>
      <c r="H1594" s="186">
        <f t="shared" ca="1" si="52"/>
        <v>5.7166072169967984E-3</v>
      </c>
    </row>
    <row r="1595" spans="2:8">
      <c r="B1595" s="36">
        <v>43853</v>
      </c>
      <c r="C1595" s="185">
        <v>1780.95</v>
      </c>
      <c r="D1595" s="185">
        <f t="shared" si="51"/>
        <v>4.0669646770093867E-2</v>
      </c>
      <c r="E1595" s="185">
        <v>-1.7376194613379161E-3</v>
      </c>
      <c r="F1595" s="171"/>
      <c r="G1595" s="171">
        <v>1592</v>
      </c>
      <c r="H1595" s="186">
        <f t="shared" ca="1" si="52"/>
        <v>-1.5977304818687945E-2</v>
      </c>
    </row>
    <row r="1596" spans="2:8">
      <c r="B1596" s="36">
        <v>43798</v>
      </c>
      <c r="C1596" s="185">
        <v>1711.35</v>
      </c>
      <c r="D1596" s="185">
        <f t="shared" si="51"/>
        <v>0.45158827770473714</v>
      </c>
      <c r="E1596" s="185">
        <v>-1.7499343774608452E-3</v>
      </c>
      <c r="F1596" s="171"/>
      <c r="G1596" s="171">
        <v>1593</v>
      </c>
      <c r="H1596" s="186">
        <f t="shared" ca="1" si="52"/>
        <v>1.5135183123429919E-3</v>
      </c>
    </row>
    <row r="1597" spans="2:8">
      <c r="B1597" s="36">
        <v>43052</v>
      </c>
      <c r="C1597" s="185">
        <v>1178.95</v>
      </c>
      <c r="D1597" s="185">
        <f t="shared" si="51"/>
        <v>-0.59345149832752853</v>
      </c>
      <c r="E1597" s="185">
        <v>-1.7780788281613049E-3</v>
      </c>
      <c r="F1597" s="171"/>
      <c r="G1597" s="171">
        <v>1594</v>
      </c>
      <c r="H1597" s="186">
        <f t="shared" ca="1" si="52"/>
        <v>-1.6268405599204224E-2</v>
      </c>
    </row>
    <row r="1598" spans="2:8">
      <c r="B1598" s="36">
        <v>45043</v>
      </c>
      <c r="C1598" s="185">
        <v>2899.9</v>
      </c>
      <c r="D1598" s="185">
        <f t="shared" si="51"/>
        <v>1.6245814100823603</v>
      </c>
      <c r="E1598" s="185">
        <v>-1.7899555953322841E-3</v>
      </c>
      <c r="F1598" s="171"/>
      <c r="G1598" s="171">
        <v>1595</v>
      </c>
      <c r="H1598" s="186">
        <f t="shared" ca="1" si="52"/>
        <v>-8.1225700035015332E-3</v>
      </c>
    </row>
    <row r="1599" spans="2:8">
      <c r="B1599" s="36">
        <v>42852</v>
      </c>
      <c r="C1599" s="185">
        <v>1104.9000000000001</v>
      </c>
      <c r="D1599" s="185">
        <f t="shared" si="51"/>
        <v>-0.58315098468271331</v>
      </c>
      <c r="E1599" s="185">
        <v>-1.8068479537446923E-3</v>
      </c>
      <c r="F1599" s="171"/>
      <c r="G1599" s="171">
        <v>1596</v>
      </c>
      <c r="H1599" s="186">
        <f t="shared" ca="1" si="52"/>
        <v>-1.9728389870839122E-2</v>
      </c>
    </row>
    <row r="1600" spans="2:8">
      <c r="B1600" s="36">
        <v>46177</v>
      </c>
      <c r="C1600" s="185">
        <v>2650.6</v>
      </c>
      <c r="D1600" s="185">
        <f t="shared" si="51"/>
        <v>1.6323054769352994</v>
      </c>
      <c r="E1600" s="185">
        <v>-1.8076372674550659E-3</v>
      </c>
      <c r="F1600" s="171"/>
      <c r="G1600" s="171">
        <v>1597</v>
      </c>
      <c r="H1600" s="186">
        <f t="shared" ca="1" si="52"/>
        <v>1.6826899449545983E-2</v>
      </c>
    </row>
    <row r="1601" spans="2:8">
      <c r="B1601" s="36">
        <v>42793</v>
      </c>
      <c r="C1601" s="185">
        <v>1006.95</v>
      </c>
      <c r="D1601" s="185">
        <f t="shared" si="51"/>
        <v>-0.28203208556149728</v>
      </c>
      <c r="E1601" s="185">
        <v>-1.8338620142742954E-3</v>
      </c>
      <c r="F1601" s="171"/>
      <c r="G1601" s="171">
        <v>1598</v>
      </c>
      <c r="H1601" s="186">
        <f t="shared" ca="1" si="52"/>
        <v>1.0075883224493543E-2</v>
      </c>
    </row>
    <row r="1602" spans="2:8">
      <c r="B1602" s="36">
        <v>43525</v>
      </c>
      <c r="C1602" s="185">
        <v>1402.5</v>
      </c>
      <c r="D1602" s="185">
        <f t="shared" si="51"/>
        <v>0.49935856318152666</v>
      </c>
      <c r="E1602" s="185">
        <v>-1.8504021066115645E-3</v>
      </c>
      <c r="F1602" s="171"/>
      <c r="G1602" s="171">
        <v>1599</v>
      </c>
      <c r="H1602" s="186">
        <f t="shared" ca="1" si="52"/>
        <v>3.3067534394098457E-3</v>
      </c>
    </row>
    <row r="1603" spans="2:8">
      <c r="B1603" s="36">
        <v>42711</v>
      </c>
      <c r="C1603" s="185">
        <v>935.4</v>
      </c>
      <c r="D1603" s="185">
        <f t="shared" si="51"/>
        <v>-0.7200993446841617</v>
      </c>
      <c r="E1603" s="185">
        <v>-1.8673638158245745E-3</v>
      </c>
      <c r="F1603" s="171"/>
      <c r="G1603" s="171">
        <v>1600</v>
      </c>
      <c r="H1603" s="186">
        <f t="shared" ca="1" si="52"/>
        <v>-2.2804239580343048E-3</v>
      </c>
    </row>
    <row r="1604" spans="2:8">
      <c r="B1604" s="36">
        <v>44447</v>
      </c>
      <c r="C1604" s="185">
        <v>3341.9</v>
      </c>
      <c r="D1604" s="185">
        <f t="shared" ref="D1604:D1667" si="53">(C1604-C1605)/C1605</f>
        <v>1.8300800270991238</v>
      </c>
      <c r="E1604" s="185">
        <v>-1.8965131038601983E-3</v>
      </c>
      <c r="F1604" s="171"/>
      <c r="G1604" s="171">
        <v>1601</v>
      </c>
      <c r="H1604" s="186">
        <f t="shared" ca="1" si="52"/>
        <v>-1.677050202917823E-3</v>
      </c>
    </row>
    <row r="1605" spans="2:8">
      <c r="B1605" s="36">
        <v>43055</v>
      </c>
      <c r="C1605" s="185">
        <v>1180.8499999999999</v>
      </c>
      <c r="D1605" s="185">
        <f t="shared" si="53"/>
        <v>-0.56187737686671002</v>
      </c>
      <c r="E1605" s="185">
        <v>-1.9017834502577974E-3</v>
      </c>
      <c r="F1605" s="171"/>
      <c r="G1605" s="171">
        <v>1602</v>
      </c>
      <c r="H1605" s="186">
        <f t="shared" ref="H1605:H1668" ca="1" si="54">_xlfn.NORM.INV(RAND(),N$6,N$7)</f>
        <v>-3.422645234857979E-4</v>
      </c>
    </row>
    <row r="1606" spans="2:8">
      <c r="B1606" s="36">
        <v>44742</v>
      </c>
      <c r="C1606" s="185">
        <v>2695.25</v>
      </c>
      <c r="D1606" s="185">
        <f t="shared" si="53"/>
        <v>8.3953348079630008E-2</v>
      </c>
      <c r="E1606" s="185">
        <v>-1.9256049917605652E-3</v>
      </c>
      <c r="F1606" s="171"/>
      <c r="G1606" s="171">
        <v>1603</v>
      </c>
      <c r="H1606" s="186">
        <f t="shared" ca="1" si="54"/>
        <v>1.4644077781470841E-2</v>
      </c>
    </row>
    <row r="1607" spans="2:8">
      <c r="B1607" s="36">
        <v>45895</v>
      </c>
      <c r="C1607" s="185">
        <v>2486.5</v>
      </c>
      <c r="D1607" s="185">
        <f t="shared" si="53"/>
        <v>-0.19286514209663547</v>
      </c>
      <c r="E1607" s="185">
        <v>-1.9267049331674955E-3</v>
      </c>
      <c r="F1607" s="171"/>
      <c r="G1607" s="171">
        <v>1604</v>
      </c>
      <c r="H1607" s="186">
        <f t="shared" ca="1" si="54"/>
        <v>1.8162099743934471E-2</v>
      </c>
    </row>
    <row r="1608" spans="2:8">
      <c r="B1608" s="36">
        <v>44916</v>
      </c>
      <c r="C1608" s="185">
        <v>3080.65</v>
      </c>
      <c r="D1608" s="185">
        <f t="shared" si="53"/>
        <v>1.6233926594566979</v>
      </c>
      <c r="E1608" s="185">
        <v>-1.9276874230544348E-3</v>
      </c>
      <c r="F1608" s="171"/>
      <c r="G1608" s="171">
        <v>1605</v>
      </c>
      <c r="H1608" s="186">
        <f t="shared" ca="1" si="54"/>
        <v>1.1964564992145376E-3</v>
      </c>
    </row>
    <row r="1609" spans="2:8">
      <c r="B1609" s="36">
        <v>43208</v>
      </c>
      <c r="C1609" s="185">
        <v>1174.3</v>
      </c>
      <c r="D1609" s="185">
        <f t="shared" si="53"/>
        <v>-0.62132181035455736</v>
      </c>
      <c r="E1609" s="185">
        <v>-1.9547849736528595E-3</v>
      </c>
      <c r="F1609" s="171"/>
      <c r="G1609" s="171">
        <v>1606</v>
      </c>
      <c r="H1609" s="186">
        <f t="shared" ca="1" si="54"/>
        <v>5.9765882392305873E-4</v>
      </c>
    </row>
    <row r="1610" spans="2:8">
      <c r="B1610" s="36">
        <v>44888</v>
      </c>
      <c r="C1610" s="185">
        <v>3101.05</v>
      </c>
      <c r="D1610" s="185">
        <f t="shared" si="53"/>
        <v>-0.12120439249025854</v>
      </c>
      <c r="E1610" s="185">
        <v>-1.9953334942472661E-3</v>
      </c>
      <c r="F1610" s="171"/>
      <c r="G1610" s="171">
        <v>1607</v>
      </c>
      <c r="H1610" s="186">
        <f t="shared" ca="1" si="54"/>
        <v>-1.1365730507507698E-2</v>
      </c>
    </row>
    <row r="1611" spans="2:8">
      <c r="B1611" s="36">
        <v>45128</v>
      </c>
      <c r="C1611" s="185">
        <v>3528.75</v>
      </c>
      <c r="D1611" s="185">
        <f t="shared" si="53"/>
        <v>0.24840798132031419</v>
      </c>
      <c r="E1611" s="185">
        <v>-2.0080037331900134E-3</v>
      </c>
      <c r="F1611" s="171"/>
      <c r="G1611" s="171">
        <v>1608</v>
      </c>
      <c r="H1611" s="186">
        <f t="shared" ca="1" si="54"/>
        <v>1.2319239045830769E-2</v>
      </c>
    </row>
    <row r="1612" spans="2:8">
      <c r="B1612" s="36">
        <v>44335</v>
      </c>
      <c r="C1612" s="185">
        <v>2826.6</v>
      </c>
      <c r="D1612" s="185">
        <f t="shared" si="53"/>
        <v>0.17478855385382669</v>
      </c>
      <c r="E1612" s="185">
        <v>-2.0301163344925593E-3</v>
      </c>
      <c r="F1612" s="171"/>
      <c r="G1612" s="171">
        <v>1609</v>
      </c>
      <c r="H1612" s="186">
        <f t="shared" ca="1" si="54"/>
        <v>1.6624241485848769E-2</v>
      </c>
    </row>
    <row r="1613" spans="2:8">
      <c r="B1613" s="36">
        <v>45642</v>
      </c>
      <c r="C1613" s="185">
        <v>2406.0500000000002</v>
      </c>
      <c r="D1613" s="185">
        <f t="shared" si="53"/>
        <v>-0.25726589390174248</v>
      </c>
      <c r="E1613" s="185">
        <v>-2.0323938696362996E-3</v>
      </c>
      <c r="F1613" s="171"/>
      <c r="G1613" s="171">
        <v>1610</v>
      </c>
      <c r="H1613" s="186">
        <f t="shared" ca="1" si="54"/>
        <v>2.2548831670625756E-3</v>
      </c>
    </row>
    <row r="1614" spans="2:8">
      <c r="B1614" s="36">
        <v>45272</v>
      </c>
      <c r="C1614" s="185">
        <v>3239.45</v>
      </c>
      <c r="D1614" s="185">
        <f t="shared" si="53"/>
        <v>1.3189448441247</v>
      </c>
      <c r="E1614" s="185">
        <v>-2.0332403998707237E-3</v>
      </c>
      <c r="F1614" s="171"/>
      <c r="G1614" s="171">
        <v>1611</v>
      </c>
      <c r="H1614" s="186">
        <f t="shared" ca="1" si="54"/>
        <v>-1.3076159584716122E-3</v>
      </c>
    </row>
    <row r="1615" spans="2:8">
      <c r="B1615" s="36">
        <v>43336</v>
      </c>
      <c r="C1615" s="185">
        <v>1396.95</v>
      </c>
      <c r="D1615" s="185">
        <f t="shared" si="53"/>
        <v>-0.51179492556091422</v>
      </c>
      <c r="E1615" s="185">
        <v>-2.0360051435918767E-3</v>
      </c>
      <c r="F1615" s="171"/>
      <c r="G1615" s="171">
        <v>1612</v>
      </c>
      <c r="H1615" s="186">
        <f t="shared" ca="1" si="54"/>
        <v>2.2101661554956926E-2</v>
      </c>
    </row>
    <row r="1616" spans="2:8">
      <c r="B1616" s="36">
        <v>45446</v>
      </c>
      <c r="C1616" s="185">
        <v>2861.4</v>
      </c>
      <c r="D1616" s="185">
        <f t="shared" si="53"/>
        <v>0.19816594435022925</v>
      </c>
      <c r="E1616" s="185">
        <v>-2.0402825006539051E-3</v>
      </c>
      <c r="F1616" s="171"/>
      <c r="G1616" s="171">
        <v>1613</v>
      </c>
      <c r="H1616" s="186">
        <f t="shared" ca="1" si="54"/>
        <v>8.6116326897205456E-3</v>
      </c>
    </row>
    <row r="1617" spans="2:8">
      <c r="B1617" s="36">
        <v>44263</v>
      </c>
      <c r="C1617" s="185">
        <v>2388.15</v>
      </c>
      <c r="D1617" s="185">
        <f t="shared" si="53"/>
        <v>-0.21730794441531193</v>
      </c>
      <c r="E1617" s="185">
        <v>-2.0475961638913064E-3</v>
      </c>
      <c r="F1617" s="171"/>
      <c r="G1617" s="171">
        <v>1614</v>
      </c>
      <c r="H1617" s="186">
        <f t="shared" ca="1" si="54"/>
        <v>3.0443588960967416E-3</v>
      </c>
    </row>
    <row r="1618" spans="2:8">
      <c r="B1618" s="36">
        <v>44921</v>
      </c>
      <c r="C1618" s="185">
        <v>3051.2</v>
      </c>
      <c r="D1618" s="185">
        <f t="shared" si="53"/>
        <v>-3.2025760195422255E-2</v>
      </c>
      <c r="E1618" s="185">
        <v>-2.0605069501227085E-3</v>
      </c>
      <c r="F1618" s="171"/>
      <c r="G1618" s="171">
        <v>1615</v>
      </c>
      <c r="H1618" s="186">
        <f t="shared" ca="1" si="54"/>
        <v>2.3518583219289031E-2</v>
      </c>
    </row>
    <row r="1619" spans="2:8">
      <c r="B1619" s="36">
        <v>44508</v>
      </c>
      <c r="C1619" s="185">
        <v>3152.15</v>
      </c>
      <c r="D1619" s="185">
        <f t="shared" si="53"/>
        <v>0.56023857842894631</v>
      </c>
      <c r="E1619" s="185">
        <v>-2.0736378890048842E-3</v>
      </c>
      <c r="F1619" s="171"/>
      <c r="G1619" s="171">
        <v>1616</v>
      </c>
      <c r="H1619" s="186">
        <f t="shared" ca="1" si="54"/>
        <v>9.7580443315360579E-4</v>
      </c>
    </row>
    <row r="1620" spans="2:8">
      <c r="B1620" s="36">
        <v>44090</v>
      </c>
      <c r="C1620" s="185">
        <v>2020.3</v>
      </c>
      <c r="D1620" s="185">
        <f t="shared" si="53"/>
        <v>0.10704402860352333</v>
      </c>
      <c r="E1620" s="185">
        <v>-2.0745863176093089E-3</v>
      </c>
      <c r="F1620" s="171"/>
      <c r="G1620" s="171">
        <v>1617</v>
      </c>
      <c r="H1620" s="186">
        <f t="shared" ca="1" si="54"/>
        <v>9.2682381004461929E-4</v>
      </c>
    </row>
    <row r="1621" spans="2:8">
      <c r="B1621" s="36">
        <v>43887</v>
      </c>
      <c r="C1621" s="185">
        <v>1824.95</v>
      </c>
      <c r="D1621" s="185">
        <f t="shared" si="53"/>
        <v>-0.45166233493081742</v>
      </c>
      <c r="E1621" s="185">
        <v>-2.0779220779220532E-3</v>
      </c>
      <c r="F1621" s="171"/>
      <c r="G1621" s="171">
        <v>1618</v>
      </c>
      <c r="H1621" s="186">
        <f t="shared" ca="1" si="54"/>
        <v>6.781480602292585E-3</v>
      </c>
    </row>
    <row r="1622" spans="2:8">
      <c r="B1622" s="36">
        <v>44823</v>
      </c>
      <c r="C1622" s="185">
        <v>3328.15</v>
      </c>
      <c r="D1622" s="185">
        <f t="shared" si="53"/>
        <v>0.32648465524113196</v>
      </c>
      <c r="E1622" s="185">
        <v>-2.0838955353662016E-3</v>
      </c>
      <c r="F1622" s="171"/>
      <c r="G1622" s="171">
        <v>1619</v>
      </c>
      <c r="H1622" s="186">
        <f t="shared" ca="1" si="54"/>
        <v>1.5507665965946821E-2</v>
      </c>
    </row>
    <row r="1623" spans="2:8">
      <c r="B1623" s="36">
        <v>44238</v>
      </c>
      <c r="C1623" s="185">
        <v>2509</v>
      </c>
      <c r="D1623" s="185">
        <f t="shared" si="53"/>
        <v>2.3183441343737603</v>
      </c>
      <c r="E1623" s="185">
        <v>-2.1079425685082056E-3</v>
      </c>
      <c r="F1623" s="171"/>
      <c r="G1623" s="171">
        <v>1620</v>
      </c>
      <c r="H1623" s="186">
        <f t="shared" ca="1" si="54"/>
        <v>3.8039222779124473E-3</v>
      </c>
    </row>
    <row r="1624" spans="2:8">
      <c r="B1624" s="36">
        <v>42160</v>
      </c>
      <c r="C1624" s="185">
        <v>756.1</v>
      </c>
      <c r="D1624" s="185">
        <f t="shared" si="53"/>
        <v>-0.49456866873892846</v>
      </c>
      <c r="E1624" s="185">
        <v>-2.1116536887950677E-3</v>
      </c>
      <c r="F1624" s="171"/>
      <c r="G1624" s="171">
        <v>1621</v>
      </c>
      <c r="H1624" s="186">
        <f t="shared" ca="1" si="54"/>
        <v>-7.9698108240996047E-4</v>
      </c>
    </row>
    <row r="1625" spans="2:8">
      <c r="B1625" s="36">
        <v>43971</v>
      </c>
      <c r="C1625" s="185">
        <v>1495.95</v>
      </c>
      <c r="D1625" s="185">
        <f t="shared" si="53"/>
        <v>0.6957039220131489</v>
      </c>
      <c r="E1625" s="185">
        <v>-2.1345429076476971E-3</v>
      </c>
      <c r="F1625" s="171"/>
      <c r="G1625" s="171">
        <v>1622</v>
      </c>
      <c r="H1625" s="186">
        <f t="shared" ca="1" si="54"/>
        <v>-2.3475957057672064E-2</v>
      </c>
    </row>
    <row r="1626" spans="2:8">
      <c r="B1626" s="36">
        <v>42373</v>
      </c>
      <c r="C1626" s="185">
        <v>882.2</v>
      </c>
      <c r="D1626" s="185">
        <f t="shared" si="53"/>
        <v>-0.45410104885368641</v>
      </c>
      <c r="E1626" s="185">
        <v>-2.1490781585793203E-3</v>
      </c>
      <c r="F1626" s="171"/>
      <c r="G1626" s="171">
        <v>1623</v>
      </c>
      <c r="H1626" s="186">
        <f t="shared" ca="1" si="54"/>
        <v>7.1444408414606435E-3</v>
      </c>
    </row>
    <row r="1627" spans="2:8">
      <c r="B1627" s="36">
        <v>43978</v>
      </c>
      <c r="C1627" s="185">
        <v>1616.05</v>
      </c>
      <c r="D1627" s="185">
        <f t="shared" si="53"/>
        <v>-0.37980197259853393</v>
      </c>
      <c r="E1627" s="185">
        <v>-2.1610941310857956E-3</v>
      </c>
      <c r="F1627" s="171"/>
      <c r="G1627" s="171">
        <v>1624</v>
      </c>
      <c r="H1627" s="186">
        <f t="shared" ca="1" si="54"/>
        <v>7.3469002397950184E-4</v>
      </c>
    </row>
    <row r="1628" spans="2:8">
      <c r="B1628" s="36">
        <v>46161</v>
      </c>
      <c r="C1628" s="185">
        <v>2605.6999999999998</v>
      </c>
      <c r="D1628" s="185">
        <f t="shared" si="53"/>
        <v>-0.18706517330671085</v>
      </c>
      <c r="E1628" s="185">
        <v>-2.1827372290726325E-3</v>
      </c>
      <c r="F1628" s="171"/>
      <c r="G1628" s="171">
        <v>1625</v>
      </c>
      <c r="H1628" s="186">
        <f t="shared" ca="1" si="54"/>
        <v>-1.0721342876645831E-2</v>
      </c>
    </row>
    <row r="1629" spans="2:8">
      <c r="B1629" s="36">
        <v>44595</v>
      </c>
      <c r="C1629" s="185">
        <v>3205.3</v>
      </c>
      <c r="D1629" s="185">
        <f t="shared" si="53"/>
        <v>0.31656124209315711</v>
      </c>
      <c r="E1629" s="185">
        <v>-2.194655003346375E-3</v>
      </c>
      <c r="F1629" s="171"/>
      <c r="G1629" s="171">
        <v>1626</v>
      </c>
      <c r="H1629" s="186">
        <f t="shared" ca="1" si="54"/>
        <v>-6.0542753651045078E-3</v>
      </c>
    </row>
    <row r="1630" spans="2:8">
      <c r="B1630" s="36">
        <v>46071</v>
      </c>
      <c r="C1630" s="185">
        <v>2434.6</v>
      </c>
      <c r="D1630" s="185">
        <f t="shared" si="53"/>
        <v>1.1249890896395216</v>
      </c>
      <c r="E1630" s="185">
        <v>-2.2131147540983978E-3</v>
      </c>
      <c r="F1630" s="171"/>
      <c r="G1630" s="171">
        <v>1627</v>
      </c>
      <c r="H1630" s="186">
        <f t="shared" ca="1" si="54"/>
        <v>3.3801856845967928E-3</v>
      </c>
    </row>
    <row r="1631" spans="2:8">
      <c r="B1631" s="36">
        <v>42871</v>
      </c>
      <c r="C1631" s="185">
        <v>1145.7</v>
      </c>
      <c r="D1631" s="185">
        <f t="shared" si="53"/>
        <v>-0.62635140644109255</v>
      </c>
      <c r="E1631" s="185">
        <v>-2.2207707380796468E-3</v>
      </c>
      <c r="F1631" s="171"/>
      <c r="G1631" s="171">
        <v>1628</v>
      </c>
      <c r="H1631" s="186">
        <f t="shared" ca="1" si="54"/>
        <v>5.2152493329231829E-3</v>
      </c>
    </row>
    <row r="1632" spans="2:8">
      <c r="B1632" s="36">
        <v>44879</v>
      </c>
      <c r="C1632" s="185">
        <v>3066.25</v>
      </c>
      <c r="D1632" s="185">
        <f t="shared" si="53"/>
        <v>2.1422935027669605</v>
      </c>
      <c r="E1632" s="185">
        <v>-2.2452532417877717E-3</v>
      </c>
      <c r="F1632" s="171"/>
      <c r="G1632" s="171">
        <v>1629</v>
      </c>
      <c r="H1632" s="186">
        <f t="shared" ca="1" si="54"/>
        <v>-4.774729636948096E-3</v>
      </c>
    </row>
    <row r="1633" spans="2:8">
      <c r="B1633" s="36">
        <v>42762</v>
      </c>
      <c r="C1633" s="185">
        <v>975.8</v>
      </c>
      <c r="D1633" s="185">
        <f t="shared" si="53"/>
        <v>-0.61939308838442941</v>
      </c>
      <c r="E1633" s="185">
        <v>-2.2494887525562838E-3</v>
      </c>
      <c r="F1633" s="171"/>
      <c r="G1633" s="171">
        <v>1630</v>
      </c>
      <c r="H1633" s="186">
        <f t="shared" ca="1" si="54"/>
        <v>-8.8471870575679741E-3</v>
      </c>
    </row>
    <row r="1634" spans="2:8">
      <c r="B1634" s="36">
        <v>45890</v>
      </c>
      <c r="C1634" s="185">
        <v>2563.8000000000002</v>
      </c>
      <c r="D1634" s="185">
        <f t="shared" si="53"/>
        <v>-0.12849275953497857</v>
      </c>
      <c r="E1634" s="185">
        <v>-2.2571606475715006E-3</v>
      </c>
      <c r="F1634" s="171"/>
      <c r="G1634" s="171">
        <v>1631</v>
      </c>
      <c r="H1634" s="186">
        <f t="shared" ca="1" si="54"/>
        <v>-1.6528422678870969E-3</v>
      </c>
    </row>
    <row r="1635" spans="2:8">
      <c r="B1635" s="36">
        <v>45495</v>
      </c>
      <c r="C1635" s="185">
        <v>2941.8</v>
      </c>
      <c r="D1635" s="185">
        <f t="shared" si="53"/>
        <v>1.4848382464735197</v>
      </c>
      <c r="E1635" s="185">
        <v>-2.2723418687467588E-3</v>
      </c>
      <c r="F1635" s="171"/>
      <c r="G1635" s="171">
        <v>1632</v>
      </c>
      <c r="H1635" s="186">
        <f t="shared" ca="1" si="54"/>
        <v>-9.5543376767269969E-3</v>
      </c>
    </row>
    <row r="1636" spans="2:8">
      <c r="B1636" s="36">
        <v>43108</v>
      </c>
      <c r="C1636" s="185">
        <v>1183.9000000000001</v>
      </c>
      <c r="D1636" s="185">
        <f t="shared" si="53"/>
        <v>4.028821229295737E-2</v>
      </c>
      <c r="E1636" s="185">
        <v>-2.2754087308274216E-3</v>
      </c>
      <c r="F1636" s="171"/>
      <c r="G1636" s="171">
        <v>1633</v>
      </c>
      <c r="H1636" s="186">
        <f t="shared" ca="1" si="54"/>
        <v>-3.5101338606962091E-3</v>
      </c>
    </row>
    <row r="1637" spans="2:8">
      <c r="B1637" s="36">
        <v>43089</v>
      </c>
      <c r="C1637" s="185">
        <v>1138.05</v>
      </c>
      <c r="D1637" s="185">
        <f t="shared" si="53"/>
        <v>-0.60218474176352355</v>
      </c>
      <c r="E1637" s="185">
        <v>-2.279402095296661E-3</v>
      </c>
      <c r="F1637" s="171"/>
      <c r="G1637" s="171">
        <v>1634</v>
      </c>
      <c r="H1637" s="186">
        <f t="shared" ca="1" si="54"/>
        <v>9.9766799446017896E-3</v>
      </c>
    </row>
    <row r="1638" spans="2:8">
      <c r="B1638" s="36">
        <v>44994</v>
      </c>
      <c r="C1638" s="185">
        <v>2860.75</v>
      </c>
      <c r="D1638" s="185">
        <f t="shared" si="53"/>
        <v>1.3608417577883227</v>
      </c>
      <c r="E1638" s="185">
        <v>-2.3191741647485844E-3</v>
      </c>
      <c r="F1638" s="171"/>
      <c r="G1638" s="171">
        <v>1635</v>
      </c>
      <c r="H1638" s="186">
        <f t="shared" ca="1" si="54"/>
        <v>-1.3920697896793588E-2</v>
      </c>
    </row>
    <row r="1639" spans="2:8">
      <c r="B1639" s="36">
        <v>42649</v>
      </c>
      <c r="C1639" s="185">
        <v>1211.75</v>
      </c>
      <c r="D1639" s="185">
        <f t="shared" si="53"/>
        <v>-0.5080086887675348</v>
      </c>
      <c r="E1639" s="185">
        <v>-2.3464515066687875E-3</v>
      </c>
      <c r="F1639" s="171"/>
      <c r="G1639" s="171">
        <v>1636</v>
      </c>
      <c r="H1639" s="186">
        <f t="shared" ca="1" si="54"/>
        <v>-7.3572750687003067E-3</v>
      </c>
    </row>
    <row r="1640" spans="2:8">
      <c r="B1640" s="36">
        <v>45631</v>
      </c>
      <c r="C1640" s="185">
        <v>2462.9499999999998</v>
      </c>
      <c r="D1640" s="185">
        <f t="shared" si="53"/>
        <v>-0.20861448493027443</v>
      </c>
      <c r="E1640" s="185">
        <v>-2.3493670886076687E-3</v>
      </c>
      <c r="F1640" s="171"/>
      <c r="G1640" s="171">
        <v>1637</v>
      </c>
      <c r="H1640" s="186">
        <f t="shared" ca="1" si="54"/>
        <v>4.7544984085240343E-3</v>
      </c>
    </row>
    <row r="1641" spans="2:8">
      <c r="B1641" s="36">
        <v>45509</v>
      </c>
      <c r="C1641" s="185">
        <v>3112.2</v>
      </c>
      <c r="D1641" s="185">
        <f t="shared" si="53"/>
        <v>1.7410604192355112</v>
      </c>
      <c r="E1641" s="185">
        <v>-2.3720989870496508E-3</v>
      </c>
      <c r="F1641" s="171"/>
      <c r="G1641" s="171">
        <v>1638</v>
      </c>
      <c r="H1641" s="186">
        <f t="shared" ca="1" si="54"/>
        <v>-1.0558269707301343E-2</v>
      </c>
    </row>
    <row r="1642" spans="2:8">
      <c r="B1642" s="36">
        <v>43146</v>
      </c>
      <c r="C1642" s="185">
        <v>1135.4000000000001</v>
      </c>
      <c r="D1642" s="185">
        <f t="shared" si="53"/>
        <v>-0.62789630649231476</v>
      </c>
      <c r="E1642" s="185">
        <v>-2.3723750109830581E-3</v>
      </c>
      <c r="F1642" s="171"/>
      <c r="G1642" s="171">
        <v>1639</v>
      </c>
      <c r="H1642" s="186">
        <f t="shared" ca="1" si="54"/>
        <v>-8.1001795927363989E-3</v>
      </c>
    </row>
    <row r="1643" spans="2:8">
      <c r="B1643" s="36">
        <v>44365</v>
      </c>
      <c r="C1643" s="185">
        <v>3051.3</v>
      </c>
      <c r="D1643" s="185">
        <f t="shared" si="53"/>
        <v>3.8828836496723189E-2</v>
      </c>
      <c r="E1643" s="185">
        <v>-2.403020940611024E-3</v>
      </c>
      <c r="F1643" s="171"/>
      <c r="G1643" s="171">
        <v>1640</v>
      </c>
      <c r="H1643" s="186">
        <f t="shared" ca="1" si="54"/>
        <v>-7.8161883837241737E-4</v>
      </c>
    </row>
    <row r="1644" spans="2:8">
      <c r="B1644" s="36">
        <v>45475</v>
      </c>
      <c r="C1644" s="185">
        <v>2937.25</v>
      </c>
      <c r="D1644" s="185">
        <f t="shared" si="53"/>
        <v>2.2567357800199579</v>
      </c>
      <c r="E1644" s="185">
        <v>-2.4113981014485062E-3</v>
      </c>
      <c r="F1644" s="171"/>
      <c r="G1644" s="171">
        <v>1641</v>
      </c>
      <c r="H1644" s="186">
        <f t="shared" ca="1" si="54"/>
        <v>3.3841995302435528E-2</v>
      </c>
    </row>
    <row r="1645" spans="2:8">
      <c r="B1645" s="36">
        <v>42235</v>
      </c>
      <c r="C1645" s="185">
        <v>901.9</v>
      </c>
      <c r="D1645" s="185">
        <f t="shared" si="53"/>
        <v>-0.67622774267662256</v>
      </c>
      <c r="E1645" s="185">
        <v>-2.4333591416879166E-3</v>
      </c>
      <c r="F1645" s="171"/>
      <c r="G1645" s="171">
        <v>1642</v>
      </c>
      <c r="H1645" s="186">
        <f t="shared" ca="1" si="54"/>
        <v>1.0260472949974044E-2</v>
      </c>
    </row>
    <row r="1646" spans="2:8">
      <c r="B1646" s="36">
        <v>46008</v>
      </c>
      <c r="C1646" s="185">
        <v>2785.6</v>
      </c>
      <c r="D1646" s="185">
        <f t="shared" si="53"/>
        <v>2.6763890721921602</v>
      </c>
      <c r="E1646" s="185">
        <v>-2.4351812061309919E-3</v>
      </c>
      <c r="F1646" s="171"/>
      <c r="G1646" s="171">
        <v>1643</v>
      </c>
      <c r="H1646" s="186">
        <f t="shared" ca="1" si="54"/>
        <v>-5.1468818764828072E-3</v>
      </c>
    </row>
    <row r="1647" spans="2:8">
      <c r="B1647" s="36">
        <v>42159</v>
      </c>
      <c r="C1647" s="185">
        <v>757.7</v>
      </c>
      <c r="D1647" s="185">
        <f t="shared" si="53"/>
        <v>-0.77417816588680599</v>
      </c>
      <c r="E1647" s="185">
        <v>-2.4356526890921062E-3</v>
      </c>
      <c r="F1647" s="171"/>
      <c r="G1647" s="171">
        <v>1644</v>
      </c>
      <c r="H1647" s="186">
        <f t="shared" ca="1" si="54"/>
        <v>1.2980819318145221E-2</v>
      </c>
    </row>
    <row r="1648" spans="2:8">
      <c r="B1648" s="36">
        <v>45117</v>
      </c>
      <c r="C1648" s="185">
        <v>3355.3</v>
      </c>
      <c r="D1648" s="185">
        <f t="shared" si="53"/>
        <v>1.6775995531082917</v>
      </c>
      <c r="E1648" s="185">
        <v>-2.4527656791187881E-3</v>
      </c>
      <c r="F1648" s="171"/>
      <c r="G1648" s="171">
        <v>1645</v>
      </c>
      <c r="H1648" s="186">
        <f t="shared" ca="1" si="54"/>
        <v>-1.4980385330407865E-2</v>
      </c>
    </row>
    <row r="1649" spans="2:8">
      <c r="B1649" s="36">
        <v>42991</v>
      </c>
      <c r="C1649" s="185">
        <v>1253.0999999999999</v>
      </c>
      <c r="D1649" s="185">
        <f t="shared" si="53"/>
        <v>-0.63952016569817616</v>
      </c>
      <c r="E1649" s="185">
        <v>-2.4677599108423312E-3</v>
      </c>
      <c r="F1649" s="171"/>
      <c r="G1649" s="171">
        <v>1646</v>
      </c>
      <c r="H1649" s="186">
        <f t="shared" ca="1" si="54"/>
        <v>9.6741012598092245E-4</v>
      </c>
    </row>
    <row r="1650" spans="2:8">
      <c r="B1650" s="36">
        <v>44781</v>
      </c>
      <c r="C1650" s="185">
        <v>3476.2</v>
      </c>
      <c r="D1650" s="185">
        <f t="shared" si="53"/>
        <v>1.5509649959638951</v>
      </c>
      <c r="E1650" s="185">
        <v>-2.4678604224059814E-3</v>
      </c>
      <c r="F1650" s="171"/>
      <c r="G1650" s="171">
        <v>1647</v>
      </c>
      <c r="H1650" s="186">
        <f t="shared" ca="1" si="54"/>
        <v>2.4103270626497971E-3</v>
      </c>
    </row>
    <row r="1651" spans="2:8">
      <c r="B1651" s="36">
        <v>43642</v>
      </c>
      <c r="C1651" s="185">
        <v>1362.7</v>
      </c>
      <c r="D1651" s="185">
        <f t="shared" si="53"/>
        <v>-0.56427064014836603</v>
      </c>
      <c r="E1651" s="185">
        <v>-2.4888368347850552E-3</v>
      </c>
      <c r="F1651" s="171"/>
      <c r="G1651" s="171">
        <v>1648</v>
      </c>
      <c r="H1651" s="186">
        <f t="shared" ca="1" si="54"/>
        <v>-1.4558043421817555E-2</v>
      </c>
    </row>
    <row r="1652" spans="2:8">
      <c r="B1652" s="36">
        <v>44677</v>
      </c>
      <c r="C1652" s="185">
        <v>3127.4</v>
      </c>
      <c r="D1652" s="185">
        <f t="shared" si="53"/>
        <v>9.067447862174792E-2</v>
      </c>
      <c r="E1652" s="185">
        <v>-2.5037875767482368E-3</v>
      </c>
      <c r="F1652" s="171"/>
      <c r="G1652" s="171">
        <v>1649</v>
      </c>
      <c r="H1652" s="186">
        <f t="shared" ca="1" si="54"/>
        <v>1.4855689715240809E-2</v>
      </c>
    </row>
    <row r="1653" spans="2:8">
      <c r="B1653" s="36">
        <v>44993</v>
      </c>
      <c r="C1653" s="185">
        <v>2867.4</v>
      </c>
      <c r="D1653" s="185">
        <f t="shared" si="53"/>
        <v>0.24485543110184943</v>
      </c>
      <c r="E1653" s="185">
        <v>-2.5046963055728863E-3</v>
      </c>
      <c r="F1653" s="171"/>
      <c r="G1653" s="171">
        <v>1650</v>
      </c>
      <c r="H1653" s="186">
        <f t="shared" ca="1" si="54"/>
        <v>9.4928701195232772E-3</v>
      </c>
    </row>
    <row r="1654" spans="2:8">
      <c r="B1654" s="36">
        <v>45799</v>
      </c>
      <c r="C1654" s="185">
        <v>2303.4</v>
      </c>
      <c r="D1654" s="185">
        <f t="shared" si="53"/>
        <v>3.8409521233432636E-2</v>
      </c>
      <c r="E1654" s="185">
        <v>-2.5116923609907016E-3</v>
      </c>
      <c r="F1654" s="171"/>
      <c r="G1654" s="171">
        <v>1651</v>
      </c>
      <c r="H1654" s="186">
        <f t="shared" ca="1" si="54"/>
        <v>-5.6921092793013606E-3</v>
      </c>
    </row>
    <row r="1655" spans="2:8">
      <c r="B1655" s="36">
        <v>45819</v>
      </c>
      <c r="C1655" s="185">
        <v>2218.1999999999998</v>
      </c>
      <c r="D1655" s="185">
        <f t="shared" si="53"/>
        <v>0.10073441842000783</v>
      </c>
      <c r="E1655" s="185">
        <v>-2.5182120694308674E-3</v>
      </c>
      <c r="F1655" s="171"/>
      <c r="G1655" s="171">
        <v>1652</v>
      </c>
      <c r="H1655" s="186">
        <f t="shared" ca="1" si="54"/>
        <v>-1.2834128142897758E-2</v>
      </c>
    </row>
    <row r="1656" spans="2:8">
      <c r="B1656" s="36">
        <v>44091</v>
      </c>
      <c r="C1656" s="185">
        <v>2015.2</v>
      </c>
      <c r="D1656" s="185">
        <f t="shared" si="53"/>
        <v>-0.31302732277693496</v>
      </c>
      <c r="E1656" s="185">
        <v>-2.5243775676879222E-3</v>
      </c>
      <c r="F1656" s="171"/>
      <c r="G1656" s="171">
        <v>1653</v>
      </c>
      <c r="H1656" s="186">
        <f t="shared" ca="1" si="54"/>
        <v>2.2887560776647976E-2</v>
      </c>
    </row>
    <row r="1657" spans="2:8">
      <c r="B1657" s="36">
        <v>45478</v>
      </c>
      <c r="C1657" s="185">
        <v>2933.45</v>
      </c>
      <c r="D1657" s="185">
        <f t="shared" si="53"/>
        <v>2.7517604430162463E-3</v>
      </c>
      <c r="E1657" s="185">
        <v>-2.5332381243837847E-3</v>
      </c>
      <c r="F1657" s="171"/>
      <c r="G1657" s="171">
        <v>1654</v>
      </c>
      <c r="H1657" s="186">
        <f t="shared" ca="1" si="54"/>
        <v>-1.3829962349186926E-3</v>
      </c>
    </row>
    <row r="1658" spans="2:8">
      <c r="B1658" s="36">
        <v>44355</v>
      </c>
      <c r="C1658" s="185">
        <v>2925.4</v>
      </c>
      <c r="D1658" s="185">
        <f t="shared" si="53"/>
        <v>9.7517578826706436E-4</v>
      </c>
      <c r="E1658" s="185">
        <v>-2.5401912815179156E-3</v>
      </c>
      <c r="F1658" s="171"/>
      <c r="G1658" s="171">
        <v>1655</v>
      </c>
      <c r="H1658" s="186">
        <f t="shared" ca="1" si="54"/>
        <v>-1.1435055780334883E-2</v>
      </c>
    </row>
    <row r="1659" spans="2:8">
      <c r="B1659" s="36">
        <v>44939</v>
      </c>
      <c r="C1659" s="185">
        <v>2922.55</v>
      </c>
      <c r="D1659" s="185">
        <f t="shared" si="53"/>
        <v>0.18612390673512061</v>
      </c>
      <c r="E1659" s="185">
        <v>-2.5426621160408937E-3</v>
      </c>
      <c r="F1659" s="171"/>
      <c r="G1659" s="171">
        <v>1656</v>
      </c>
      <c r="H1659" s="186">
        <f t="shared" ca="1" si="54"/>
        <v>-3.2190690791170226E-3</v>
      </c>
    </row>
    <row r="1660" spans="2:8">
      <c r="B1660" s="36">
        <v>44230</v>
      </c>
      <c r="C1660" s="185">
        <v>2463.9499999999998</v>
      </c>
      <c r="D1660" s="185">
        <f t="shared" si="53"/>
        <v>-0.12489345077425774</v>
      </c>
      <c r="E1660" s="185">
        <v>-2.5907260104843814E-3</v>
      </c>
      <c r="F1660" s="171"/>
      <c r="G1660" s="171">
        <v>1657</v>
      </c>
      <c r="H1660" s="186">
        <f t="shared" ca="1" si="54"/>
        <v>4.0004144610832383E-3</v>
      </c>
    </row>
    <row r="1661" spans="2:8">
      <c r="B1661" s="36">
        <v>44978</v>
      </c>
      <c r="C1661" s="185">
        <v>2815.6</v>
      </c>
      <c r="D1661" s="185">
        <f t="shared" si="53"/>
        <v>1.0090620428841555</v>
      </c>
      <c r="E1661" s="185">
        <v>-2.6213248317393167E-3</v>
      </c>
      <c r="F1661" s="171"/>
      <c r="G1661" s="171">
        <v>1658</v>
      </c>
      <c r="H1661" s="186">
        <f t="shared" ca="1" si="54"/>
        <v>-2.5204321357681501E-2</v>
      </c>
    </row>
    <row r="1662" spans="2:8">
      <c r="B1662" s="36">
        <v>43326</v>
      </c>
      <c r="C1662" s="185">
        <v>1401.45</v>
      </c>
      <c r="D1662" s="185">
        <f t="shared" si="53"/>
        <v>-0.54696945207693548</v>
      </c>
      <c r="E1662" s="185">
        <v>-2.6331708358538555E-3</v>
      </c>
      <c r="F1662" s="171"/>
      <c r="G1662" s="171">
        <v>1659</v>
      </c>
      <c r="H1662" s="186">
        <f t="shared" ca="1" si="54"/>
        <v>1.4525438616709546E-2</v>
      </c>
    </row>
    <row r="1663" spans="2:8">
      <c r="B1663" s="36">
        <v>45239</v>
      </c>
      <c r="C1663" s="185">
        <v>3093.5</v>
      </c>
      <c r="D1663" s="185">
        <f t="shared" si="53"/>
        <v>0.38010260985946909</v>
      </c>
      <c r="E1663" s="185">
        <v>-2.6597888288869185E-3</v>
      </c>
      <c r="F1663" s="171"/>
      <c r="G1663" s="171">
        <v>1660</v>
      </c>
      <c r="H1663" s="186">
        <f t="shared" ca="1" si="54"/>
        <v>2.1717984376541034E-2</v>
      </c>
    </row>
    <row r="1664" spans="2:8">
      <c r="B1664" s="36">
        <v>45812</v>
      </c>
      <c r="C1664" s="185">
        <v>2241.5</v>
      </c>
      <c r="D1664" s="185">
        <f t="shared" si="53"/>
        <v>-4.639339728999603E-2</v>
      </c>
      <c r="E1664" s="185">
        <v>-2.6696329254727474E-3</v>
      </c>
      <c r="F1664" s="171"/>
      <c r="G1664" s="171">
        <v>1661</v>
      </c>
      <c r="H1664" s="186">
        <f t="shared" ca="1" si="54"/>
        <v>3.8503456169431001E-3</v>
      </c>
    </row>
    <row r="1665" spans="2:8">
      <c r="B1665" s="36">
        <v>45754</v>
      </c>
      <c r="C1665" s="185">
        <v>2350.5500000000002</v>
      </c>
      <c r="D1665" s="185">
        <f t="shared" si="53"/>
        <v>-0.22070451719850803</v>
      </c>
      <c r="E1665" s="185">
        <v>-2.7365294866354764E-3</v>
      </c>
      <c r="F1665" s="171"/>
      <c r="G1665" s="171">
        <v>1662</v>
      </c>
      <c r="H1665" s="186">
        <f t="shared" ca="1" si="54"/>
        <v>-6.6543941937354315E-3</v>
      </c>
    </row>
    <row r="1666" spans="2:8">
      <c r="B1666" s="36">
        <v>44690</v>
      </c>
      <c r="C1666" s="185">
        <v>3016.25</v>
      </c>
      <c r="D1666" s="185">
        <f t="shared" si="53"/>
        <v>1.6122634564586669</v>
      </c>
      <c r="E1666" s="185">
        <v>-2.7442098824619139E-3</v>
      </c>
      <c r="F1666" s="171"/>
      <c r="G1666" s="171">
        <v>1663</v>
      </c>
      <c r="H1666" s="186">
        <f t="shared" ca="1" si="54"/>
        <v>-8.6756378208122341E-3</v>
      </c>
    </row>
    <row r="1667" spans="2:8">
      <c r="B1667" s="36">
        <v>43201</v>
      </c>
      <c r="C1667" s="185">
        <v>1154.6500000000001</v>
      </c>
      <c r="D1667" s="185">
        <f t="shared" si="53"/>
        <v>-0.4831583894720351</v>
      </c>
      <c r="E1667" s="185">
        <v>-2.76374314462134E-3</v>
      </c>
      <c r="F1667" s="171"/>
      <c r="G1667" s="171">
        <v>1664</v>
      </c>
      <c r="H1667" s="186">
        <f t="shared" ca="1" si="54"/>
        <v>8.9101924845090535E-3</v>
      </c>
    </row>
    <row r="1668" spans="2:8">
      <c r="B1668" s="36">
        <v>45702</v>
      </c>
      <c r="C1668" s="185">
        <v>2234.0500000000002</v>
      </c>
      <c r="D1668" s="185">
        <f t="shared" ref="D1668:D1731" si="55">(C1668-C1669)/C1669</f>
        <v>1.5425937517782964</v>
      </c>
      <c r="E1668" s="185">
        <v>-2.7675482647025189E-3</v>
      </c>
      <c r="F1668" s="171"/>
      <c r="G1668" s="171">
        <v>1665</v>
      </c>
      <c r="H1668" s="186">
        <f t="shared" ca="1" si="54"/>
        <v>1.5304156865586411E-2</v>
      </c>
    </row>
    <row r="1669" spans="2:8">
      <c r="B1669" s="36">
        <v>42368</v>
      </c>
      <c r="C1669" s="185">
        <v>878.65</v>
      </c>
      <c r="D1669" s="185">
        <f t="shared" si="55"/>
        <v>-0.46397632991703275</v>
      </c>
      <c r="E1669" s="185">
        <v>-2.7806151401657533E-3</v>
      </c>
      <c r="F1669" s="171"/>
      <c r="G1669" s="171">
        <v>1666</v>
      </c>
      <c r="H1669" s="186">
        <f t="shared" ref="H1669:H1732" ca="1" si="56">_xlfn.NORM.INV(RAND(),N$6,N$7)</f>
        <v>-1.370876292813673E-2</v>
      </c>
    </row>
    <row r="1670" spans="2:8">
      <c r="B1670" s="36">
        <v>43992</v>
      </c>
      <c r="C1670" s="185">
        <v>1639.2</v>
      </c>
      <c r="D1670" s="185">
        <f t="shared" si="55"/>
        <v>-0.12508339782765335</v>
      </c>
      <c r="E1670" s="185">
        <v>-2.798393965202524E-3</v>
      </c>
      <c r="F1670" s="171"/>
      <c r="G1670" s="171">
        <v>1667</v>
      </c>
      <c r="H1670" s="186">
        <f t="shared" ca="1" si="56"/>
        <v>2.8305826093131671E-3</v>
      </c>
    </row>
    <row r="1671" spans="2:8">
      <c r="B1671" s="36">
        <v>43899</v>
      </c>
      <c r="C1671" s="185">
        <v>1873.55</v>
      </c>
      <c r="D1671" s="185">
        <f t="shared" si="55"/>
        <v>-0.36522107403015419</v>
      </c>
      <c r="E1671" s="185">
        <v>-2.8208744710860128E-3</v>
      </c>
      <c r="F1671" s="171"/>
      <c r="G1671" s="171">
        <v>1668</v>
      </c>
      <c r="H1671" s="186">
        <f t="shared" ca="1" si="56"/>
        <v>-4.1017716628674655E-3</v>
      </c>
    </row>
    <row r="1672" spans="2:8">
      <c r="B1672" s="36">
        <v>44361</v>
      </c>
      <c r="C1672" s="185">
        <v>2951.5</v>
      </c>
      <c r="D1672" s="185">
        <f t="shared" si="55"/>
        <v>-1.6854868258885419E-2</v>
      </c>
      <c r="E1672" s="185">
        <v>-2.821088906532395E-3</v>
      </c>
      <c r="F1672" s="171"/>
      <c r="G1672" s="171">
        <v>1669</v>
      </c>
      <c r="H1672" s="186">
        <f t="shared" ca="1" si="56"/>
        <v>-3.0527397521913871E-2</v>
      </c>
    </row>
    <row r="1673" spans="2:8">
      <c r="B1673" s="36">
        <v>45341</v>
      </c>
      <c r="C1673" s="185">
        <v>3002.1</v>
      </c>
      <c r="D1673" s="185">
        <f t="shared" si="55"/>
        <v>0.17283275383834049</v>
      </c>
      <c r="E1673" s="185">
        <v>-2.8233574702717069E-3</v>
      </c>
      <c r="F1673" s="171"/>
      <c r="G1673" s="171">
        <v>1670</v>
      </c>
      <c r="H1673" s="186">
        <f t="shared" ca="1" si="56"/>
        <v>1.0741464905193017E-2</v>
      </c>
    </row>
    <row r="1674" spans="2:8">
      <c r="B1674" s="36">
        <v>44326</v>
      </c>
      <c r="C1674" s="185">
        <v>2559.6999999999998</v>
      </c>
      <c r="D1674" s="185">
        <f t="shared" si="55"/>
        <v>1.2048322494508805</v>
      </c>
      <c r="E1674" s="185">
        <v>-2.8243635442840725E-3</v>
      </c>
      <c r="F1674" s="171"/>
      <c r="G1674" s="171">
        <v>1671</v>
      </c>
      <c r="H1674" s="186">
        <f t="shared" ca="1" si="56"/>
        <v>-9.6672247462103612E-3</v>
      </c>
    </row>
    <row r="1675" spans="2:8">
      <c r="B1675" s="36">
        <v>42614</v>
      </c>
      <c r="C1675" s="185">
        <v>1160.95</v>
      </c>
      <c r="D1675" s="185">
        <f t="shared" si="55"/>
        <v>-0.58629106977407164</v>
      </c>
      <c r="E1675" s="185">
        <v>-2.8344427743181915E-3</v>
      </c>
      <c r="F1675" s="171"/>
      <c r="G1675" s="171">
        <v>1672</v>
      </c>
      <c r="H1675" s="186">
        <f t="shared" ca="1" si="56"/>
        <v>-2.9426062689544213E-2</v>
      </c>
    </row>
    <row r="1676" spans="2:8">
      <c r="B1676" s="36">
        <v>44203</v>
      </c>
      <c r="C1676" s="185">
        <v>2806.2</v>
      </c>
      <c r="D1676" s="185">
        <f t="shared" si="55"/>
        <v>-3.9400267004415963E-2</v>
      </c>
      <c r="E1676" s="185">
        <v>-2.8427261744012511E-3</v>
      </c>
      <c r="F1676" s="171"/>
      <c r="G1676" s="171">
        <v>1673</v>
      </c>
      <c r="H1676" s="186">
        <f t="shared" ca="1" si="56"/>
        <v>-2.0137605245887369E-2</v>
      </c>
    </row>
    <row r="1677" spans="2:8">
      <c r="B1677" s="36">
        <v>44351</v>
      </c>
      <c r="C1677" s="185">
        <v>2921.3</v>
      </c>
      <c r="D1677" s="185">
        <f t="shared" si="55"/>
        <v>1.0897775234279992</v>
      </c>
      <c r="E1677" s="185">
        <v>-2.8501698155069407E-3</v>
      </c>
      <c r="F1677" s="171"/>
      <c r="G1677" s="171">
        <v>1674</v>
      </c>
      <c r="H1677" s="186">
        <f t="shared" ca="1" si="56"/>
        <v>2.3603308494303171E-2</v>
      </c>
    </row>
    <row r="1678" spans="2:8">
      <c r="B1678" s="36">
        <v>43518</v>
      </c>
      <c r="C1678" s="185">
        <v>1397.9</v>
      </c>
      <c r="D1678" s="185">
        <f t="shared" si="55"/>
        <v>-0.55540360027988034</v>
      </c>
      <c r="E1678" s="185">
        <v>-2.8532705613809827E-3</v>
      </c>
      <c r="F1678" s="171"/>
      <c r="G1678" s="171">
        <v>1675</v>
      </c>
      <c r="H1678" s="186">
        <f t="shared" ca="1" si="56"/>
        <v>1.8034528108987726E-2</v>
      </c>
    </row>
    <row r="1679" spans="2:8">
      <c r="B1679" s="36">
        <v>44525</v>
      </c>
      <c r="C1679" s="185">
        <v>3144.2</v>
      </c>
      <c r="D1679" s="185">
        <f t="shared" si="55"/>
        <v>-1.5653371736271994E-2</v>
      </c>
      <c r="E1679" s="185">
        <v>-2.8700547054626756E-3</v>
      </c>
      <c r="F1679" s="171"/>
      <c r="G1679" s="171">
        <v>1676</v>
      </c>
      <c r="H1679" s="186">
        <f t="shared" ca="1" si="56"/>
        <v>1.9371107026163067E-2</v>
      </c>
    </row>
    <row r="1680" spans="2:8">
      <c r="B1680" s="36">
        <v>45086</v>
      </c>
      <c r="C1680" s="185">
        <v>3194.2</v>
      </c>
      <c r="D1680" s="185">
        <f t="shared" si="55"/>
        <v>1.750538189959528</v>
      </c>
      <c r="E1680" s="185">
        <v>-2.8719485546607583E-3</v>
      </c>
      <c r="F1680" s="171"/>
      <c r="G1680" s="171">
        <v>1677</v>
      </c>
      <c r="H1680" s="186">
        <f t="shared" ca="1" si="56"/>
        <v>3.1373586791785243E-2</v>
      </c>
    </row>
    <row r="1681" spans="2:8">
      <c r="B1681" s="36">
        <v>43019</v>
      </c>
      <c r="C1681" s="185">
        <v>1161.3</v>
      </c>
      <c r="D1681" s="185">
        <f t="shared" si="55"/>
        <v>-0.60052973753912831</v>
      </c>
      <c r="E1681" s="185">
        <v>-2.876400635384138E-3</v>
      </c>
      <c r="F1681" s="171"/>
      <c r="G1681" s="171">
        <v>1678</v>
      </c>
      <c r="H1681" s="186">
        <f t="shared" ca="1" si="56"/>
        <v>-1.1186933791746255E-2</v>
      </c>
    </row>
    <row r="1682" spans="2:8">
      <c r="B1682" s="36">
        <v>45454</v>
      </c>
      <c r="C1682" s="185">
        <v>2907.1</v>
      </c>
      <c r="D1682" s="185">
        <f t="shared" si="55"/>
        <v>1.1362383804239997</v>
      </c>
      <c r="E1682" s="185">
        <v>-2.8811524609844248E-3</v>
      </c>
      <c r="F1682" s="171"/>
      <c r="G1682" s="171">
        <v>1679</v>
      </c>
      <c r="H1682" s="186">
        <f t="shared" ca="1" si="56"/>
        <v>-1.3247415730107039E-2</v>
      </c>
    </row>
    <row r="1683" spans="2:8">
      <c r="B1683" s="36">
        <v>43651</v>
      </c>
      <c r="C1683" s="185">
        <v>1360.85</v>
      </c>
      <c r="D1683" s="185">
        <f t="shared" si="55"/>
        <v>0.17914392167056584</v>
      </c>
      <c r="E1683" s="185">
        <v>-2.8941969519343828E-3</v>
      </c>
      <c r="F1683" s="171"/>
      <c r="G1683" s="171">
        <v>1680</v>
      </c>
      <c r="H1683" s="186">
        <f t="shared" ca="1" si="56"/>
        <v>2.8242869050337061E-2</v>
      </c>
    </row>
    <row r="1684" spans="2:8">
      <c r="B1684" s="36">
        <v>43013</v>
      </c>
      <c r="C1684" s="185">
        <v>1154.0999999999999</v>
      </c>
      <c r="D1684" s="185">
        <f t="shared" si="55"/>
        <v>0.32040501115496822</v>
      </c>
      <c r="E1684" s="185">
        <v>-2.8942934899996858E-3</v>
      </c>
      <c r="F1684" s="171"/>
      <c r="G1684" s="171">
        <v>1681</v>
      </c>
      <c r="H1684" s="186">
        <f t="shared" ca="1" si="56"/>
        <v>-1.2562947065578848E-2</v>
      </c>
    </row>
    <row r="1685" spans="2:8">
      <c r="B1685" s="36">
        <v>42297</v>
      </c>
      <c r="C1685" s="185">
        <v>874.05</v>
      </c>
      <c r="D1685" s="185">
        <f t="shared" si="55"/>
        <v>-0.60731855246310396</v>
      </c>
      <c r="E1685" s="185">
        <v>-2.9089664613279353E-3</v>
      </c>
      <c r="F1685" s="171"/>
      <c r="G1685" s="171">
        <v>1682</v>
      </c>
      <c r="H1685" s="186">
        <f t="shared" ca="1" si="56"/>
        <v>-1.5034987444384801E-2</v>
      </c>
    </row>
    <row r="1686" spans="2:8">
      <c r="B1686" s="36">
        <v>45733</v>
      </c>
      <c r="C1686" s="185">
        <v>2225.85</v>
      </c>
      <c r="D1686" s="185">
        <f t="shared" si="55"/>
        <v>-0.18182319426575999</v>
      </c>
      <c r="E1686" s="185">
        <v>-2.911729791475351E-3</v>
      </c>
      <c r="F1686" s="171"/>
      <c r="G1686" s="171">
        <v>1683</v>
      </c>
      <c r="H1686" s="186">
        <f t="shared" ca="1" si="56"/>
        <v>8.6682808935384381E-3</v>
      </c>
    </row>
    <row r="1687" spans="2:8">
      <c r="B1687" s="36">
        <v>46188</v>
      </c>
      <c r="C1687" s="185">
        <v>2720.5</v>
      </c>
      <c r="D1687" s="185">
        <f t="shared" si="55"/>
        <v>-0.12445288362512869</v>
      </c>
      <c r="E1687" s="185">
        <v>-2.9320139270661537E-3</v>
      </c>
      <c r="F1687" s="171"/>
      <c r="G1687" s="171">
        <v>1684</v>
      </c>
      <c r="H1687" s="186">
        <f t="shared" ca="1" si="56"/>
        <v>1.059450213792849E-2</v>
      </c>
    </row>
    <row r="1688" spans="2:8">
      <c r="B1688" s="36">
        <v>44498</v>
      </c>
      <c r="C1688" s="185">
        <v>3107.2</v>
      </c>
      <c r="D1688" s="185">
        <f t="shared" si="55"/>
        <v>8.2987696490188528E-2</v>
      </c>
      <c r="E1688" s="185">
        <v>-2.936127200089878E-3</v>
      </c>
      <c r="F1688" s="171"/>
      <c r="G1688" s="171">
        <v>1685</v>
      </c>
      <c r="H1688" s="186">
        <f t="shared" ca="1" si="56"/>
        <v>-1.7315120862735111E-3</v>
      </c>
    </row>
    <row r="1689" spans="2:8">
      <c r="B1689" s="36">
        <v>45005</v>
      </c>
      <c r="C1689" s="185">
        <v>2869.1</v>
      </c>
      <c r="D1689" s="185">
        <f t="shared" si="55"/>
        <v>-0.10557244174265454</v>
      </c>
      <c r="E1689" s="185">
        <v>-2.9538504309146512E-3</v>
      </c>
      <c r="F1689" s="171"/>
      <c r="G1689" s="171">
        <v>1686</v>
      </c>
      <c r="H1689" s="186">
        <f t="shared" ca="1" si="56"/>
        <v>-7.7353890286233605E-4</v>
      </c>
    </row>
    <row r="1690" spans="2:8">
      <c r="B1690" s="36">
        <v>45154</v>
      </c>
      <c r="C1690" s="185">
        <v>3207.75</v>
      </c>
      <c r="D1690" s="185">
        <f t="shared" si="55"/>
        <v>0.79334153295689602</v>
      </c>
      <c r="E1690" s="185">
        <v>-2.9683274795636655E-3</v>
      </c>
      <c r="F1690" s="171"/>
      <c r="G1690" s="171">
        <v>1687</v>
      </c>
      <c r="H1690" s="186">
        <f t="shared" ca="1" si="56"/>
        <v>3.2717206444796885E-3</v>
      </c>
    </row>
    <row r="1691" spans="2:8">
      <c r="B1691" s="36">
        <v>43765</v>
      </c>
      <c r="C1691" s="185">
        <v>1788.7</v>
      </c>
      <c r="D1691" s="185">
        <f t="shared" si="55"/>
        <v>-0.25638147501455061</v>
      </c>
      <c r="E1691" s="185">
        <v>-2.9820796521835562E-3</v>
      </c>
      <c r="F1691" s="171"/>
      <c r="G1691" s="171">
        <v>1688</v>
      </c>
      <c r="H1691" s="186">
        <f t="shared" ca="1" si="56"/>
        <v>-1.0320003627016978E-2</v>
      </c>
    </row>
    <row r="1692" spans="2:8">
      <c r="B1692" s="36">
        <v>45855</v>
      </c>
      <c r="C1692" s="185">
        <v>2405.4</v>
      </c>
      <c r="D1692" s="185">
        <f t="shared" si="55"/>
        <v>-0.29262303518651939</v>
      </c>
      <c r="E1692" s="185">
        <v>-2.9843322556577213E-3</v>
      </c>
      <c r="F1692" s="171"/>
      <c r="G1692" s="171">
        <v>1689</v>
      </c>
      <c r="H1692" s="186">
        <f t="shared" ca="1" si="56"/>
        <v>1.7015862877417274E-2</v>
      </c>
    </row>
    <row r="1693" spans="2:8">
      <c r="B1693" s="36">
        <v>45120</v>
      </c>
      <c r="C1693" s="185">
        <v>3400.45</v>
      </c>
      <c r="D1693" s="185">
        <f t="shared" si="55"/>
        <v>1.3469993443075543</v>
      </c>
      <c r="E1693" s="185">
        <v>-2.9906322841687866E-3</v>
      </c>
      <c r="F1693" s="171"/>
      <c r="G1693" s="171">
        <v>1690</v>
      </c>
      <c r="H1693" s="186">
        <f t="shared" ca="1" si="56"/>
        <v>-2.4611361890180452E-2</v>
      </c>
    </row>
    <row r="1694" spans="2:8">
      <c r="B1694" s="36">
        <v>43580</v>
      </c>
      <c r="C1694" s="185">
        <v>1448.85</v>
      </c>
      <c r="D1694" s="185">
        <f t="shared" si="55"/>
        <v>-0.38206128846522941</v>
      </c>
      <c r="E1694" s="185">
        <v>-2.9933938893477404E-3</v>
      </c>
      <c r="F1694" s="171"/>
      <c r="G1694" s="171">
        <v>1691</v>
      </c>
      <c r="H1694" s="186">
        <f t="shared" ca="1" si="56"/>
        <v>-1.900877656261726E-3</v>
      </c>
    </row>
    <row r="1695" spans="2:8">
      <c r="B1695" s="36">
        <v>45660</v>
      </c>
      <c r="C1695" s="185">
        <v>2344.65</v>
      </c>
      <c r="D1695" s="185">
        <f t="shared" si="55"/>
        <v>0.80970206853967297</v>
      </c>
      <c r="E1695" s="185">
        <v>-2.9978313560401954E-3</v>
      </c>
      <c r="F1695" s="171"/>
      <c r="G1695" s="171">
        <v>1692</v>
      </c>
      <c r="H1695" s="186">
        <f t="shared" ca="1" si="56"/>
        <v>-5.270288154091589E-3</v>
      </c>
    </row>
    <row r="1696" spans="2:8">
      <c r="B1696" s="36">
        <v>43250</v>
      </c>
      <c r="C1696" s="185">
        <v>1295.5999999999999</v>
      </c>
      <c r="D1696" s="185">
        <f t="shared" si="55"/>
        <v>-0.53461807862928568</v>
      </c>
      <c r="E1696" s="185">
        <v>-3.0011542901116515E-3</v>
      </c>
      <c r="F1696" s="171"/>
      <c r="G1696" s="171">
        <v>1693</v>
      </c>
      <c r="H1696" s="186">
        <f t="shared" ca="1" si="56"/>
        <v>-1.2379118621446613E-2</v>
      </c>
    </row>
    <row r="1697" spans="2:8">
      <c r="B1697" s="36">
        <v>44971</v>
      </c>
      <c r="C1697" s="185">
        <v>2783.95</v>
      </c>
      <c r="D1697" s="185">
        <f t="shared" si="55"/>
        <v>-0.11608007493133951</v>
      </c>
      <c r="E1697" s="185">
        <v>-3.0082188837359542E-3</v>
      </c>
      <c r="F1697" s="171"/>
      <c r="G1697" s="171">
        <v>1694</v>
      </c>
      <c r="H1697" s="186">
        <f t="shared" ca="1" si="56"/>
        <v>6.2673286572680507E-3</v>
      </c>
    </row>
    <row r="1698" spans="2:8">
      <c r="B1698" s="36">
        <v>44586</v>
      </c>
      <c r="C1698" s="185">
        <v>3149.55</v>
      </c>
      <c r="D1698" s="185">
        <f t="shared" si="55"/>
        <v>-4.3605666307334895E-2</v>
      </c>
      <c r="E1698" s="185">
        <v>-3.0230128834160767E-3</v>
      </c>
      <c r="F1698" s="171"/>
      <c r="G1698" s="171">
        <v>1695</v>
      </c>
      <c r="H1698" s="186">
        <f t="shared" ca="1" si="56"/>
        <v>1.711098679452765E-2</v>
      </c>
    </row>
    <row r="1699" spans="2:8">
      <c r="B1699" s="36">
        <v>45302</v>
      </c>
      <c r="C1699" s="185">
        <v>3293.15</v>
      </c>
      <c r="D1699" s="185">
        <f t="shared" si="55"/>
        <v>0.57070972049985702</v>
      </c>
      <c r="E1699" s="185">
        <v>-3.0274132267683876E-3</v>
      </c>
      <c r="F1699" s="171"/>
      <c r="G1699" s="171">
        <v>1696</v>
      </c>
      <c r="H1699" s="186">
        <f t="shared" ca="1" si="56"/>
        <v>4.798337021930648E-3</v>
      </c>
    </row>
    <row r="1700" spans="2:8">
      <c r="B1700" s="36">
        <v>44112</v>
      </c>
      <c r="C1700" s="185">
        <v>2096.6</v>
      </c>
      <c r="D1700" s="185">
        <f t="shared" si="55"/>
        <v>-0.32017963392292609</v>
      </c>
      <c r="E1700" s="185">
        <v>-3.0432715168806899E-3</v>
      </c>
      <c r="F1700" s="171"/>
      <c r="G1700" s="171">
        <v>1697</v>
      </c>
      <c r="H1700" s="186">
        <f t="shared" ca="1" si="56"/>
        <v>3.2500059332583445E-2</v>
      </c>
    </row>
    <row r="1701" spans="2:8">
      <c r="B1701" s="36">
        <v>45240</v>
      </c>
      <c r="C1701" s="185">
        <v>3084.05</v>
      </c>
      <c r="D1701" s="185">
        <f t="shared" si="55"/>
        <v>0.74131895432217287</v>
      </c>
      <c r="E1701" s="185">
        <v>-3.0547923064489471E-3</v>
      </c>
      <c r="F1701" s="171"/>
      <c r="G1701" s="171">
        <v>1698</v>
      </c>
      <c r="H1701" s="186">
        <f t="shared" ca="1" si="56"/>
        <v>5.2627251244816769E-3</v>
      </c>
    </row>
    <row r="1702" spans="2:8">
      <c r="B1702" s="36">
        <v>43738</v>
      </c>
      <c r="C1702" s="185">
        <v>1771.1</v>
      </c>
      <c r="D1702" s="185">
        <f t="shared" si="55"/>
        <v>0.81809782887645632</v>
      </c>
      <c r="E1702" s="185">
        <v>-3.0677436604655346E-3</v>
      </c>
      <c r="F1702" s="171"/>
      <c r="G1702" s="171">
        <v>1699</v>
      </c>
      <c r="H1702" s="186">
        <f t="shared" ca="1" si="56"/>
        <v>1.3614434748564606E-2</v>
      </c>
    </row>
    <row r="1703" spans="2:8">
      <c r="B1703" s="36">
        <v>42766</v>
      </c>
      <c r="C1703" s="185">
        <v>974.15</v>
      </c>
      <c r="D1703" s="185">
        <f t="shared" si="55"/>
        <v>-0.14149114303340096</v>
      </c>
      <c r="E1703" s="185">
        <v>-3.0701529959576319E-3</v>
      </c>
      <c r="F1703" s="171"/>
      <c r="G1703" s="171">
        <v>1700</v>
      </c>
      <c r="H1703" s="186">
        <f t="shared" ca="1" si="56"/>
        <v>-1.4688586396401597E-2</v>
      </c>
    </row>
    <row r="1704" spans="2:8">
      <c r="B1704" s="36">
        <v>43136</v>
      </c>
      <c r="C1704" s="185">
        <v>1134.7</v>
      </c>
      <c r="D1704" s="185">
        <f t="shared" si="55"/>
        <v>-0.60106878548701814</v>
      </c>
      <c r="E1704" s="185">
        <v>-3.1188227542279416E-3</v>
      </c>
      <c r="F1704" s="171"/>
      <c r="G1704" s="171">
        <v>1701</v>
      </c>
      <c r="H1704" s="186">
        <f t="shared" ca="1" si="56"/>
        <v>5.6520827446883519E-3</v>
      </c>
    </row>
    <row r="1705" spans="2:8">
      <c r="B1705" s="36">
        <v>44987</v>
      </c>
      <c r="C1705" s="185">
        <v>2844.35</v>
      </c>
      <c r="D1705" s="185">
        <f t="shared" si="55"/>
        <v>-0.10048701812086905</v>
      </c>
      <c r="E1705" s="185">
        <v>-3.13671888690298E-3</v>
      </c>
      <c r="F1705" s="171"/>
      <c r="G1705" s="171">
        <v>1702</v>
      </c>
      <c r="H1705" s="186">
        <f t="shared" ca="1" si="56"/>
        <v>9.7087593279310304E-3</v>
      </c>
    </row>
    <row r="1706" spans="2:8">
      <c r="B1706" s="36">
        <v>44516</v>
      </c>
      <c r="C1706" s="185">
        <v>3162.1</v>
      </c>
      <c r="D1706" s="185">
        <f t="shared" si="55"/>
        <v>1.3471644893111638</v>
      </c>
      <c r="E1706" s="185">
        <v>-3.1367727494838581E-3</v>
      </c>
      <c r="F1706" s="171"/>
      <c r="G1706" s="171">
        <v>1703</v>
      </c>
      <c r="H1706" s="186">
        <f t="shared" ca="1" si="56"/>
        <v>6.2597698909167016E-3</v>
      </c>
    </row>
    <row r="1707" spans="2:8">
      <c r="B1707" s="36">
        <v>43437</v>
      </c>
      <c r="C1707" s="185">
        <v>1347.2</v>
      </c>
      <c r="D1707" s="185">
        <f t="shared" si="55"/>
        <v>-0.54973262032085557</v>
      </c>
      <c r="E1707" s="185">
        <v>-3.1447704317584817E-3</v>
      </c>
      <c r="F1707" s="171"/>
      <c r="G1707" s="171">
        <v>1704</v>
      </c>
      <c r="H1707" s="186">
        <f t="shared" ca="1" si="56"/>
        <v>-9.7379224763889868E-3</v>
      </c>
    </row>
    <row r="1708" spans="2:8">
      <c r="B1708" s="36">
        <v>45594</v>
      </c>
      <c r="C1708" s="185">
        <v>2992</v>
      </c>
      <c r="D1708" s="185">
        <f t="shared" si="55"/>
        <v>2.185792349726776E-2</v>
      </c>
      <c r="E1708" s="185">
        <v>-3.1484782355194383E-3</v>
      </c>
      <c r="F1708" s="171"/>
      <c r="G1708" s="171">
        <v>1705</v>
      </c>
      <c r="H1708" s="186">
        <f t="shared" ca="1" si="56"/>
        <v>-1.598050624465264E-2</v>
      </c>
    </row>
    <row r="1709" spans="2:8">
      <c r="B1709" s="36">
        <v>45476</v>
      </c>
      <c r="C1709" s="185">
        <v>2928</v>
      </c>
      <c r="D1709" s="185">
        <f t="shared" si="55"/>
        <v>-9.7174043753757947E-2</v>
      </c>
      <c r="E1709" s="185">
        <v>-3.1492041875904333E-3</v>
      </c>
      <c r="F1709" s="171"/>
      <c r="G1709" s="171">
        <v>1706</v>
      </c>
      <c r="H1709" s="186">
        <f t="shared" ca="1" si="56"/>
        <v>-3.7681479602361408E-2</v>
      </c>
    </row>
    <row r="1710" spans="2:8">
      <c r="B1710" s="36">
        <v>44550</v>
      </c>
      <c r="C1710" s="185">
        <v>3243.15</v>
      </c>
      <c r="D1710" s="185">
        <f t="shared" si="55"/>
        <v>1.7447105619498988</v>
      </c>
      <c r="E1710" s="185">
        <v>-3.1505501936435728E-3</v>
      </c>
      <c r="F1710" s="171"/>
      <c r="G1710" s="171">
        <v>1707</v>
      </c>
      <c r="H1710" s="186">
        <f t="shared" ca="1" si="56"/>
        <v>2.1559660092190999E-2</v>
      </c>
    </row>
    <row r="1711" spans="2:8">
      <c r="B1711" s="36">
        <v>43040</v>
      </c>
      <c r="C1711" s="185">
        <v>1181.5999999999999</v>
      </c>
      <c r="D1711" s="185">
        <f t="shared" si="55"/>
        <v>2.7835768963117607E-2</v>
      </c>
      <c r="E1711" s="185">
        <v>-3.1636225587379258E-3</v>
      </c>
      <c r="F1711" s="171"/>
      <c r="G1711" s="171">
        <v>1708</v>
      </c>
      <c r="H1711" s="186">
        <f t="shared" ca="1" si="56"/>
        <v>2.0928782071155894E-2</v>
      </c>
    </row>
    <row r="1712" spans="2:8">
      <c r="B1712" s="36">
        <v>42941</v>
      </c>
      <c r="C1712" s="185">
        <v>1149.5999999999999</v>
      </c>
      <c r="D1712" s="185">
        <f t="shared" si="55"/>
        <v>6.0174297966523731E-2</v>
      </c>
      <c r="E1712" s="185">
        <v>-3.1649685670930767E-3</v>
      </c>
      <c r="F1712" s="171"/>
      <c r="G1712" s="171">
        <v>1709</v>
      </c>
      <c r="H1712" s="186">
        <f t="shared" ca="1" si="56"/>
        <v>7.2083750942622208E-3</v>
      </c>
    </row>
    <row r="1713" spans="2:8">
      <c r="B1713" s="36">
        <v>42832</v>
      </c>
      <c r="C1713" s="185">
        <v>1084.3499999999999</v>
      </c>
      <c r="D1713" s="185">
        <f t="shared" si="55"/>
        <v>7.8633243807818526E-2</v>
      </c>
      <c r="E1713" s="185">
        <v>-3.1715388858246422E-3</v>
      </c>
      <c r="F1713" s="171"/>
      <c r="G1713" s="171">
        <v>1710</v>
      </c>
      <c r="H1713" s="186">
        <f t="shared" ca="1" si="56"/>
        <v>2.1432549644789741E-2</v>
      </c>
    </row>
    <row r="1714" spans="2:8">
      <c r="B1714" s="36">
        <v>42555</v>
      </c>
      <c r="C1714" s="185">
        <v>1005.3</v>
      </c>
      <c r="D1714" s="185">
        <f t="shared" si="55"/>
        <v>-0.21617090951619822</v>
      </c>
      <c r="E1714" s="185">
        <v>-3.173029251363456E-3</v>
      </c>
      <c r="F1714" s="171"/>
      <c r="G1714" s="171">
        <v>1711</v>
      </c>
      <c r="H1714" s="186">
        <f t="shared" ca="1" si="56"/>
        <v>-6.8505403430649103E-3</v>
      </c>
    </row>
    <row r="1715" spans="2:8">
      <c r="B1715" s="36">
        <v>43266</v>
      </c>
      <c r="C1715" s="185">
        <v>1282.55</v>
      </c>
      <c r="D1715" s="185">
        <f t="shared" si="55"/>
        <v>-0.519563222265925</v>
      </c>
      <c r="E1715" s="185">
        <v>-3.1865697742199791E-3</v>
      </c>
      <c r="F1715" s="171"/>
      <c r="G1715" s="171">
        <v>1712</v>
      </c>
      <c r="H1715" s="186">
        <f t="shared" ca="1" si="56"/>
        <v>1.4264643140362724E-2</v>
      </c>
    </row>
    <row r="1716" spans="2:8">
      <c r="B1716" s="36">
        <v>44734</v>
      </c>
      <c r="C1716" s="185">
        <v>2669.55</v>
      </c>
      <c r="D1716" s="185">
        <f t="shared" si="55"/>
        <v>0.17425442069147537</v>
      </c>
      <c r="E1716" s="185">
        <v>-3.1925618908926956E-3</v>
      </c>
      <c r="F1716" s="171"/>
      <c r="G1716" s="171">
        <v>1713</v>
      </c>
      <c r="H1716" s="186">
        <f t="shared" ca="1" si="56"/>
        <v>7.5905125264973212E-3</v>
      </c>
    </row>
    <row r="1717" spans="2:8">
      <c r="B1717" s="36">
        <v>45827</v>
      </c>
      <c r="C1717" s="185">
        <v>2273.4</v>
      </c>
      <c r="D1717" s="185">
        <f t="shared" si="55"/>
        <v>-8.4303379385346489E-2</v>
      </c>
      <c r="E1717" s="185">
        <v>-3.2007716929011829E-3</v>
      </c>
      <c r="F1717" s="171"/>
      <c r="G1717" s="171">
        <v>1714</v>
      </c>
      <c r="H1717" s="186">
        <f t="shared" ca="1" si="56"/>
        <v>-2.0742697706374134E-2</v>
      </c>
    </row>
    <row r="1718" spans="2:8">
      <c r="B1718" s="36">
        <v>45922</v>
      </c>
      <c r="C1718" s="185">
        <v>2482.6999999999998</v>
      </c>
      <c r="D1718" s="185">
        <f t="shared" si="55"/>
        <v>-7.7885901054821072E-2</v>
      </c>
      <c r="E1718" s="185">
        <v>-3.2119484482274062E-3</v>
      </c>
      <c r="F1718" s="171"/>
      <c r="G1718" s="171">
        <v>1715</v>
      </c>
      <c r="H1718" s="186">
        <f t="shared" ca="1" si="56"/>
        <v>1.7079677765454594E-2</v>
      </c>
    </row>
    <row r="1719" spans="2:8">
      <c r="B1719" s="36">
        <v>46183</v>
      </c>
      <c r="C1719" s="185">
        <v>2692.4</v>
      </c>
      <c r="D1719" s="185">
        <f t="shared" si="55"/>
        <v>-0.20092598088680477</v>
      </c>
      <c r="E1719" s="185">
        <v>-3.2209099996297133E-3</v>
      </c>
      <c r="F1719" s="171"/>
      <c r="G1719" s="171">
        <v>1716</v>
      </c>
      <c r="H1719" s="186">
        <f t="shared" ca="1" si="56"/>
        <v>-7.5939640546794441E-3</v>
      </c>
    </row>
    <row r="1720" spans="2:8">
      <c r="B1720" s="36">
        <v>45134</v>
      </c>
      <c r="C1720" s="185">
        <v>3369.4</v>
      </c>
      <c r="D1720" s="185">
        <f t="shared" si="55"/>
        <v>1.9991543904935687</v>
      </c>
      <c r="E1720" s="185">
        <v>-3.224565866934914E-3</v>
      </c>
      <c r="F1720" s="171"/>
      <c r="G1720" s="171">
        <v>1717</v>
      </c>
      <c r="H1720" s="186">
        <f t="shared" ca="1" si="56"/>
        <v>-2.4296820129867957E-2</v>
      </c>
    </row>
    <row r="1721" spans="2:8">
      <c r="B1721" s="36">
        <v>43084</v>
      </c>
      <c r="C1721" s="185">
        <v>1123.45</v>
      </c>
      <c r="D1721" s="185">
        <f t="shared" si="55"/>
        <v>-0.65227955058961895</v>
      </c>
      <c r="E1721" s="185">
        <v>-3.2383994321709378E-3</v>
      </c>
      <c r="F1721" s="171"/>
      <c r="G1721" s="171">
        <v>1718</v>
      </c>
      <c r="H1721" s="186">
        <f t="shared" ca="1" si="56"/>
        <v>2.0713530644533996E-2</v>
      </c>
    </row>
    <row r="1722" spans="2:8">
      <c r="B1722" s="36">
        <v>45175</v>
      </c>
      <c r="C1722" s="185">
        <v>3230.9</v>
      </c>
      <c r="D1722" s="185">
        <f t="shared" si="55"/>
        <v>0.84775957221697984</v>
      </c>
      <c r="E1722" s="185">
        <v>-3.2393410254828161E-3</v>
      </c>
      <c r="F1722" s="171"/>
      <c r="G1722" s="171">
        <v>1719</v>
      </c>
      <c r="H1722" s="186">
        <f t="shared" ca="1" si="56"/>
        <v>-7.2470545555546597E-3</v>
      </c>
    </row>
    <row r="1723" spans="2:8">
      <c r="B1723" s="36">
        <v>43812</v>
      </c>
      <c r="C1723" s="185">
        <v>1748.55</v>
      </c>
      <c r="D1723" s="185">
        <f t="shared" si="55"/>
        <v>1.4840886489558178</v>
      </c>
      <c r="E1723" s="185">
        <v>-3.2492518170158446E-3</v>
      </c>
      <c r="F1723" s="171"/>
      <c r="G1723" s="171">
        <v>1720</v>
      </c>
      <c r="H1723" s="186">
        <f t="shared" ca="1" si="56"/>
        <v>2.7279483835097713E-2</v>
      </c>
    </row>
    <row r="1724" spans="2:8">
      <c r="B1724" s="36">
        <v>42167</v>
      </c>
      <c r="C1724" s="185">
        <v>703.9</v>
      </c>
      <c r="D1724" s="185">
        <f t="shared" si="55"/>
        <v>-0.61685218953270005</v>
      </c>
      <c r="E1724" s="185">
        <v>-3.2568677428491477E-3</v>
      </c>
      <c r="F1724" s="171"/>
      <c r="G1724" s="171">
        <v>1721</v>
      </c>
      <c r="H1724" s="186">
        <f t="shared" ca="1" si="56"/>
        <v>1.059420157658926E-2</v>
      </c>
    </row>
    <row r="1725" spans="2:8">
      <c r="B1725" s="36">
        <v>43847</v>
      </c>
      <c r="C1725" s="185">
        <v>1837.15</v>
      </c>
      <c r="D1725" s="185">
        <f t="shared" si="55"/>
        <v>-0.38005331713572249</v>
      </c>
      <c r="E1725" s="185">
        <v>-3.2823350694444198E-3</v>
      </c>
      <c r="F1725" s="171"/>
      <c r="G1725" s="171">
        <v>1722</v>
      </c>
      <c r="H1725" s="186">
        <f t="shared" ca="1" si="56"/>
        <v>1.1587089401800267E-2</v>
      </c>
    </row>
    <row r="1726" spans="2:8">
      <c r="B1726" s="36">
        <v>45590</v>
      </c>
      <c r="C1726" s="185">
        <v>2963.4</v>
      </c>
      <c r="D1726" s="185">
        <f t="shared" si="55"/>
        <v>1.7565229524208179</v>
      </c>
      <c r="E1726" s="185">
        <v>-3.3296337402885985E-3</v>
      </c>
      <c r="F1726" s="171"/>
      <c r="G1726" s="171">
        <v>1723</v>
      </c>
      <c r="H1726" s="186">
        <f t="shared" ca="1" si="56"/>
        <v>-1.5073317423640889E-2</v>
      </c>
    </row>
    <row r="1727" spans="2:8">
      <c r="B1727" s="36">
        <v>42837</v>
      </c>
      <c r="C1727" s="185">
        <v>1075.05</v>
      </c>
      <c r="D1727" s="185">
        <f t="shared" si="55"/>
        <v>-0.65657743419371339</v>
      </c>
      <c r="E1727" s="185">
        <v>-3.3375052148520244E-3</v>
      </c>
      <c r="F1727" s="171"/>
      <c r="G1727" s="171">
        <v>1724</v>
      </c>
      <c r="H1727" s="186">
        <f t="shared" ca="1" si="56"/>
        <v>-4.5962576390244248E-3</v>
      </c>
    </row>
    <row r="1728" spans="2:8">
      <c r="B1728" s="36">
        <v>45253</v>
      </c>
      <c r="C1728" s="185">
        <v>3130.4</v>
      </c>
      <c r="D1728" s="185">
        <f t="shared" si="55"/>
        <v>-5.5743243243243167E-2</v>
      </c>
      <c r="E1728" s="185">
        <v>-3.3588563969498809E-3</v>
      </c>
      <c r="F1728" s="171"/>
      <c r="G1728" s="171">
        <v>1725</v>
      </c>
      <c r="H1728" s="186">
        <f t="shared" ca="1" si="56"/>
        <v>1.5266105824131466E-2</v>
      </c>
    </row>
    <row r="1729" spans="2:8">
      <c r="B1729" s="36">
        <v>45096</v>
      </c>
      <c r="C1729" s="185">
        <v>3315.2</v>
      </c>
      <c r="D1729" s="185">
        <f t="shared" si="55"/>
        <v>1.0265297389816002</v>
      </c>
      <c r="E1729" s="185">
        <v>-3.3670033670034488E-3</v>
      </c>
      <c r="F1729" s="171"/>
      <c r="G1729" s="171">
        <v>1726</v>
      </c>
      <c r="H1729" s="186">
        <f t="shared" ca="1" si="56"/>
        <v>-1.8248276791050077E-2</v>
      </c>
    </row>
    <row r="1730" spans="2:8">
      <c r="B1730" s="36">
        <v>43990</v>
      </c>
      <c r="C1730" s="185">
        <v>1635.9</v>
      </c>
      <c r="D1730" s="185">
        <f t="shared" si="55"/>
        <v>0.26363355476595102</v>
      </c>
      <c r="E1730" s="185">
        <v>-3.3811569039568397E-3</v>
      </c>
      <c r="F1730" s="171"/>
      <c r="G1730" s="171">
        <v>1727</v>
      </c>
      <c r="H1730" s="186">
        <f t="shared" ca="1" si="56"/>
        <v>9.3191434904191656E-3</v>
      </c>
    </row>
    <row r="1731" spans="2:8">
      <c r="B1731" s="36">
        <v>43355</v>
      </c>
      <c r="C1731" s="185">
        <v>1294.5999999999999</v>
      </c>
      <c r="D1731" s="185">
        <f t="shared" si="55"/>
        <v>-0.61172677513683738</v>
      </c>
      <c r="E1731" s="185">
        <v>-3.3872209391840576E-3</v>
      </c>
      <c r="F1731" s="171"/>
      <c r="G1731" s="171">
        <v>1728</v>
      </c>
      <c r="H1731" s="186">
        <f t="shared" ca="1" si="56"/>
        <v>-4.1340338184943475E-3</v>
      </c>
    </row>
    <row r="1732" spans="2:8">
      <c r="B1732" s="36">
        <v>44840</v>
      </c>
      <c r="C1732" s="185">
        <v>3334.25</v>
      </c>
      <c r="D1732" s="185">
        <f t="shared" ref="D1732:D1795" si="57">(C1732-C1733)/C1733</f>
        <v>2.6644136718320692</v>
      </c>
      <c r="E1732" s="185">
        <v>-3.3925155428024597E-3</v>
      </c>
      <c r="F1732" s="171"/>
      <c r="G1732" s="171">
        <v>1729</v>
      </c>
      <c r="H1732" s="186">
        <f t="shared" ca="1" si="56"/>
        <v>-1.3098679528940416E-3</v>
      </c>
    </row>
    <row r="1733" spans="2:8">
      <c r="B1733" s="36">
        <v>42717</v>
      </c>
      <c r="C1733" s="185">
        <v>909.9</v>
      </c>
      <c r="D1733" s="185">
        <f t="shared" si="57"/>
        <v>-0.70542911716144907</v>
      </c>
      <c r="E1733" s="185">
        <v>-3.3953997809419746E-3</v>
      </c>
      <c r="F1733" s="171"/>
      <c r="G1733" s="171">
        <v>1730</v>
      </c>
      <c r="H1733" s="186">
        <f t="shared" ref="H1733:H1796" ca="1" si="58">_xlfn.NORM.INV(RAND(),N$6,N$7)</f>
        <v>9.5905393405875845E-3</v>
      </c>
    </row>
    <row r="1734" spans="2:8">
      <c r="B1734" s="36">
        <v>45574</v>
      </c>
      <c r="C1734" s="185">
        <v>3088.9</v>
      </c>
      <c r="D1734" s="185">
        <f t="shared" si="57"/>
        <v>0.67583550347222221</v>
      </c>
      <c r="E1734" s="185">
        <v>-3.4038297117229598E-3</v>
      </c>
      <c r="F1734" s="171"/>
      <c r="G1734" s="171">
        <v>1731</v>
      </c>
      <c r="H1734" s="186">
        <f t="shared" ca="1" si="58"/>
        <v>-8.635461940758633E-3</v>
      </c>
    </row>
    <row r="1735" spans="2:8">
      <c r="B1735" s="36">
        <v>43846</v>
      </c>
      <c r="C1735" s="185">
        <v>1843.2</v>
      </c>
      <c r="D1735" s="185">
        <f t="shared" si="57"/>
        <v>0.5217965653896961</v>
      </c>
      <c r="E1735" s="185">
        <v>-3.4063260340632356E-3</v>
      </c>
      <c r="F1735" s="171"/>
      <c r="G1735" s="171">
        <v>1732</v>
      </c>
      <c r="H1735" s="186">
        <f t="shared" ca="1" si="58"/>
        <v>7.9675066602457618E-3</v>
      </c>
    </row>
    <row r="1736" spans="2:8">
      <c r="B1736" s="36">
        <v>43228</v>
      </c>
      <c r="C1736" s="185">
        <v>1211.2</v>
      </c>
      <c r="D1736" s="185">
        <f t="shared" si="57"/>
        <v>-0.58075458636206301</v>
      </c>
      <c r="E1736" s="185">
        <v>-3.4146542148351207E-3</v>
      </c>
      <c r="F1736" s="171"/>
      <c r="G1736" s="171">
        <v>1733</v>
      </c>
      <c r="H1736" s="186">
        <f t="shared" ca="1" si="58"/>
        <v>-2.0808387112051456E-2</v>
      </c>
    </row>
    <row r="1737" spans="2:8">
      <c r="B1737" s="36">
        <v>45980</v>
      </c>
      <c r="C1737" s="185">
        <v>2889</v>
      </c>
      <c r="D1737" s="185">
        <f t="shared" si="57"/>
        <v>0.11985425226761756</v>
      </c>
      <c r="E1737" s="185">
        <v>-3.4150884818379698E-3</v>
      </c>
      <c r="F1737" s="171"/>
      <c r="G1737" s="171">
        <v>1734</v>
      </c>
      <c r="H1737" s="186">
        <f t="shared" ca="1" si="58"/>
        <v>8.5545103581298465E-3</v>
      </c>
    </row>
    <row r="1738" spans="2:8">
      <c r="B1738" s="36">
        <v>45888</v>
      </c>
      <c r="C1738" s="185">
        <v>2579.8000000000002</v>
      </c>
      <c r="D1738" s="185">
        <f t="shared" si="57"/>
        <v>7.7343750000000711E-3</v>
      </c>
      <c r="E1738" s="185">
        <v>-3.4380190829372413E-3</v>
      </c>
      <c r="F1738" s="171"/>
      <c r="G1738" s="171">
        <v>1735</v>
      </c>
      <c r="H1738" s="186">
        <f t="shared" ca="1" si="58"/>
        <v>1.7142040347469169E-2</v>
      </c>
    </row>
    <row r="1739" spans="2:8">
      <c r="B1739" s="36">
        <v>44328</v>
      </c>
      <c r="C1739" s="185">
        <v>2560</v>
      </c>
      <c r="D1739" s="185">
        <f t="shared" si="57"/>
        <v>1.2228975817305603</v>
      </c>
      <c r="E1739" s="185">
        <v>-3.4451213578059869E-3</v>
      </c>
      <c r="F1739" s="171"/>
      <c r="G1739" s="171">
        <v>1736</v>
      </c>
      <c r="H1739" s="186">
        <f t="shared" ca="1" si="58"/>
        <v>1.8925871879995608E-2</v>
      </c>
    </row>
    <row r="1740" spans="2:8">
      <c r="B1740" s="36">
        <v>42976</v>
      </c>
      <c r="C1740" s="185">
        <v>1151.6500000000001</v>
      </c>
      <c r="D1740" s="185">
        <f t="shared" si="57"/>
        <v>-0.48002076936969479</v>
      </c>
      <c r="E1740" s="185">
        <v>-3.4612555704581836E-3</v>
      </c>
      <c r="F1740" s="171"/>
      <c r="G1740" s="171">
        <v>1737</v>
      </c>
      <c r="H1740" s="186">
        <f t="shared" ca="1" si="58"/>
        <v>-3.8371341128277722E-3</v>
      </c>
    </row>
    <row r="1741" spans="2:8">
      <c r="B1741" s="36">
        <v>45821</v>
      </c>
      <c r="C1741" s="185">
        <v>2214.8000000000002</v>
      </c>
      <c r="D1741" s="185">
        <f t="shared" si="57"/>
        <v>0.62577993099904594</v>
      </c>
      <c r="E1741" s="185">
        <v>-3.4645669291337765E-3</v>
      </c>
      <c r="F1741" s="171"/>
      <c r="G1741" s="171">
        <v>1738</v>
      </c>
      <c r="H1741" s="186">
        <f t="shared" ca="1" si="58"/>
        <v>-8.7042004343374103E-3</v>
      </c>
    </row>
    <row r="1742" spans="2:8">
      <c r="B1742" s="36">
        <v>43647</v>
      </c>
      <c r="C1742" s="185">
        <v>1362.3</v>
      </c>
      <c r="D1742" s="185">
        <f t="shared" si="57"/>
        <v>-0.38817030450013473</v>
      </c>
      <c r="E1742" s="185">
        <v>-3.4746351633078527E-3</v>
      </c>
      <c r="F1742" s="171"/>
      <c r="G1742" s="171">
        <v>1739</v>
      </c>
      <c r="H1742" s="186">
        <f t="shared" ca="1" si="58"/>
        <v>-1.2520127074636142E-2</v>
      </c>
    </row>
    <row r="1743" spans="2:8">
      <c r="B1743" s="36">
        <v>46093</v>
      </c>
      <c r="C1743" s="185">
        <v>2226.6</v>
      </c>
      <c r="D1743" s="185">
        <f t="shared" si="57"/>
        <v>-0.26327631274195157</v>
      </c>
      <c r="E1743" s="185">
        <v>-3.490870032223497E-3</v>
      </c>
      <c r="F1743" s="171"/>
      <c r="G1743" s="171">
        <v>1740</v>
      </c>
      <c r="H1743" s="186">
        <f t="shared" ca="1" si="58"/>
        <v>-9.42829675292935E-3</v>
      </c>
    </row>
    <row r="1744" spans="2:8">
      <c r="B1744" s="36">
        <v>44412</v>
      </c>
      <c r="C1744" s="185">
        <v>3022.3</v>
      </c>
      <c r="D1744" s="185">
        <f t="shared" si="57"/>
        <v>-0.12088775124349163</v>
      </c>
      <c r="E1744" s="185">
        <v>-3.495004780902736E-3</v>
      </c>
      <c r="F1744" s="171"/>
      <c r="G1744" s="171">
        <v>1741</v>
      </c>
      <c r="H1744" s="186">
        <f t="shared" ca="1" si="58"/>
        <v>3.506234574690225E-2</v>
      </c>
    </row>
    <row r="1745" spans="2:8">
      <c r="B1745" s="36">
        <v>44817</v>
      </c>
      <c r="C1745" s="185">
        <v>3437.9</v>
      </c>
      <c r="D1745" s="185">
        <f t="shared" si="57"/>
        <v>1.9654964202536016</v>
      </c>
      <c r="E1745" s="185">
        <v>-3.5216880914769612E-3</v>
      </c>
      <c r="F1745" s="171"/>
      <c r="G1745" s="171">
        <v>1742</v>
      </c>
      <c r="H1745" s="186">
        <f t="shared" ca="1" si="58"/>
        <v>-2.4257201899208398E-2</v>
      </c>
    </row>
    <row r="1746" spans="2:8">
      <c r="B1746" s="36">
        <v>43066</v>
      </c>
      <c r="C1746" s="185">
        <v>1159.3</v>
      </c>
      <c r="D1746" s="185">
        <f t="shared" si="57"/>
        <v>-0.63866161734224769</v>
      </c>
      <c r="E1746" s="185">
        <v>-3.5241533436480453E-3</v>
      </c>
      <c r="F1746" s="171"/>
      <c r="G1746" s="171">
        <v>1743</v>
      </c>
      <c r="H1746" s="186">
        <f t="shared" ca="1" si="58"/>
        <v>-2.1212374926201428E-3</v>
      </c>
    </row>
    <row r="1747" spans="2:8">
      <c r="B1747" s="36">
        <v>45205</v>
      </c>
      <c r="C1747" s="185">
        <v>3208.35</v>
      </c>
      <c r="D1747" s="185">
        <f t="shared" si="57"/>
        <v>1.7931484786488483</v>
      </c>
      <c r="E1747" s="185">
        <v>-3.5561214982297884E-3</v>
      </c>
      <c r="F1747" s="171"/>
      <c r="G1747" s="171">
        <v>1744</v>
      </c>
      <c r="H1747" s="186">
        <f t="shared" ca="1" si="58"/>
        <v>-3.2040023927023563E-2</v>
      </c>
    </row>
    <row r="1748" spans="2:8">
      <c r="B1748" s="36">
        <v>42591</v>
      </c>
      <c r="C1748" s="185">
        <v>1148.6500000000001</v>
      </c>
      <c r="D1748" s="185">
        <f t="shared" si="57"/>
        <v>-0.60259825629670627</v>
      </c>
      <c r="E1748" s="185">
        <v>-3.5567122099326907E-3</v>
      </c>
      <c r="F1748" s="171"/>
      <c r="G1748" s="171">
        <v>1745</v>
      </c>
      <c r="H1748" s="186">
        <f t="shared" ca="1" si="58"/>
        <v>-3.9318094585260545E-3</v>
      </c>
    </row>
    <row r="1749" spans="2:8">
      <c r="B1749" s="36">
        <v>44750</v>
      </c>
      <c r="C1749" s="185">
        <v>2890.4</v>
      </c>
      <c r="D1749" s="185">
        <f t="shared" si="57"/>
        <v>1.0702646563764637</v>
      </c>
      <c r="E1749" s="185">
        <v>-3.5680427475652536E-3</v>
      </c>
      <c r="F1749" s="171"/>
      <c r="G1749" s="171">
        <v>1746</v>
      </c>
      <c r="H1749" s="186">
        <f t="shared" ca="1" si="58"/>
        <v>2.7499096071850033E-3</v>
      </c>
    </row>
    <row r="1750" spans="2:8">
      <c r="B1750" s="36">
        <v>43301</v>
      </c>
      <c r="C1750" s="185">
        <v>1396.15</v>
      </c>
      <c r="D1750" s="185">
        <f t="shared" si="57"/>
        <v>-0.5463879006449307</v>
      </c>
      <c r="E1750" s="185">
        <v>-3.5684973057845339E-3</v>
      </c>
      <c r="F1750" s="171"/>
      <c r="G1750" s="171">
        <v>1747</v>
      </c>
      <c r="H1750" s="186">
        <f t="shared" ca="1" si="58"/>
        <v>-5.4334318398655433E-3</v>
      </c>
    </row>
    <row r="1751" spans="2:8">
      <c r="B1751" s="36">
        <v>45572</v>
      </c>
      <c r="C1751" s="185">
        <v>3077.85</v>
      </c>
      <c r="D1751" s="185">
        <f t="shared" si="57"/>
        <v>-3.2502946954813386E-2</v>
      </c>
      <c r="E1751" s="185">
        <v>-3.5773252614199817E-3</v>
      </c>
      <c r="F1751" s="171"/>
      <c r="G1751" s="171">
        <v>1748</v>
      </c>
      <c r="H1751" s="186">
        <f t="shared" ca="1" si="58"/>
        <v>-9.9650969772476315E-3</v>
      </c>
    </row>
    <row r="1752" spans="2:8">
      <c r="B1752" s="36">
        <v>45160</v>
      </c>
      <c r="C1752" s="185">
        <v>3181.25</v>
      </c>
      <c r="D1752" s="185">
        <f t="shared" si="57"/>
        <v>4.6377764986432035E-2</v>
      </c>
      <c r="E1752" s="185">
        <v>-3.5863062611582106E-3</v>
      </c>
      <c r="F1752" s="171"/>
      <c r="G1752" s="171">
        <v>1749</v>
      </c>
      <c r="H1752" s="186">
        <f t="shared" ca="1" si="58"/>
        <v>-3.3366716219340072E-3</v>
      </c>
    </row>
    <row r="1753" spans="2:8">
      <c r="B1753" s="36">
        <v>44433</v>
      </c>
      <c r="C1753" s="185">
        <v>3040.25</v>
      </c>
      <c r="D1753" s="185">
        <f t="shared" si="57"/>
        <v>0.21159287450683448</v>
      </c>
      <c r="E1753" s="185">
        <v>-3.5887519664393741E-3</v>
      </c>
      <c r="F1753" s="171"/>
      <c r="G1753" s="171">
        <v>1750</v>
      </c>
      <c r="H1753" s="186">
        <f t="shared" ca="1" si="58"/>
        <v>-2.0899071772171506E-2</v>
      </c>
    </row>
    <row r="1754" spans="2:8">
      <c r="B1754" s="36">
        <v>45958</v>
      </c>
      <c r="C1754" s="185">
        <v>2509.3000000000002</v>
      </c>
      <c r="D1754" s="185">
        <f t="shared" si="57"/>
        <v>0.91974600260117845</v>
      </c>
      <c r="E1754" s="185">
        <v>-3.6134053367216919E-3</v>
      </c>
      <c r="F1754" s="171"/>
      <c r="G1754" s="171">
        <v>1751</v>
      </c>
      <c r="H1754" s="186">
        <f t="shared" ca="1" si="58"/>
        <v>2.8841583456172123E-3</v>
      </c>
    </row>
    <row r="1755" spans="2:8">
      <c r="B1755" s="36">
        <v>43241</v>
      </c>
      <c r="C1755" s="185">
        <v>1307.0999999999999</v>
      </c>
      <c r="D1755" s="185">
        <f t="shared" si="57"/>
        <v>0.14467116209825712</v>
      </c>
      <c r="E1755" s="185">
        <v>-3.6208407973472578E-3</v>
      </c>
      <c r="F1755" s="171"/>
      <c r="G1755" s="171">
        <v>1752</v>
      </c>
      <c r="H1755" s="186">
        <f t="shared" ca="1" si="58"/>
        <v>1.8040203863968255E-3</v>
      </c>
    </row>
    <row r="1756" spans="2:8">
      <c r="B1756" s="36">
        <v>43077</v>
      </c>
      <c r="C1756" s="185">
        <v>1141.9000000000001</v>
      </c>
      <c r="D1756" s="185">
        <f t="shared" si="57"/>
        <v>-0.28229785361867943</v>
      </c>
      <c r="E1756" s="185">
        <v>-3.6211334584004746E-3</v>
      </c>
      <c r="F1756" s="171"/>
      <c r="G1756" s="171">
        <v>1753</v>
      </c>
      <c r="H1756" s="186">
        <f t="shared" ca="1" si="58"/>
        <v>-1.2673403091139532E-3</v>
      </c>
    </row>
    <row r="1757" spans="2:8">
      <c r="B1757" s="36">
        <v>43698</v>
      </c>
      <c r="C1757" s="185">
        <v>1591.05</v>
      </c>
      <c r="D1757" s="185">
        <f t="shared" si="57"/>
        <v>0.82973952044160781</v>
      </c>
      <c r="E1757" s="185">
        <v>-3.632150796881332E-3</v>
      </c>
      <c r="F1757" s="171"/>
      <c r="G1757" s="171">
        <v>1754</v>
      </c>
      <c r="H1757" s="186">
        <f t="shared" ca="1" si="58"/>
        <v>1.240877247658982E-2</v>
      </c>
    </row>
    <row r="1758" spans="2:8">
      <c r="B1758" s="36">
        <v>42492</v>
      </c>
      <c r="C1758" s="185">
        <v>869.55</v>
      </c>
      <c r="D1758" s="185">
        <f t="shared" si="57"/>
        <v>-0.71403436652141739</v>
      </c>
      <c r="E1758" s="185">
        <v>-3.6665711830421604E-3</v>
      </c>
      <c r="F1758" s="171"/>
      <c r="G1758" s="171">
        <v>1755</v>
      </c>
      <c r="H1758" s="186">
        <f t="shared" ca="1" si="58"/>
        <v>1.1510708158511729E-2</v>
      </c>
    </row>
    <row r="1759" spans="2:8">
      <c r="B1759" s="36">
        <v>44385</v>
      </c>
      <c r="C1759" s="185">
        <v>3040.75</v>
      </c>
      <c r="D1759" s="185">
        <f t="shared" si="57"/>
        <v>-2.4102572331787444E-2</v>
      </c>
      <c r="E1759" s="185">
        <v>-3.6861074705111401E-3</v>
      </c>
      <c r="F1759" s="171"/>
      <c r="G1759" s="171">
        <v>1756</v>
      </c>
      <c r="H1759" s="186">
        <f t="shared" ca="1" si="58"/>
        <v>-9.9001894986558026E-3</v>
      </c>
    </row>
    <row r="1760" spans="2:8">
      <c r="B1760" s="36">
        <v>45533</v>
      </c>
      <c r="C1760" s="185">
        <v>3115.85</v>
      </c>
      <c r="D1760" s="185">
        <f t="shared" si="57"/>
        <v>1.2232251159471994</v>
      </c>
      <c r="E1760" s="185">
        <v>-3.693163650316615E-3</v>
      </c>
      <c r="F1760" s="171"/>
      <c r="G1760" s="171">
        <v>1757</v>
      </c>
      <c r="H1760" s="186">
        <f t="shared" ca="1" si="58"/>
        <v>2.3623549797004446E-3</v>
      </c>
    </row>
    <row r="1761" spans="2:8">
      <c r="B1761" s="36">
        <v>43511</v>
      </c>
      <c r="C1761" s="185">
        <v>1401.5</v>
      </c>
      <c r="D1761" s="185">
        <f t="shared" si="57"/>
        <v>-0.53567346397866378</v>
      </c>
      <c r="E1761" s="185">
        <v>-3.6965948674202356E-3</v>
      </c>
      <c r="F1761" s="171"/>
      <c r="G1761" s="171">
        <v>1758</v>
      </c>
      <c r="H1761" s="186">
        <f t="shared" ca="1" si="58"/>
        <v>2.8075919219613842E-2</v>
      </c>
    </row>
    <row r="1762" spans="2:8">
      <c r="B1762" s="36">
        <v>44383</v>
      </c>
      <c r="C1762" s="185">
        <v>3018.35</v>
      </c>
      <c r="D1762" s="185">
        <f t="shared" si="57"/>
        <v>-0.10528968001067132</v>
      </c>
      <c r="E1762" s="185">
        <v>-3.7133614998679696E-3</v>
      </c>
      <c r="F1762" s="171"/>
      <c r="G1762" s="171">
        <v>1759</v>
      </c>
      <c r="H1762" s="186">
        <f t="shared" ca="1" si="58"/>
        <v>1.221657657353647E-2</v>
      </c>
    </row>
    <row r="1763" spans="2:8">
      <c r="B1763" s="36">
        <v>45110</v>
      </c>
      <c r="C1763" s="185">
        <v>3373.55</v>
      </c>
      <c r="D1763" s="185">
        <f t="shared" si="57"/>
        <v>1.7109852137576342</v>
      </c>
      <c r="E1763" s="185">
        <v>-3.7210401193095133E-3</v>
      </c>
      <c r="F1763" s="171"/>
      <c r="G1763" s="171">
        <v>1760</v>
      </c>
      <c r="H1763" s="186">
        <f t="shared" ca="1" si="58"/>
        <v>-1.3643125107710634E-3</v>
      </c>
    </row>
    <row r="1764" spans="2:8">
      <c r="B1764" s="36">
        <v>43410</v>
      </c>
      <c r="C1764" s="185">
        <v>1244.4000000000001</v>
      </c>
      <c r="D1764" s="185">
        <f t="shared" si="57"/>
        <v>-0.58759880031152123</v>
      </c>
      <c r="E1764" s="185">
        <v>-3.7228293503061235E-3</v>
      </c>
      <c r="F1764" s="171"/>
      <c r="G1764" s="171">
        <v>1761</v>
      </c>
      <c r="H1764" s="186">
        <f t="shared" ca="1" si="58"/>
        <v>-1.5300724392134996E-2</v>
      </c>
    </row>
    <row r="1765" spans="2:8">
      <c r="B1765" s="36">
        <v>44379</v>
      </c>
      <c r="C1765" s="185">
        <v>3017.45</v>
      </c>
      <c r="D1765" s="185">
        <f t="shared" si="57"/>
        <v>0.13623783254570435</v>
      </c>
      <c r="E1765" s="185">
        <v>-3.7309120924474393E-3</v>
      </c>
      <c r="F1765" s="171"/>
      <c r="G1765" s="171">
        <v>1762</v>
      </c>
      <c r="H1765" s="186">
        <f t="shared" ca="1" si="58"/>
        <v>5.2033467082873803E-3</v>
      </c>
    </row>
    <row r="1766" spans="2:8">
      <c r="B1766" s="36">
        <v>44728</v>
      </c>
      <c r="C1766" s="185">
        <v>2655.65</v>
      </c>
      <c r="D1766" s="185">
        <f t="shared" si="57"/>
        <v>1.2929114142635123</v>
      </c>
      <c r="E1766" s="185">
        <v>-3.7327430972388274E-3</v>
      </c>
      <c r="F1766" s="171"/>
      <c r="G1766" s="171">
        <v>1763</v>
      </c>
      <c r="H1766" s="186">
        <f t="shared" ca="1" si="58"/>
        <v>4.874938795848955E-2</v>
      </c>
    </row>
    <row r="1767" spans="2:8">
      <c r="B1767" s="36">
        <v>42891</v>
      </c>
      <c r="C1767" s="185">
        <v>1158.2</v>
      </c>
      <c r="D1767" s="185">
        <f t="shared" si="57"/>
        <v>-0.48169694799964197</v>
      </c>
      <c r="E1767" s="185">
        <v>-3.7417745473312196E-3</v>
      </c>
      <c r="F1767" s="171"/>
      <c r="G1767" s="171">
        <v>1764</v>
      </c>
      <c r="H1767" s="186">
        <f t="shared" ca="1" si="58"/>
        <v>2.6281323113218553E-4</v>
      </c>
    </row>
    <row r="1768" spans="2:8">
      <c r="B1768" s="36">
        <v>45700</v>
      </c>
      <c r="C1768" s="185">
        <v>2234.6</v>
      </c>
      <c r="D1768" s="185">
        <f t="shared" si="57"/>
        <v>-0.28828728401942832</v>
      </c>
      <c r="E1768" s="185">
        <v>-3.7449843958983911E-3</v>
      </c>
      <c r="F1768" s="171"/>
      <c r="G1768" s="171">
        <v>1765</v>
      </c>
      <c r="H1768" s="186">
        <f t="shared" ca="1" si="58"/>
        <v>8.542443562105111E-3</v>
      </c>
    </row>
    <row r="1769" spans="2:8">
      <c r="B1769" s="36">
        <v>45058</v>
      </c>
      <c r="C1769" s="185">
        <v>3139.75</v>
      </c>
      <c r="D1769" s="185">
        <f t="shared" si="57"/>
        <v>-6.5786928901914662E-2</v>
      </c>
      <c r="E1769" s="185">
        <v>-3.7599949232135772E-3</v>
      </c>
      <c r="F1769" s="171"/>
      <c r="G1769" s="171">
        <v>1766</v>
      </c>
      <c r="H1769" s="186">
        <f t="shared" ca="1" si="58"/>
        <v>1.4108401628353194E-2</v>
      </c>
    </row>
    <row r="1770" spans="2:8">
      <c r="B1770" s="36">
        <v>45111</v>
      </c>
      <c r="C1770" s="185">
        <v>3360.85</v>
      </c>
      <c r="D1770" s="185">
        <f t="shared" si="57"/>
        <v>0.41894830170357378</v>
      </c>
      <c r="E1770" s="185">
        <v>-3.7645803382194637E-3</v>
      </c>
      <c r="F1770" s="171"/>
      <c r="G1770" s="171">
        <v>1767</v>
      </c>
      <c r="H1770" s="186">
        <f t="shared" ca="1" si="58"/>
        <v>-3.6469985202753378E-3</v>
      </c>
    </row>
    <row r="1771" spans="2:8">
      <c r="B1771" s="36">
        <v>44251</v>
      </c>
      <c r="C1771" s="185">
        <v>2368.5500000000002</v>
      </c>
      <c r="D1771" s="185">
        <f t="shared" si="57"/>
        <v>-0.21283171870586073</v>
      </c>
      <c r="E1771" s="185">
        <v>-3.785409349961094E-3</v>
      </c>
      <c r="F1771" s="171"/>
      <c r="G1771" s="171">
        <v>1768</v>
      </c>
      <c r="H1771" s="186">
        <f t="shared" ca="1" si="58"/>
        <v>3.1966450171212392E-2</v>
      </c>
    </row>
    <row r="1772" spans="2:8">
      <c r="B1772" s="36">
        <v>44762</v>
      </c>
      <c r="C1772" s="185">
        <v>3008.95</v>
      </c>
      <c r="D1772" s="185">
        <f t="shared" si="57"/>
        <v>3.8365944386061488E-3</v>
      </c>
      <c r="E1772" s="185">
        <v>-3.7908886240233986E-3</v>
      </c>
      <c r="F1772" s="171"/>
      <c r="G1772" s="171">
        <v>1769</v>
      </c>
      <c r="H1772" s="186">
        <f t="shared" ca="1" si="58"/>
        <v>-1.8585734388303504E-2</v>
      </c>
    </row>
    <row r="1773" spans="2:8">
      <c r="B1773" s="36">
        <v>44406</v>
      </c>
      <c r="C1773" s="185">
        <v>2997.45</v>
      </c>
      <c r="D1773" s="185">
        <f t="shared" si="57"/>
        <v>0.68230672092044331</v>
      </c>
      <c r="E1773" s="185">
        <v>-3.8053773804381246E-3</v>
      </c>
      <c r="F1773" s="171"/>
      <c r="G1773" s="171">
        <v>1770</v>
      </c>
      <c r="H1773" s="186">
        <f t="shared" ca="1" si="58"/>
        <v>2.180616084481668E-2</v>
      </c>
    </row>
    <row r="1774" spans="2:8">
      <c r="B1774" s="36">
        <v>43858</v>
      </c>
      <c r="C1774" s="185">
        <v>1781.75</v>
      </c>
      <c r="D1774" s="185">
        <f t="shared" si="57"/>
        <v>0.61207871522280022</v>
      </c>
      <c r="E1774" s="185">
        <v>-3.8298110253829304E-3</v>
      </c>
      <c r="F1774" s="171"/>
      <c r="G1774" s="171">
        <v>1771</v>
      </c>
      <c r="H1774" s="186">
        <f t="shared" ca="1" si="58"/>
        <v>-1.4937927682926322E-2</v>
      </c>
    </row>
    <row r="1775" spans="2:8">
      <c r="B1775" s="36">
        <v>42915</v>
      </c>
      <c r="C1775" s="185">
        <v>1105.25</v>
      </c>
      <c r="D1775" s="185">
        <f t="shared" si="57"/>
        <v>-5.48571917222508E-2</v>
      </c>
      <c r="E1775" s="185">
        <v>-3.8305543037404238E-3</v>
      </c>
      <c r="F1775" s="171"/>
      <c r="G1775" s="171">
        <v>1772</v>
      </c>
      <c r="H1775" s="186">
        <f t="shared" ca="1" si="58"/>
        <v>9.2019499490385917E-3</v>
      </c>
    </row>
    <row r="1776" spans="2:8">
      <c r="B1776" s="36">
        <v>42663</v>
      </c>
      <c r="C1776" s="185">
        <v>1169.4000000000001</v>
      </c>
      <c r="D1776" s="185">
        <f t="shared" si="57"/>
        <v>-0.66784070897006187</v>
      </c>
      <c r="E1776" s="185">
        <v>-3.8333759263991817E-3</v>
      </c>
      <c r="F1776" s="171"/>
      <c r="G1776" s="171">
        <v>1773</v>
      </c>
      <c r="H1776" s="186">
        <f t="shared" ca="1" si="58"/>
        <v>-2.8608133735360014E-3</v>
      </c>
    </row>
    <row r="1777" spans="2:8">
      <c r="B1777" s="36">
        <v>44567</v>
      </c>
      <c r="C1777" s="185">
        <v>3520.6</v>
      </c>
      <c r="D1777" s="185">
        <f t="shared" si="57"/>
        <v>1.5346292296616271</v>
      </c>
      <c r="E1777" s="185">
        <v>-3.8340194954940175E-3</v>
      </c>
      <c r="F1777" s="171"/>
      <c r="G1777" s="171">
        <v>1774</v>
      </c>
      <c r="H1777" s="186">
        <f t="shared" ca="1" si="58"/>
        <v>2.3497085035142369E-2</v>
      </c>
    </row>
    <row r="1778" spans="2:8">
      <c r="B1778" s="36">
        <v>43495</v>
      </c>
      <c r="C1778" s="185">
        <v>1389</v>
      </c>
      <c r="D1778" s="185">
        <f t="shared" si="57"/>
        <v>-0.50546516181863488</v>
      </c>
      <c r="E1778" s="185">
        <v>-3.8369132570731232E-3</v>
      </c>
      <c r="F1778" s="171"/>
      <c r="G1778" s="171">
        <v>1775</v>
      </c>
      <c r="H1778" s="186">
        <f t="shared" ca="1" si="58"/>
        <v>1.4072565986162602E-2</v>
      </c>
    </row>
    <row r="1779" spans="2:8">
      <c r="B1779" s="36">
        <v>44967</v>
      </c>
      <c r="C1779" s="185">
        <v>2808.7</v>
      </c>
      <c r="D1779" s="185">
        <f t="shared" si="57"/>
        <v>-0.11369517197854219</v>
      </c>
      <c r="E1779" s="185">
        <v>-3.8481317940807446E-3</v>
      </c>
      <c r="F1779" s="171"/>
      <c r="G1779" s="171">
        <v>1776</v>
      </c>
      <c r="H1779" s="186">
        <f t="shared" ca="1" si="58"/>
        <v>8.6048068264387347E-3</v>
      </c>
    </row>
    <row r="1780" spans="2:8">
      <c r="B1780" s="36">
        <v>45161</v>
      </c>
      <c r="C1780" s="185">
        <v>3169</v>
      </c>
      <c r="D1780" s="185">
        <f t="shared" si="57"/>
        <v>2.6151038101756789</v>
      </c>
      <c r="E1780" s="185">
        <v>-3.8506876227897839E-3</v>
      </c>
      <c r="F1780" s="171"/>
      <c r="G1780" s="171">
        <v>1777</v>
      </c>
      <c r="H1780" s="186">
        <f t="shared" ca="1" si="58"/>
        <v>1.2905292988914806E-2</v>
      </c>
    </row>
    <row r="1781" spans="2:8">
      <c r="B1781" s="36">
        <v>42296</v>
      </c>
      <c r="C1781" s="185">
        <v>876.6</v>
      </c>
      <c r="D1781" s="185">
        <f t="shared" si="57"/>
        <v>1.5641293013555786E-2</v>
      </c>
      <c r="E1781" s="185">
        <v>-3.8636363636363378E-3</v>
      </c>
      <c r="F1781" s="171"/>
      <c r="G1781" s="171">
        <v>1778</v>
      </c>
      <c r="H1781" s="186">
        <f t="shared" ca="1" si="58"/>
        <v>-5.364578761413755E-3</v>
      </c>
    </row>
    <row r="1782" spans="2:8">
      <c r="B1782" s="36">
        <v>42291</v>
      </c>
      <c r="C1782" s="185">
        <v>863.1</v>
      </c>
      <c r="D1782" s="185">
        <f t="shared" si="57"/>
        <v>-0.16073512252042013</v>
      </c>
      <c r="E1782" s="185">
        <v>-3.8663512031854377E-3</v>
      </c>
      <c r="F1782" s="171"/>
      <c r="G1782" s="171">
        <v>1779</v>
      </c>
      <c r="H1782" s="186">
        <f t="shared" ca="1" si="58"/>
        <v>-2.6395122963772245E-3</v>
      </c>
    </row>
    <row r="1783" spans="2:8">
      <c r="B1783" s="36">
        <v>42801</v>
      </c>
      <c r="C1783" s="185">
        <v>1028.4000000000001</v>
      </c>
      <c r="D1783" s="185">
        <f t="shared" si="57"/>
        <v>-0.65867905741785593</v>
      </c>
      <c r="E1783" s="185">
        <v>-3.8744672607516463E-3</v>
      </c>
      <c r="F1783" s="171"/>
      <c r="G1783" s="171">
        <v>1780</v>
      </c>
      <c r="H1783" s="186">
        <f t="shared" ca="1" si="58"/>
        <v>1.1014176163165244E-2</v>
      </c>
    </row>
    <row r="1784" spans="2:8">
      <c r="B1784" s="36">
        <v>44389</v>
      </c>
      <c r="C1784" s="185">
        <v>3013</v>
      </c>
      <c r="D1784" s="185">
        <f t="shared" si="57"/>
        <v>6.7304286220332979E-2</v>
      </c>
      <c r="E1784" s="185">
        <v>-3.884618563517646E-3</v>
      </c>
      <c r="F1784" s="171"/>
      <c r="G1784" s="171">
        <v>1781</v>
      </c>
      <c r="H1784" s="186">
        <f t="shared" ca="1" si="58"/>
        <v>1.2672140897939161E-2</v>
      </c>
    </row>
    <row r="1785" spans="2:8">
      <c r="B1785" s="36">
        <v>44977</v>
      </c>
      <c r="C1785" s="185">
        <v>2823</v>
      </c>
      <c r="D1785" s="185">
        <f t="shared" si="57"/>
        <v>1.0111134857875614</v>
      </c>
      <c r="E1785" s="185">
        <v>-3.8990137788677622E-3</v>
      </c>
      <c r="F1785" s="171"/>
      <c r="G1785" s="171">
        <v>1782</v>
      </c>
      <c r="H1785" s="186">
        <f t="shared" ca="1" si="58"/>
        <v>1.1314402425079135E-2</v>
      </c>
    </row>
    <row r="1786" spans="2:8">
      <c r="B1786" s="36">
        <v>43475</v>
      </c>
      <c r="C1786" s="185">
        <v>1403.7</v>
      </c>
      <c r="D1786" s="185">
        <f t="shared" si="57"/>
        <v>-0.39413427714353538</v>
      </c>
      <c r="E1786" s="185">
        <v>-3.9029236446210614E-3</v>
      </c>
      <c r="F1786" s="171"/>
      <c r="G1786" s="171">
        <v>1783</v>
      </c>
      <c r="H1786" s="186">
        <f t="shared" ca="1" si="58"/>
        <v>2.0053217627386804E-2</v>
      </c>
    </row>
    <row r="1787" spans="2:8">
      <c r="B1787" s="36">
        <v>45742</v>
      </c>
      <c r="C1787" s="185">
        <v>2316.85</v>
      </c>
      <c r="D1787" s="185">
        <f t="shared" si="57"/>
        <v>1.3473657548125633</v>
      </c>
      <c r="E1787" s="185">
        <v>-3.9123798877877466E-3</v>
      </c>
      <c r="F1787" s="171"/>
      <c r="G1787" s="171">
        <v>1784</v>
      </c>
      <c r="H1787" s="186">
        <f t="shared" ca="1" si="58"/>
        <v>2.4458358086677887E-2</v>
      </c>
    </row>
    <row r="1788" spans="2:8">
      <c r="B1788" s="36">
        <v>42769</v>
      </c>
      <c r="C1788" s="185">
        <v>987</v>
      </c>
      <c r="D1788" s="185">
        <f t="shared" si="57"/>
        <v>-0.61589352428393518</v>
      </c>
      <c r="E1788" s="185">
        <v>-3.9358159249167192E-3</v>
      </c>
      <c r="F1788" s="171"/>
      <c r="G1788" s="171">
        <v>1785</v>
      </c>
      <c r="H1788" s="186">
        <f t="shared" ca="1" si="58"/>
        <v>-8.6419903929733054E-3</v>
      </c>
    </row>
    <row r="1789" spans="2:8">
      <c r="B1789" s="36">
        <v>45889</v>
      </c>
      <c r="C1789" s="185">
        <v>2569.6</v>
      </c>
      <c r="D1789" s="185">
        <f t="shared" si="57"/>
        <v>1.5931981027348874</v>
      </c>
      <c r="E1789" s="185">
        <v>-3.9537948678193165E-3</v>
      </c>
      <c r="F1789" s="171"/>
      <c r="G1789" s="171">
        <v>1786</v>
      </c>
      <c r="H1789" s="186">
        <f t="shared" ca="1" si="58"/>
        <v>-2.6537007075399213E-2</v>
      </c>
    </row>
    <row r="1790" spans="2:8">
      <c r="B1790" s="36">
        <v>42768</v>
      </c>
      <c r="C1790" s="185">
        <v>990.9</v>
      </c>
      <c r="D1790" s="185">
        <f t="shared" si="57"/>
        <v>-0.44492059490799096</v>
      </c>
      <c r="E1790" s="185">
        <v>-3.9704478062019856E-3</v>
      </c>
      <c r="F1790" s="171"/>
      <c r="G1790" s="171">
        <v>1787</v>
      </c>
      <c r="H1790" s="186">
        <f t="shared" ca="1" si="58"/>
        <v>2.0665867669853094E-2</v>
      </c>
    </row>
    <row r="1791" spans="2:8">
      <c r="B1791" s="36">
        <v>43892</v>
      </c>
      <c r="C1791" s="185">
        <v>1785.15</v>
      </c>
      <c r="D1791" s="185">
        <f t="shared" si="57"/>
        <v>0.81463786531130888</v>
      </c>
      <c r="E1791" s="185">
        <v>-3.9892875076716306E-3</v>
      </c>
      <c r="F1791" s="171"/>
      <c r="G1791" s="171">
        <v>1788</v>
      </c>
      <c r="H1791" s="186">
        <f t="shared" ca="1" si="58"/>
        <v>-3.8313738581411391E-2</v>
      </c>
    </row>
    <row r="1792" spans="2:8">
      <c r="B1792" s="36">
        <v>42780</v>
      </c>
      <c r="C1792" s="185">
        <v>983.75</v>
      </c>
      <c r="D1792" s="185">
        <f t="shared" si="57"/>
        <v>-0.56259309486227527</v>
      </c>
      <c r="E1792" s="185">
        <v>-3.9991900374608137E-3</v>
      </c>
      <c r="F1792" s="171"/>
      <c r="G1792" s="171">
        <v>1789</v>
      </c>
      <c r="H1792" s="186">
        <f t="shared" ca="1" si="58"/>
        <v>-7.0512662926881103E-3</v>
      </c>
    </row>
    <row r="1793" spans="2:8">
      <c r="B1793" s="36">
        <v>45685</v>
      </c>
      <c r="C1793" s="185">
        <v>2249.0500000000002</v>
      </c>
      <c r="D1793" s="185">
        <f t="shared" si="57"/>
        <v>-4.0298474414896743E-3</v>
      </c>
      <c r="E1793" s="185">
        <v>-4.0298474414896743E-3</v>
      </c>
      <c r="F1793" s="171"/>
      <c r="G1793" s="171">
        <v>1790</v>
      </c>
      <c r="H1793" s="186">
        <f t="shared" ca="1" si="58"/>
        <v>-2.22707749830496E-2</v>
      </c>
    </row>
    <row r="1794" spans="2:8">
      <c r="B1794" s="36">
        <v>45684</v>
      </c>
      <c r="C1794" s="185">
        <v>2258.15</v>
      </c>
      <c r="D1794" s="185">
        <f t="shared" si="57"/>
        <v>-0.32529094521714441</v>
      </c>
      <c r="E1794" s="185">
        <v>-4.0356371013981788E-3</v>
      </c>
      <c r="F1794" s="171"/>
      <c r="G1794" s="171">
        <v>1791</v>
      </c>
      <c r="H1794" s="186">
        <f t="shared" ca="1" si="58"/>
        <v>-3.8849572161137481E-3</v>
      </c>
    </row>
    <row r="1795" spans="2:8">
      <c r="B1795" s="36">
        <v>45551</v>
      </c>
      <c r="C1795" s="185">
        <v>3346.85</v>
      </c>
      <c r="D1795" s="185">
        <f t="shared" si="57"/>
        <v>1.8445096039435664</v>
      </c>
      <c r="E1795" s="185">
        <v>-4.0618955512572805E-3</v>
      </c>
      <c r="F1795" s="171"/>
      <c r="G1795" s="171">
        <v>1792</v>
      </c>
      <c r="H1795" s="186">
        <f t="shared" ca="1" si="58"/>
        <v>6.501544889336825E-4</v>
      </c>
    </row>
    <row r="1796" spans="2:8">
      <c r="B1796" s="36">
        <v>43207</v>
      </c>
      <c r="C1796" s="185">
        <v>1176.5999999999999</v>
      </c>
      <c r="D1796" s="185">
        <f t="shared" ref="D1796:D1859" si="59">(C1796-C1797)/C1797</f>
        <v>-0.55549678881752929</v>
      </c>
      <c r="E1796" s="185">
        <v>-4.0629761300153902E-3</v>
      </c>
      <c r="F1796" s="171"/>
      <c r="G1796" s="171">
        <v>1793</v>
      </c>
      <c r="H1796" s="186">
        <f t="shared" ca="1" si="58"/>
        <v>-2.4614958248087406E-3</v>
      </c>
    </row>
    <row r="1797" spans="2:8">
      <c r="B1797" s="36">
        <v>46168</v>
      </c>
      <c r="C1797" s="185">
        <v>2647</v>
      </c>
      <c r="D1797" s="185">
        <f t="shared" si="59"/>
        <v>0.17547794036014838</v>
      </c>
      <c r="E1797" s="185">
        <v>-4.0635111746557982E-3</v>
      </c>
      <c r="F1797" s="171"/>
      <c r="G1797" s="171">
        <v>1794</v>
      </c>
      <c r="H1797" s="186">
        <f t="shared" ref="H1797:H1860" ca="1" si="60">_xlfn.NORM.INV(RAND(),N$6,N$7)</f>
        <v>-6.9031232675775009E-4</v>
      </c>
    </row>
    <row r="1798" spans="2:8">
      <c r="B1798" s="36">
        <v>45712</v>
      </c>
      <c r="C1798" s="185">
        <v>2251.85</v>
      </c>
      <c r="D1798" s="185">
        <f t="shared" si="59"/>
        <v>1.6385259827757921</v>
      </c>
      <c r="E1798" s="185">
        <v>-4.0689060392296817E-3</v>
      </c>
      <c r="F1798" s="171"/>
      <c r="G1798" s="171">
        <v>1795</v>
      </c>
      <c r="H1798" s="186">
        <f t="shared" ca="1" si="60"/>
        <v>-2.8185076830002801E-3</v>
      </c>
    </row>
    <row r="1799" spans="2:8">
      <c r="B1799" s="36">
        <v>42300</v>
      </c>
      <c r="C1799" s="185">
        <v>853.45</v>
      </c>
      <c r="D1799" s="185">
        <f t="shared" si="59"/>
        <v>-0.71555459272097044</v>
      </c>
      <c r="E1799" s="185">
        <v>-4.0842522900986049E-3</v>
      </c>
      <c r="F1799" s="171"/>
      <c r="G1799" s="171">
        <v>1796</v>
      </c>
      <c r="H1799" s="186">
        <f t="shared" ca="1" si="60"/>
        <v>-7.1445725523061167E-3</v>
      </c>
    </row>
    <row r="1800" spans="2:8">
      <c r="B1800" s="36">
        <v>45343</v>
      </c>
      <c r="C1800" s="185">
        <v>3000.4</v>
      </c>
      <c r="D1800" s="185">
        <f t="shared" si="59"/>
        <v>6.0680512593901934E-2</v>
      </c>
      <c r="E1800" s="185">
        <v>-4.0992448759438749E-3</v>
      </c>
      <c r="F1800" s="171"/>
      <c r="G1800" s="171">
        <v>1797</v>
      </c>
      <c r="H1800" s="186">
        <f t="shared" ca="1" si="60"/>
        <v>-2.1231593126500043E-2</v>
      </c>
    </row>
    <row r="1801" spans="2:8">
      <c r="B1801" s="36">
        <v>44708</v>
      </c>
      <c r="C1801" s="185">
        <v>2828.75</v>
      </c>
      <c r="D1801" s="185">
        <f t="shared" si="59"/>
        <v>0.39206712433257057</v>
      </c>
      <c r="E1801" s="185">
        <v>-4.1015349950711483E-3</v>
      </c>
      <c r="F1801" s="171"/>
      <c r="G1801" s="171">
        <v>1798</v>
      </c>
      <c r="H1801" s="186">
        <f t="shared" ca="1" si="60"/>
        <v>2.4631714974565479E-2</v>
      </c>
    </row>
    <row r="1802" spans="2:8">
      <c r="B1802" s="36">
        <v>44109</v>
      </c>
      <c r="C1802" s="185">
        <v>2032.05</v>
      </c>
      <c r="D1802" s="185">
        <f t="shared" si="59"/>
        <v>-0.14531765893461765</v>
      </c>
      <c r="E1802" s="185">
        <v>-4.1167389546424024E-3</v>
      </c>
      <c r="F1802" s="171"/>
      <c r="G1802" s="171">
        <v>1799</v>
      </c>
      <c r="H1802" s="186">
        <f t="shared" ca="1" si="60"/>
        <v>2.4200111777290752E-2</v>
      </c>
    </row>
    <row r="1803" spans="2:8">
      <c r="B1803" s="36">
        <v>44250</v>
      </c>
      <c r="C1803" s="185">
        <v>2377.5500000000002</v>
      </c>
      <c r="D1803" s="185">
        <f t="shared" si="59"/>
        <v>1.1185564713744711</v>
      </c>
      <c r="E1803" s="185">
        <v>-4.1258272597804761E-3</v>
      </c>
      <c r="F1803" s="171"/>
      <c r="G1803" s="171">
        <v>1800</v>
      </c>
      <c r="H1803" s="186">
        <f t="shared" ca="1" si="60"/>
        <v>2.6750262712577067E-2</v>
      </c>
    </row>
    <row r="1804" spans="2:8">
      <c r="B1804" s="36">
        <v>42580</v>
      </c>
      <c r="C1804" s="185">
        <v>1122.25</v>
      </c>
      <c r="D1804" s="185">
        <f t="shared" si="59"/>
        <v>-0.63618828411190709</v>
      </c>
      <c r="E1804" s="185">
        <v>-4.1263643624102325E-3</v>
      </c>
      <c r="F1804" s="171"/>
      <c r="G1804" s="171">
        <v>1801</v>
      </c>
      <c r="H1804" s="186">
        <f t="shared" ca="1" si="60"/>
        <v>-4.2234958631845749E-3</v>
      </c>
    </row>
    <row r="1805" spans="2:8">
      <c r="B1805" s="36">
        <v>44882</v>
      </c>
      <c r="C1805" s="185">
        <v>3084.7</v>
      </c>
      <c r="D1805" s="185">
        <f t="shared" si="59"/>
        <v>2.6179920243959649</v>
      </c>
      <c r="E1805" s="185">
        <v>-4.1323648103309711E-3</v>
      </c>
      <c r="F1805" s="171"/>
      <c r="G1805" s="171">
        <v>1802</v>
      </c>
      <c r="H1805" s="186">
        <f t="shared" ca="1" si="60"/>
        <v>1.7748639892562663E-2</v>
      </c>
    </row>
    <row r="1806" spans="2:8">
      <c r="B1806" s="36">
        <v>42452</v>
      </c>
      <c r="C1806" s="185">
        <v>852.6</v>
      </c>
      <c r="D1806" s="185">
        <f t="shared" si="59"/>
        <v>-0.745382329665079</v>
      </c>
      <c r="E1806" s="185">
        <v>-4.1464696606902463E-3</v>
      </c>
      <c r="F1806" s="171"/>
      <c r="G1806" s="171">
        <v>1803</v>
      </c>
      <c r="H1806" s="186">
        <f t="shared" ca="1" si="60"/>
        <v>6.6573360259177721E-3</v>
      </c>
    </row>
    <row r="1807" spans="2:8">
      <c r="B1807" s="36">
        <v>44799</v>
      </c>
      <c r="C1807" s="185">
        <v>3348.55</v>
      </c>
      <c r="D1807" s="185">
        <f t="shared" si="59"/>
        <v>1.8222081753055206</v>
      </c>
      <c r="E1807" s="185">
        <v>-4.1486988847583102E-3</v>
      </c>
      <c r="F1807" s="171"/>
      <c r="G1807" s="171">
        <v>1804</v>
      </c>
      <c r="H1807" s="186">
        <f t="shared" ca="1" si="60"/>
        <v>1.618722535726988E-2</v>
      </c>
    </row>
    <row r="1808" spans="2:8">
      <c r="B1808" s="36">
        <v>43038</v>
      </c>
      <c r="C1808" s="185">
        <v>1186.5</v>
      </c>
      <c r="D1808" s="185">
        <f t="shared" si="59"/>
        <v>0.13905822493159881</v>
      </c>
      <c r="E1808" s="185">
        <v>-4.1546015359436358E-3</v>
      </c>
      <c r="F1808" s="171"/>
      <c r="G1808" s="171">
        <v>1805</v>
      </c>
      <c r="H1808" s="186">
        <f t="shared" ca="1" si="60"/>
        <v>-5.7422367096683089E-3</v>
      </c>
    </row>
    <row r="1809" spans="2:8">
      <c r="B1809" s="36">
        <v>42681</v>
      </c>
      <c r="C1809" s="185">
        <v>1041.6500000000001</v>
      </c>
      <c r="D1809" s="185">
        <f t="shared" si="59"/>
        <v>-0.68703241895261846</v>
      </c>
      <c r="E1809" s="185">
        <v>-4.1586998087953242E-3</v>
      </c>
      <c r="F1809" s="171"/>
      <c r="G1809" s="171">
        <v>1806</v>
      </c>
      <c r="H1809" s="186">
        <f t="shared" ca="1" si="60"/>
        <v>-2.4541704533966773E-3</v>
      </c>
    </row>
    <row r="1810" spans="2:8">
      <c r="B1810" s="36">
        <v>44445</v>
      </c>
      <c r="C1810" s="185">
        <v>3328.3</v>
      </c>
      <c r="D1810" s="185">
        <f t="shared" si="59"/>
        <v>0.9326984495673889</v>
      </c>
      <c r="E1810" s="185">
        <v>-4.1589372269761346E-3</v>
      </c>
      <c r="F1810" s="171"/>
      <c r="G1810" s="171">
        <v>1807</v>
      </c>
      <c r="H1810" s="186">
        <f t="shared" ca="1" si="60"/>
        <v>-6.5990347692627674E-3</v>
      </c>
    </row>
    <row r="1811" spans="2:8">
      <c r="B1811" s="36">
        <v>43790</v>
      </c>
      <c r="C1811" s="185">
        <v>1722.1</v>
      </c>
      <c r="D1811" s="185">
        <f t="shared" si="59"/>
        <v>0.47788028320102977</v>
      </c>
      <c r="E1811" s="185">
        <v>-4.1635343780720788E-3</v>
      </c>
      <c r="F1811" s="171"/>
      <c r="G1811" s="171">
        <v>1808</v>
      </c>
      <c r="H1811" s="186">
        <f t="shared" ca="1" si="60"/>
        <v>-4.6017117824310545E-3</v>
      </c>
    </row>
    <row r="1812" spans="2:8">
      <c r="B1812" s="36">
        <v>43060</v>
      </c>
      <c r="C1812" s="185">
        <v>1165.25</v>
      </c>
      <c r="D1812" s="185">
        <f t="shared" si="59"/>
        <v>-0.62436736404371229</v>
      </c>
      <c r="E1812" s="185">
        <v>-4.1874973294022911E-3</v>
      </c>
      <c r="F1812" s="171"/>
      <c r="G1812" s="171">
        <v>1809</v>
      </c>
      <c r="H1812" s="186">
        <f t="shared" ca="1" si="60"/>
        <v>-2.1691272271795979E-2</v>
      </c>
    </row>
    <row r="1813" spans="2:8">
      <c r="B1813" s="36">
        <v>44925</v>
      </c>
      <c r="C1813" s="185">
        <v>3102.1</v>
      </c>
      <c r="D1813" s="185">
        <f t="shared" si="59"/>
        <v>1.9030929764634319</v>
      </c>
      <c r="E1813" s="185">
        <v>-4.1892043721811732E-3</v>
      </c>
      <c r="F1813" s="171"/>
      <c r="G1813" s="171">
        <v>1810</v>
      </c>
      <c r="H1813" s="186">
        <f t="shared" ca="1" si="60"/>
        <v>9.4773802540833629E-4</v>
      </c>
    </row>
    <row r="1814" spans="2:8">
      <c r="B1814" s="36">
        <v>42809</v>
      </c>
      <c r="C1814" s="185">
        <v>1068.55</v>
      </c>
      <c r="D1814" s="185">
        <f t="shared" si="59"/>
        <v>0.14424158055362202</v>
      </c>
      <c r="E1814" s="185">
        <v>-4.1936536042122925E-3</v>
      </c>
      <c r="F1814" s="171"/>
      <c r="G1814" s="171">
        <v>1811</v>
      </c>
      <c r="H1814" s="186">
        <f t="shared" ca="1" si="60"/>
        <v>5.9118699729204484E-3</v>
      </c>
    </row>
    <row r="1815" spans="2:8">
      <c r="B1815" s="36">
        <v>42747</v>
      </c>
      <c r="C1815" s="185">
        <v>933.85</v>
      </c>
      <c r="D1815" s="185">
        <f t="shared" si="59"/>
        <v>-0.72227509293680303</v>
      </c>
      <c r="E1815" s="185">
        <v>-4.2119854979739092E-3</v>
      </c>
      <c r="F1815" s="171"/>
      <c r="G1815" s="171">
        <v>1812</v>
      </c>
      <c r="H1815" s="186">
        <f t="shared" ca="1" si="60"/>
        <v>9.6442126491394376E-3</v>
      </c>
    </row>
    <row r="1816" spans="2:8">
      <c r="B1816" s="36">
        <v>44798</v>
      </c>
      <c r="C1816" s="185">
        <v>3362.5</v>
      </c>
      <c r="D1816" s="185">
        <f t="shared" si="59"/>
        <v>3.8064954309706162E-2</v>
      </c>
      <c r="E1816" s="185">
        <v>-4.2200340564151921E-3</v>
      </c>
      <c r="F1816" s="171"/>
      <c r="G1816" s="171">
        <v>1813</v>
      </c>
      <c r="H1816" s="186">
        <f t="shared" ca="1" si="60"/>
        <v>9.2038392314903084E-4</v>
      </c>
    </row>
    <row r="1817" spans="2:8">
      <c r="B1817" s="36">
        <v>44903</v>
      </c>
      <c r="C1817" s="185">
        <v>3239.2</v>
      </c>
      <c r="D1817" s="185">
        <f t="shared" si="59"/>
        <v>1.0721596724667348</v>
      </c>
      <c r="E1817" s="185">
        <v>-4.2269324766750181E-3</v>
      </c>
      <c r="F1817" s="171"/>
      <c r="G1817" s="171">
        <v>1814</v>
      </c>
      <c r="H1817" s="186">
        <f t="shared" ca="1" si="60"/>
        <v>-7.7206133193537018E-3</v>
      </c>
    </row>
    <row r="1818" spans="2:8">
      <c r="B1818" s="36">
        <v>43684</v>
      </c>
      <c r="C1818" s="185">
        <v>1563.2</v>
      </c>
      <c r="D1818" s="185">
        <f t="shared" si="59"/>
        <v>-0.48076795323191385</v>
      </c>
      <c r="E1818" s="185">
        <v>-4.236073510207895E-3</v>
      </c>
      <c r="F1818" s="171"/>
      <c r="G1818" s="171">
        <v>1815</v>
      </c>
      <c r="H1818" s="186">
        <f t="shared" ca="1" si="60"/>
        <v>1.0629779781206942E-2</v>
      </c>
    </row>
    <row r="1819" spans="2:8">
      <c r="B1819" s="36">
        <v>45338</v>
      </c>
      <c r="C1819" s="185">
        <v>3010.6</v>
      </c>
      <c r="D1819" s="185">
        <f t="shared" si="59"/>
        <v>1.5531950981639313</v>
      </c>
      <c r="E1819" s="185">
        <v>-4.2501116274454385E-3</v>
      </c>
      <c r="F1819" s="171"/>
      <c r="G1819" s="171">
        <v>1816</v>
      </c>
      <c r="H1819" s="186">
        <f t="shared" ca="1" si="60"/>
        <v>6.7856885663124923E-3</v>
      </c>
    </row>
    <row r="1820" spans="2:8">
      <c r="B1820" s="36">
        <v>42661</v>
      </c>
      <c r="C1820" s="185">
        <v>1179.1500000000001</v>
      </c>
      <c r="D1820" s="185">
        <f t="shared" si="59"/>
        <v>-5.5962531523958102E-2</v>
      </c>
      <c r="E1820" s="185">
        <v>-4.2644823509541919E-3</v>
      </c>
      <c r="F1820" s="171"/>
      <c r="G1820" s="171">
        <v>1817</v>
      </c>
      <c r="H1820" s="186">
        <f t="shared" ca="1" si="60"/>
        <v>1.9115635785071361E-2</v>
      </c>
    </row>
    <row r="1821" spans="2:8">
      <c r="B1821" s="36">
        <v>43409</v>
      </c>
      <c r="C1821" s="185">
        <v>1249.05</v>
      </c>
      <c r="D1821" s="185">
        <f t="shared" si="59"/>
        <v>-0.61148091698031048</v>
      </c>
      <c r="E1821" s="185">
        <v>-4.2649872448980676E-3</v>
      </c>
      <c r="F1821" s="171"/>
      <c r="G1821" s="171">
        <v>1818</v>
      </c>
      <c r="H1821" s="186">
        <f t="shared" ca="1" si="60"/>
        <v>-1.301194452163675E-2</v>
      </c>
    </row>
    <row r="1822" spans="2:8">
      <c r="B1822" s="36">
        <v>44853</v>
      </c>
      <c r="C1822" s="185">
        <v>3214.9</v>
      </c>
      <c r="D1822" s="185">
        <f t="shared" si="59"/>
        <v>2.4327051412097598</v>
      </c>
      <c r="E1822" s="185">
        <v>-4.2895857530003594E-3</v>
      </c>
      <c r="F1822" s="171"/>
      <c r="G1822" s="171">
        <v>1819</v>
      </c>
      <c r="H1822" s="186">
        <f t="shared" ca="1" si="60"/>
        <v>-1.6885919458124427E-2</v>
      </c>
    </row>
    <row r="1823" spans="2:8">
      <c r="B1823" s="36">
        <v>42698</v>
      </c>
      <c r="C1823" s="185">
        <v>936.55</v>
      </c>
      <c r="D1823" s="185">
        <f t="shared" si="59"/>
        <v>-0.57061641794466222</v>
      </c>
      <c r="E1823" s="185">
        <v>-4.3057622793962027E-3</v>
      </c>
      <c r="F1823" s="171"/>
      <c r="G1823" s="171">
        <v>1820</v>
      </c>
      <c r="H1823" s="186">
        <f t="shared" ca="1" si="60"/>
        <v>1.0278920785280584E-2</v>
      </c>
    </row>
    <row r="1824" spans="2:8">
      <c r="B1824" s="36">
        <v>44147</v>
      </c>
      <c r="C1824" s="185">
        <v>2181.15</v>
      </c>
      <c r="D1824" s="185">
        <f t="shared" si="59"/>
        <v>0.89582790091264675</v>
      </c>
      <c r="E1824" s="185">
        <v>-4.3138866064091203E-3</v>
      </c>
      <c r="F1824" s="171"/>
      <c r="G1824" s="171">
        <v>1821</v>
      </c>
      <c r="H1824" s="186">
        <f t="shared" ca="1" si="60"/>
        <v>4.5024322688180431E-3</v>
      </c>
    </row>
    <row r="1825" spans="2:8">
      <c r="B1825" s="36">
        <v>42873</v>
      </c>
      <c r="C1825" s="185">
        <v>1150.5</v>
      </c>
      <c r="D1825" s="185">
        <f t="shared" si="59"/>
        <v>-0.61752630441648249</v>
      </c>
      <c r="E1825" s="185">
        <v>-4.3271311120726954E-3</v>
      </c>
      <c r="F1825" s="171"/>
      <c r="G1825" s="171">
        <v>1822</v>
      </c>
      <c r="H1825" s="186">
        <f t="shared" ca="1" si="60"/>
        <v>5.3749522264467013E-3</v>
      </c>
    </row>
    <row r="1826" spans="2:8">
      <c r="B1826" s="36">
        <v>44426</v>
      </c>
      <c r="C1826" s="185">
        <v>3008.05</v>
      </c>
      <c r="D1826" s="185">
        <f t="shared" si="59"/>
        <v>1.6164919758187275</v>
      </c>
      <c r="E1826" s="185">
        <v>-4.3525751357075459E-3</v>
      </c>
      <c r="F1826" s="171"/>
      <c r="G1826" s="171">
        <v>1823</v>
      </c>
      <c r="H1826" s="186">
        <f t="shared" ca="1" si="60"/>
        <v>9.0541766570736096E-3</v>
      </c>
    </row>
    <row r="1827" spans="2:8">
      <c r="B1827" s="36">
        <v>42955</v>
      </c>
      <c r="C1827" s="185">
        <v>1149.6500000000001</v>
      </c>
      <c r="D1827" s="185">
        <f t="shared" si="59"/>
        <v>-0.59766575093177476</v>
      </c>
      <c r="E1827" s="185">
        <v>-4.3734303282237418E-3</v>
      </c>
      <c r="F1827" s="171"/>
      <c r="G1827" s="171">
        <v>1824</v>
      </c>
      <c r="H1827" s="186">
        <f t="shared" ca="1" si="60"/>
        <v>8.46712896332911E-3</v>
      </c>
    </row>
    <row r="1828" spans="2:8">
      <c r="B1828" s="36">
        <v>45406</v>
      </c>
      <c r="C1828" s="185">
        <v>2857.45</v>
      </c>
      <c r="D1828" s="185">
        <f t="shared" si="59"/>
        <v>1.868493700747879</v>
      </c>
      <c r="E1828" s="185">
        <v>-4.3901674186862119E-3</v>
      </c>
      <c r="F1828" s="171"/>
      <c r="G1828" s="171">
        <v>1825</v>
      </c>
      <c r="H1828" s="186">
        <f t="shared" ca="1" si="60"/>
        <v>-1.2664010471169608E-2</v>
      </c>
    </row>
    <row r="1829" spans="2:8">
      <c r="B1829" s="36">
        <v>42541</v>
      </c>
      <c r="C1829" s="185">
        <v>996.15</v>
      </c>
      <c r="D1829" s="185">
        <f t="shared" si="59"/>
        <v>0.13076792099438098</v>
      </c>
      <c r="E1829" s="185">
        <v>-4.3975813302683303E-3</v>
      </c>
      <c r="F1829" s="171"/>
      <c r="G1829" s="171">
        <v>1826</v>
      </c>
      <c r="H1829" s="186">
        <f t="shared" ca="1" si="60"/>
        <v>3.4241518211213587E-3</v>
      </c>
    </row>
    <row r="1830" spans="2:8">
      <c r="B1830" s="36">
        <v>42366</v>
      </c>
      <c r="C1830" s="185">
        <v>880.95</v>
      </c>
      <c r="D1830" s="185">
        <f t="shared" si="59"/>
        <v>-0.65470544428330657</v>
      </c>
      <c r="E1830" s="185">
        <v>-4.4075266994405577E-3</v>
      </c>
      <c r="F1830" s="171"/>
      <c r="G1830" s="171">
        <v>1827</v>
      </c>
      <c r="H1830" s="186">
        <f t="shared" ca="1" si="60"/>
        <v>9.8219408010463468E-3</v>
      </c>
    </row>
    <row r="1831" spans="2:8">
      <c r="B1831" s="36">
        <v>45912</v>
      </c>
      <c r="C1831" s="185">
        <v>2551.3000000000002</v>
      </c>
      <c r="D1831" s="185">
        <f t="shared" si="59"/>
        <v>-2.3986228003060373E-2</v>
      </c>
      <c r="E1831" s="185">
        <v>-4.4095840162334064E-3</v>
      </c>
      <c r="F1831" s="171"/>
      <c r="G1831" s="171">
        <v>1828</v>
      </c>
      <c r="H1831" s="186">
        <f t="shared" ca="1" si="60"/>
        <v>-1.2095917901743523E-2</v>
      </c>
    </row>
    <row r="1832" spans="2:8">
      <c r="B1832" s="36">
        <v>46157</v>
      </c>
      <c r="C1832" s="185">
        <v>2614</v>
      </c>
      <c r="D1832" s="185">
        <f t="shared" si="59"/>
        <v>-0.14096518181370046</v>
      </c>
      <c r="E1832" s="185">
        <v>-4.4180377818403066E-3</v>
      </c>
      <c r="F1832" s="171"/>
      <c r="G1832" s="171">
        <v>1829</v>
      </c>
      <c r="H1832" s="186">
        <f t="shared" ca="1" si="60"/>
        <v>-1.1236743216476006E-2</v>
      </c>
    </row>
    <row r="1833" spans="2:8">
      <c r="B1833" s="36">
        <v>44929</v>
      </c>
      <c r="C1833" s="185">
        <v>3042.95</v>
      </c>
      <c r="D1833" s="185">
        <f t="shared" si="59"/>
        <v>1.5921713944969755</v>
      </c>
      <c r="E1833" s="185">
        <v>-4.4494609936040182E-3</v>
      </c>
      <c r="F1833" s="171"/>
      <c r="G1833" s="171">
        <v>1830</v>
      </c>
      <c r="H1833" s="186">
        <f t="shared" ca="1" si="60"/>
        <v>-1.1198402086657936E-2</v>
      </c>
    </row>
    <row r="1834" spans="2:8">
      <c r="B1834" s="36">
        <v>42662</v>
      </c>
      <c r="C1834" s="185">
        <v>1173.9000000000001</v>
      </c>
      <c r="D1834" s="185">
        <f t="shared" si="59"/>
        <v>-0.31813429368029733</v>
      </c>
      <c r="E1834" s="185">
        <v>-4.4523597506678537E-3</v>
      </c>
      <c r="F1834" s="171"/>
      <c r="G1834" s="171">
        <v>1831</v>
      </c>
      <c r="H1834" s="186">
        <f t="shared" ca="1" si="60"/>
        <v>5.1287582211654529E-3</v>
      </c>
    </row>
    <row r="1835" spans="2:8">
      <c r="B1835" s="36">
        <v>43804</v>
      </c>
      <c r="C1835" s="185">
        <v>1721.6</v>
      </c>
      <c r="D1835" s="185">
        <f t="shared" si="59"/>
        <v>-0.25528279441981189</v>
      </c>
      <c r="E1835" s="185">
        <v>-4.4526687098826378E-3</v>
      </c>
      <c r="F1835" s="171"/>
      <c r="G1835" s="171">
        <v>1832</v>
      </c>
      <c r="H1835" s="186">
        <f t="shared" ca="1" si="60"/>
        <v>-1.9814499871325296E-2</v>
      </c>
    </row>
    <row r="1836" spans="2:8">
      <c r="B1836" s="36">
        <v>45749</v>
      </c>
      <c r="C1836" s="185">
        <v>2311.75</v>
      </c>
      <c r="D1836" s="185">
        <f t="shared" si="59"/>
        <v>0.62730536393073355</v>
      </c>
      <c r="E1836" s="185">
        <v>-4.4571723870633949E-3</v>
      </c>
      <c r="F1836" s="171"/>
      <c r="G1836" s="171">
        <v>1833</v>
      </c>
      <c r="H1836" s="186">
        <f t="shared" ca="1" si="60"/>
        <v>1.7934370404081534E-2</v>
      </c>
    </row>
    <row r="1837" spans="2:8">
      <c r="B1837" s="36">
        <v>43315</v>
      </c>
      <c r="C1837" s="185">
        <v>1420.6</v>
      </c>
      <c r="D1837" s="185">
        <f t="shared" si="59"/>
        <v>7.8254269449715294E-2</v>
      </c>
      <c r="E1837" s="185">
        <v>-4.4849334267695103E-3</v>
      </c>
      <c r="F1837" s="171"/>
      <c r="G1837" s="171">
        <v>1834</v>
      </c>
      <c r="H1837" s="186">
        <f t="shared" ca="1" si="60"/>
        <v>-3.782869241320719E-3</v>
      </c>
    </row>
    <row r="1838" spans="2:8">
      <c r="B1838" s="36">
        <v>43423</v>
      </c>
      <c r="C1838" s="185">
        <v>1317.5</v>
      </c>
      <c r="D1838" s="185">
        <f t="shared" si="59"/>
        <v>-0.58741740519212104</v>
      </c>
      <c r="E1838" s="185">
        <v>-4.4958253050738943E-3</v>
      </c>
      <c r="F1838" s="171"/>
      <c r="G1838" s="171">
        <v>1835</v>
      </c>
      <c r="H1838" s="186">
        <f t="shared" ca="1" si="60"/>
        <v>-3.1095096628100801E-3</v>
      </c>
    </row>
    <row r="1839" spans="2:8">
      <c r="B1839" s="36">
        <v>45155</v>
      </c>
      <c r="C1839" s="185">
        <v>3193.3</v>
      </c>
      <c r="D1839" s="185">
        <f t="shared" si="59"/>
        <v>1.7165461505742239</v>
      </c>
      <c r="E1839" s="185">
        <v>-4.5047151430129585E-3</v>
      </c>
      <c r="F1839" s="171"/>
      <c r="G1839" s="171">
        <v>1836</v>
      </c>
      <c r="H1839" s="186">
        <f t="shared" ca="1" si="60"/>
        <v>-7.4744829527814477E-3</v>
      </c>
    </row>
    <row r="1840" spans="2:8">
      <c r="B1840" s="36">
        <v>43056</v>
      </c>
      <c r="C1840" s="185">
        <v>1175.5</v>
      </c>
      <c r="D1840" s="185">
        <f t="shared" si="59"/>
        <v>0.46864067966016998</v>
      </c>
      <c r="E1840" s="185">
        <v>-4.5306347122834479E-3</v>
      </c>
      <c r="F1840" s="171"/>
      <c r="G1840" s="171">
        <v>1837</v>
      </c>
      <c r="H1840" s="186">
        <f t="shared" ca="1" si="60"/>
        <v>-6.5694495627614043E-4</v>
      </c>
    </row>
    <row r="1841" spans="2:8">
      <c r="B1841" s="36">
        <v>42194</v>
      </c>
      <c r="C1841" s="185">
        <v>800.4</v>
      </c>
      <c r="D1841" s="185">
        <f t="shared" si="59"/>
        <v>-0.3292269013199246</v>
      </c>
      <c r="E1841" s="185">
        <v>-4.5395186866488118E-3</v>
      </c>
      <c r="F1841" s="171"/>
      <c r="G1841" s="171">
        <v>1838</v>
      </c>
      <c r="H1841" s="186">
        <f t="shared" ca="1" si="60"/>
        <v>1.0500914694951635E-2</v>
      </c>
    </row>
    <row r="1842" spans="2:8">
      <c r="B1842" s="36">
        <v>42647</v>
      </c>
      <c r="C1842" s="185">
        <v>1193.25</v>
      </c>
      <c r="D1842" s="185">
        <f t="shared" si="59"/>
        <v>1.9741058838610354E-2</v>
      </c>
      <c r="E1842" s="185">
        <v>-4.5465921414866483E-3</v>
      </c>
      <c r="F1842" s="171"/>
      <c r="G1842" s="171">
        <v>1839</v>
      </c>
      <c r="H1842" s="186">
        <f t="shared" ca="1" si="60"/>
        <v>1.7142112488094587E-2</v>
      </c>
    </row>
    <row r="1843" spans="2:8">
      <c r="B1843" s="36">
        <v>43059</v>
      </c>
      <c r="C1843" s="185">
        <v>1170.1500000000001</v>
      </c>
      <c r="D1843" s="185">
        <f t="shared" si="59"/>
        <v>-0.11311959981809913</v>
      </c>
      <c r="E1843" s="185">
        <v>-4.5512547851977109E-3</v>
      </c>
      <c r="F1843" s="171"/>
      <c r="G1843" s="171">
        <v>1840</v>
      </c>
      <c r="H1843" s="186">
        <f t="shared" ca="1" si="60"/>
        <v>-1.6719141791578157E-2</v>
      </c>
    </row>
    <row r="1844" spans="2:8">
      <c r="B1844" s="36">
        <v>43419</v>
      </c>
      <c r="C1844" s="185">
        <v>1319.4</v>
      </c>
      <c r="D1844" s="185">
        <f t="shared" si="59"/>
        <v>-0.5595466608803058</v>
      </c>
      <c r="E1844" s="185">
        <v>-4.5644875325360854E-3</v>
      </c>
      <c r="F1844" s="171"/>
      <c r="G1844" s="171">
        <v>1841</v>
      </c>
      <c r="H1844" s="186">
        <f t="shared" ca="1" si="60"/>
        <v>-1.0867646052492006E-3</v>
      </c>
    </row>
    <row r="1845" spans="2:8">
      <c r="B1845" s="36">
        <v>45588</v>
      </c>
      <c r="C1845" s="185">
        <v>2995.55</v>
      </c>
      <c r="D1845" s="185">
        <f t="shared" si="59"/>
        <v>0.90441527066976068</v>
      </c>
      <c r="E1845" s="185">
        <v>-4.5691689097132225E-3</v>
      </c>
      <c r="F1845" s="171"/>
      <c r="G1845" s="171">
        <v>1842</v>
      </c>
      <c r="H1845" s="186">
        <f t="shared" ca="1" si="60"/>
        <v>-3.4391959471058345E-2</v>
      </c>
    </row>
    <row r="1846" spans="2:8">
      <c r="B1846" s="36">
        <v>43962</v>
      </c>
      <c r="C1846" s="185">
        <v>1572.95</v>
      </c>
      <c r="D1846" s="185">
        <f t="shared" si="59"/>
        <v>-0.50194731175986318</v>
      </c>
      <c r="E1846" s="185">
        <v>-4.588026832046576E-3</v>
      </c>
      <c r="F1846" s="171"/>
      <c r="G1846" s="171">
        <v>1843</v>
      </c>
      <c r="H1846" s="186">
        <f t="shared" ca="1" si="60"/>
        <v>-5.1335548082639595E-3</v>
      </c>
    </row>
    <row r="1847" spans="2:8">
      <c r="B1847" s="36">
        <v>45212</v>
      </c>
      <c r="C1847" s="185">
        <v>3158.2</v>
      </c>
      <c r="D1847" s="185">
        <f t="shared" si="59"/>
        <v>0.28048978267920843</v>
      </c>
      <c r="E1847" s="185">
        <v>-4.601613716591138E-3</v>
      </c>
      <c r="F1847" s="171"/>
      <c r="G1847" s="171">
        <v>1844</v>
      </c>
      <c r="H1847" s="186">
        <f t="shared" ca="1" si="60"/>
        <v>-3.2307273238997027E-3</v>
      </c>
    </row>
    <row r="1848" spans="2:8">
      <c r="B1848" s="36">
        <v>45609</v>
      </c>
      <c r="C1848" s="185">
        <v>2466.4</v>
      </c>
      <c r="D1848" s="185">
        <f t="shared" si="59"/>
        <v>1.1827514491791673</v>
      </c>
      <c r="E1848" s="185">
        <v>-4.6209415420626022E-3</v>
      </c>
      <c r="F1848" s="171"/>
      <c r="G1848" s="171">
        <v>1845</v>
      </c>
      <c r="H1848" s="186">
        <f t="shared" ca="1" si="60"/>
        <v>-3.4471770454677945E-3</v>
      </c>
    </row>
    <row r="1849" spans="2:8">
      <c r="B1849" s="36">
        <v>42969</v>
      </c>
      <c r="C1849" s="185">
        <v>1129.95</v>
      </c>
      <c r="D1849" s="185">
        <f t="shared" si="59"/>
        <v>-0.61515275365280475</v>
      </c>
      <c r="E1849" s="185">
        <v>-4.6247357293868916E-3</v>
      </c>
      <c r="F1849" s="171"/>
      <c r="G1849" s="171">
        <v>1846</v>
      </c>
      <c r="H1849" s="186">
        <f t="shared" ca="1" si="60"/>
        <v>-2.2154137212587226E-2</v>
      </c>
    </row>
    <row r="1850" spans="2:8">
      <c r="B1850" s="36">
        <v>45491</v>
      </c>
      <c r="C1850" s="185">
        <v>2936.1</v>
      </c>
      <c r="D1850" s="185">
        <f t="shared" si="59"/>
        <v>0.39631435025561762</v>
      </c>
      <c r="E1850" s="185">
        <v>-4.6443826700116181E-3</v>
      </c>
      <c r="F1850" s="171"/>
      <c r="G1850" s="171">
        <v>1847</v>
      </c>
      <c r="H1850" s="186">
        <f t="shared" ca="1" si="60"/>
        <v>5.7733829450785457E-4</v>
      </c>
    </row>
    <row r="1851" spans="2:8">
      <c r="B1851" s="36">
        <v>44126</v>
      </c>
      <c r="C1851" s="185">
        <v>2102.75</v>
      </c>
      <c r="D1851" s="185">
        <f t="shared" si="59"/>
        <v>0.15812518932613659</v>
      </c>
      <c r="E1851" s="185">
        <v>-4.6860577947128446E-3</v>
      </c>
      <c r="F1851" s="171"/>
      <c r="G1851" s="171">
        <v>1848</v>
      </c>
      <c r="H1851" s="186">
        <f t="shared" ca="1" si="60"/>
        <v>-7.5475039448863286E-3</v>
      </c>
    </row>
    <row r="1852" spans="2:8">
      <c r="B1852" s="36">
        <v>43829</v>
      </c>
      <c r="C1852" s="185">
        <v>1815.65</v>
      </c>
      <c r="D1852" s="185">
        <f t="shared" si="59"/>
        <v>-0.3889991923542872</v>
      </c>
      <c r="E1852" s="185">
        <v>-4.6869860760881234E-3</v>
      </c>
      <c r="F1852" s="171"/>
      <c r="G1852" s="171">
        <v>1849</v>
      </c>
      <c r="H1852" s="186">
        <f t="shared" ca="1" si="60"/>
        <v>-1.7358504969802397E-3</v>
      </c>
    </row>
    <row r="1853" spans="2:8">
      <c r="B1853" s="36">
        <v>44424</v>
      </c>
      <c r="C1853" s="185">
        <v>2971.6</v>
      </c>
      <c r="D1853" s="185">
        <f t="shared" si="59"/>
        <v>0.17780420134760203</v>
      </c>
      <c r="E1853" s="185">
        <v>-4.6891747052518759E-3</v>
      </c>
      <c r="F1853" s="171"/>
      <c r="G1853" s="171">
        <v>1850</v>
      </c>
      <c r="H1853" s="186">
        <f t="shared" ca="1" si="60"/>
        <v>1.4557724152448367E-2</v>
      </c>
    </row>
    <row r="1854" spans="2:8">
      <c r="B1854" s="36">
        <v>45961</v>
      </c>
      <c r="C1854" s="185">
        <v>2523</v>
      </c>
      <c r="D1854" s="185">
        <f t="shared" si="59"/>
        <v>-5.9493321776131394E-3</v>
      </c>
      <c r="E1854" s="185">
        <v>-4.6944652649020041E-3</v>
      </c>
      <c r="F1854" s="171"/>
      <c r="G1854" s="171">
        <v>1851</v>
      </c>
      <c r="H1854" s="186">
        <f t="shared" ca="1" si="60"/>
        <v>-1.0858946590605492E-3</v>
      </c>
    </row>
    <row r="1855" spans="2:8">
      <c r="B1855" s="36">
        <v>44180</v>
      </c>
      <c r="C1855" s="185">
        <v>2538.1</v>
      </c>
      <c r="D1855" s="185">
        <f t="shared" si="59"/>
        <v>7.2829486854340902E-2</v>
      </c>
      <c r="E1855" s="185">
        <v>-4.7056978157719309E-3</v>
      </c>
      <c r="F1855" s="171"/>
      <c r="G1855" s="171">
        <v>1852</v>
      </c>
      <c r="H1855" s="186">
        <f t="shared" ca="1" si="60"/>
        <v>1.9249248842559796E-2</v>
      </c>
    </row>
    <row r="1856" spans="2:8">
      <c r="B1856" s="36">
        <v>45860</v>
      </c>
      <c r="C1856" s="185">
        <v>2365.8000000000002</v>
      </c>
      <c r="D1856" s="185">
        <f t="shared" si="59"/>
        <v>-0.17825633900659946</v>
      </c>
      <c r="E1856" s="185">
        <v>-4.7118216238955903E-3</v>
      </c>
      <c r="F1856" s="171"/>
      <c r="G1856" s="171">
        <v>1853</v>
      </c>
      <c r="H1856" s="186">
        <f t="shared" ca="1" si="60"/>
        <v>9.3233010647206117E-3</v>
      </c>
    </row>
    <row r="1857" spans="2:8">
      <c r="B1857" s="36">
        <v>45426</v>
      </c>
      <c r="C1857" s="185">
        <v>2879</v>
      </c>
      <c r="D1857" s="185">
        <f t="shared" si="59"/>
        <v>1.4875793839374436</v>
      </c>
      <c r="E1857" s="185">
        <v>-4.7188564119406392E-3</v>
      </c>
      <c r="F1857" s="171"/>
      <c r="G1857" s="171">
        <v>1854</v>
      </c>
      <c r="H1857" s="186">
        <f t="shared" ca="1" si="60"/>
        <v>-1.3035339857519205E-2</v>
      </c>
    </row>
    <row r="1858" spans="2:8">
      <c r="B1858" s="36">
        <v>42909</v>
      </c>
      <c r="C1858" s="185">
        <v>1157.3499999999999</v>
      </c>
      <c r="D1858" s="185">
        <f t="shared" si="59"/>
        <v>-0.23566900013208303</v>
      </c>
      <c r="E1858" s="185">
        <v>-4.729758782302103E-3</v>
      </c>
      <c r="F1858" s="171"/>
      <c r="G1858" s="171">
        <v>1855</v>
      </c>
      <c r="H1858" s="186">
        <f t="shared" ca="1" si="60"/>
        <v>-2.151362234216567E-2</v>
      </c>
    </row>
    <row r="1859" spans="2:8">
      <c r="B1859" s="36">
        <v>43676</v>
      </c>
      <c r="C1859" s="185">
        <v>1514.2</v>
      </c>
      <c r="D1859" s="185">
        <f t="shared" si="59"/>
        <v>0.67890009978933374</v>
      </c>
      <c r="E1859" s="185">
        <v>-4.7324832391218907E-3</v>
      </c>
      <c r="F1859" s="171"/>
      <c r="G1859" s="171">
        <v>1856</v>
      </c>
      <c r="H1859" s="186">
        <f t="shared" ca="1" si="60"/>
        <v>1.6601531506994376E-2</v>
      </c>
    </row>
    <row r="1860" spans="2:8">
      <c r="B1860" s="36">
        <v>42720</v>
      </c>
      <c r="C1860" s="185">
        <v>901.9</v>
      </c>
      <c r="D1860" s="185">
        <f t="shared" ref="D1860:D1923" si="61">(C1860-C1861)/C1861</f>
        <v>-0.50158879279378854</v>
      </c>
      <c r="E1860" s="185">
        <v>-4.7450893842419638E-3</v>
      </c>
      <c r="F1860" s="171"/>
      <c r="G1860" s="171">
        <v>1857</v>
      </c>
      <c r="H1860" s="186">
        <f t="shared" ca="1" si="60"/>
        <v>7.434394485654707E-3</v>
      </c>
    </row>
    <row r="1861" spans="2:8">
      <c r="B1861" s="36">
        <v>43769</v>
      </c>
      <c r="C1861" s="185">
        <v>1809.55</v>
      </c>
      <c r="D1861" s="185">
        <f t="shared" si="61"/>
        <v>0.34935311882480147</v>
      </c>
      <c r="E1861" s="185">
        <v>-4.7848205692286793E-3</v>
      </c>
      <c r="F1861" s="171"/>
      <c r="G1861" s="171">
        <v>1858</v>
      </c>
      <c r="H1861" s="186">
        <f t="shared" ref="H1861:H1924" ca="1" si="62">_xlfn.NORM.INV(RAND(),N$6,N$7)</f>
        <v>-1.2359036273634263E-2</v>
      </c>
    </row>
    <row r="1862" spans="2:8">
      <c r="B1862" s="36">
        <v>43431</v>
      </c>
      <c r="C1862" s="185">
        <v>1341.05</v>
      </c>
      <c r="D1862" s="185">
        <f t="shared" si="61"/>
        <v>-0.57544242884731056</v>
      </c>
      <c r="E1862" s="185">
        <v>-4.7866419294991065E-3</v>
      </c>
      <c r="F1862" s="171"/>
      <c r="G1862" s="171">
        <v>1859</v>
      </c>
      <c r="H1862" s="186">
        <f t="shared" ca="1" si="62"/>
        <v>3.5967686435828511E-2</v>
      </c>
    </row>
    <row r="1863" spans="2:8">
      <c r="B1863" s="36">
        <v>44504</v>
      </c>
      <c r="C1863" s="185">
        <v>3158.7</v>
      </c>
      <c r="D1863" s="185">
        <f t="shared" si="61"/>
        <v>2.2720774848500542</v>
      </c>
      <c r="E1863" s="185">
        <v>-4.7890607769621833E-3</v>
      </c>
      <c r="F1863" s="171"/>
      <c r="G1863" s="171">
        <v>1860</v>
      </c>
      <c r="H1863" s="186">
        <f t="shared" ca="1" si="62"/>
        <v>-1.4005469079613654E-2</v>
      </c>
    </row>
    <row r="1864" spans="2:8">
      <c r="B1864" s="36">
        <v>42508</v>
      </c>
      <c r="C1864" s="185">
        <v>965.35</v>
      </c>
      <c r="D1864" s="185">
        <f t="shared" si="61"/>
        <v>0.12282640302413494</v>
      </c>
      <c r="E1864" s="185">
        <v>-4.7938144329896671E-3</v>
      </c>
      <c r="F1864" s="171"/>
      <c r="G1864" s="171">
        <v>1861</v>
      </c>
      <c r="H1864" s="186">
        <f t="shared" ca="1" si="62"/>
        <v>-2.8128189895744012E-2</v>
      </c>
    </row>
    <row r="1865" spans="2:8">
      <c r="B1865" s="36">
        <v>42349</v>
      </c>
      <c r="C1865" s="185">
        <v>859.75</v>
      </c>
      <c r="D1865" s="185">
        <f t="shared" si="61"/>
        <v>-0.69611013908771191</v>
      </c>
      <c r="E1865" s="185">
        <v>-4.8037967357332763E-3</v>
      </c>
      <c r="F1865" s="171"/>
      <c r="G1865" s="171">
        <v>1862</v>
      </c>
      <c r="H1865" s="186">
        <f t="shared" ca="1" si="62"/>
        <v>-4.2765501998191166E-2</v>
      </c>
    </row>
    <row r="1866" spans="2:8">
      <c r="B1866" s="36">
        <v>45356</v>
      </c>
      <c r="C1866" s="185">
        <v>2829.15</v>
      </c>
      <c r="D1866" s="185">
        <f t="shared" si="61"/>
        <v>0.24374642810040897</v>
      </c>
      <c r="E1866" s="185">
        <v>-4.8366105033592456E-3</v>
      </c>
      <c r="F1866" s="171"/>
      <c r="G1866" s="171">
        <v>1863</v>
      </c>
      <c r="H1866" s="186">
        <f t="shared" ca="1" si="62"/>
        <v>-5.813458312855185E-3</v>
      </c>
    </row>
    <row r="1867" spans="2:8">
      <c r="B1867" s="36">
        <v>45694</v>
      </c>
      <c r="C1867" s="185">
        <v>2274.6999999999998</v>
      </c>
      <c r="D1867" s="185">
        <f t="shared" si="61"/>
        <v>0.91465005681579048</v>
      </c>
      <c r="E1867" s="185">
        <v>-4.8560678974540038E-3</v>
      </c>
      <c r="F1867" s="171"/>
      <c r="G1867" s="171">
        <v>1864</v>
      </c>
      <c r="H1867" s="186">
        <f t="shared" ca="1" si="62"/>
        <v>7.3104714222849022E-3</v>
      </c>
    </row>
    <row r="1868" spans="2:8">
      <c r="B1868" s="36">
        <v>43118</v>
      </c>
      <c r="C1868" s="185">
        <v>1188.05</v>
      </c>
      <c r="D1868" s="185">
        <f t="shared" si="61"/>
        <v>-0.64832383630577961</v>
      </c>
      <c r="E1868" s="185">
        <v>-4.8582317711604933E-3</v>
      </c>
      <c r="F1868" s="171"/>
      <c r="G1868" s="171">
        <v>1865</v>
      </c>
      <c r="H1868" s="186">
        <f t="shared" ca="1" si="62"/>
        <v>-2.7888305253893287E-2</v>
      </c>
    </row>
    <row r="1869" spans="2:8">
      <c r="B1869" s="36">
        <v>44579</v>
      </c>
      <c r="C1869" s="185">
        <v>3378.25</v>
      </c>
      <c r="D1869" s="185">
        <f t="shared" si="61"/>
        <v>2.0659799428234336</v>
      </c>
      <c r="E1869" s="185">
        <v>-4.8751030988571286E-3</v>
      </c>
      <c r="F1869" s="171"/>
      <c r="G1869" s="171">
        <v>1866</v>
      </c>
      <c r="H1869" s="186">
        <f t="shared" ca="1" si="62"/>
        <v>-1.9608156490012858E-2</v>
      </c>
    </row>
    <row r="1870" spans="2:8">
      <c r="B1870" s="36">
        <v>43165</v>
      </c>
      <c r="C1870" s="185">
        <v>1101.8499999999999</v>
      </c>
      <c r="D1870" s="185">
        <f t="shared" si="61"/>
        <v>-0.60229200505323954</v>
      </c>
      <c r="E1870" s="185">
        <v>-4.8769473921879353E-3</v>
      </c>
      <c r="F1870" s="171"/>
      <c r="G1870" s="171">
        <v>1867</v>
      </c>
      <c r="H1870" s="186">
        <f t="shared" ca="1" si="62"/>
        <v>1.893857091618607E-2</v>
      </c>
    </row>
    <row r="1871" spans="2:8">
      <c r="B1871" s="36">
        <v>45014</v>
      </c>
      <c r="C1871" s="185">
        <v>2770.5</v>
      </c>
      <c r="D1871" s="185">
        <f t="shared" si="61"/>
        <v>1.1132723112128147</v>
      </c>
      <c r="E1871" s="185">
        <v>-4.9206235184253355E-3</v>
      </c>
      <c r="F1871" s="171"/>
      <c r="G1871" s="171">
        <v>1868</v>
      </c>
      <c r="H1871" s="186">
        <f t="shared" ca="1" si="62"/>
        <v>-2.7247319974948456E-3</v>
      </c>
    </row>
    <row r="1872" spans="2:8">
      <c r="B1872" s="36">
        <v>43424</v>
      </c>
      <c r="C1872" s="185">
        <v>1311</v>
      </c>
      <c r="D1872" s="185">
        <f t="shared" si="61"/>
        <v>0.12195121951219512</v>
      </c>
      <c r="E1872" s="185">
        <v>-4.9335863377609106E-3</v>
      </c>
      <c r="F1872" s="171"/>
      <c r="G1872" s="171">
        <v>1869</v>
      </c>
      <c r="H1872" s="186">
        <f t="shared" ca="1" si="62"/>
        <v>4.1535553430631922E-3</v>
      </c>
    </row>
    <row r="1873" spans="2:8">
      <c r="B1873" s="36">
        <v>43209</v>
      </c>
      <c r="C1873" s="185">
        <v>1168.5</v>
      </c>
      <c r="D1873" s="185">
        <f t="shared" si="61"/>
        <v>-0.65228388632643952</v>
      </c>
      <c r="E1873" s="185">
        <v>-4.9391126628629441E-3</v>
      </c>
      <c r="F1873" s="171"/>
      <c r="G1873" s="171">
        <v>1870</v>
      </c>
      <c r="H1873" s="186">
        <f t="shared" ca="1" si="62"/>
        <v>3.1551677914967054E-2</v>
      </c>
    </row>
    <row r="1874" spans="2:8">
      <c r="B1874" s="36">
        <v>45548</v>
      </c>
      <c r="C1874" s="185">
        <v>3360.5</v>
      </c>
      <c r="D1874" s="185">
        <f t="shared" si="61"/>
        <v>1.6371341128462684</v>
      </c>
      <c r="E1874" s="185">
        <v>-4.9449247897666174E-3</v>
      </c>
      <c r="F1874" s="171"/>
      <c r="G1874" s="171">
        <v>1871</v>
      </c>
      <c r="H1874" s="186">
        <f t="shared" ca="1" si="62"/>
        <v>5.5605819493511266E-3</v>
      </c>
    </row>
    <row r="1875" spans="2:8">
      <c r="B1875" s="36">
        <v>43256</v>
      </c>
      <c r="C1875" s="185">
        <v>1274.3</v>
      </c>
      <c r="D1875" s="185">
        <f t="shared" si="61"/>
        <v>-0.49601534536969288</v>
      </c>
      <c r="E1875" s="185">
        <v>-4.9584195525710665E-3</v>
      </c>
      <c r="F1875" s="171"/>
      <c r="G1875" s="171">
        <v>1872</v>
      </c>
      <c r="H1875" s="186">
        <f t="shared" ca="1" si="62"/>
        <v>9.9586106331074984E-3</v>
      </c>
    </row>
    <row r="1876" spans="2:8">
      <c r="B1876" s="36">
        <v>44176</v>
      </c>
      <c r="C1876" s="185">
        <v>2528.4499999999998</v>
      </c>
      <c r="D1876" s="185">
        <f t="shared" si="61"/>
        <v>1.1741691388279802</v>
      </c>
      <c r="E1876" s="185">
        <v>-4.9585801145197311E-3</v>
      </c>
      <c r="F1876" s="171"/>
      <c r="G1876" s="171">
        <v>1873</v>
      </c>
      <c r="H1876" s="186">
        <f t="shared" ca="1" si="62"/>
        <v>6.9682349345629099E-3</v>
      </c>
    </row>
    <row r="1877" spans="2:8">
      <c r="B1877" s="36">
        <v>43215</v>
      </c>
      <c r="C1877" s="185">
        <v>1162.95</v>
      </c>
      <c r="D1877" s="185">
        <f t="shared" si="61"/>
        <v>1.156873831166003E-2</v>
      </c>
      <c r="E1877" s="185">
        <v>-4.9625668449197469E-3</v>
      </c>
      <c r="F1877" s="171"/>
      <c r="G1877" s="171">
        <v>1874</v>
      </c>
      <c r="H1877" s="186">
        <f t="shared" ca="1" si="62"/>
        <v>-9.9665473807992871E-3</v>
      </c>
    </row>
    <row r="1878" spans="2:8">
      <c r="B1878" s="36">
        <v>42949</v>
      </c>
      <c r="C1878" s="185">
        <v>1149.6500000000001</v>
      </c>
      <c r="D1878" s="185">
        <f t="shared" si="61"/>
        <v>-0.62155178089406804</v>
      </c>
      <c r="E1878" s="185">
        <v>-4.9766314696209103E-3</v>
      </c>
      <c r="F1878" s="171"/>
      <c r="G1878" s="171">
        <v>1875</v>
      </c>
      <c r="H1878" s="186">
        <f t="shared" ca="1" si="62"/>
        <v>-7.866135384462165E-3</v>
      </c>
    </row>
    <row r="1879" spans="2:8">
      <c r="B1879" s="36">
        <v>44693</v>
      </c>
      <c r="C1879" s="185">
        <v>3037.8</v>
      </c>
      <c r="D1879" s="185">
        <f t="shared" si="61"/>
        <v>1.6691854845795628</v>
      </c>
      <c r="E1879" s="185">
        <v>-4.9787094660988596E-3</v>
      </c>
      <c r="F1879" s="171"/>
      <c r="G1879" s="171">
        <v>1876</v>
      </c>
      <c r="H1879" s="186">
        <f t="shared" ca="1" si="62"/>
        <v>-6.2649942842325232E-3</v>
      </c>
    </row>
    <row r="1880" spans="2:8">
      <c r="B1880" s="36">
        <v>43145</v>
      </c>
      <c r="C1880" s="185">
        <v>1138.0999999999999</v>
      </c>
      <c r="D1880" s="185">
        <f t="shared" si="61"/>
        <v>-0.48970990449715296</v>
      </c>
      <c r="E1880" s="185">
        <v>-4.9833887043189765E-3</v>
      </c>
      <c r="F1880" s="171"/>
      <c r="G1880" s="171">
        <v>1877</v>
      </c>
      <c r="H1880" s="186">
        <f t="shared" ca="1" si="62"/>
        <v>4.4917187759343453E-2</v>
      </c>
    </row>
    <row r="1881" spans="2:8">
      <c r="B1881" s="36">
        <v>45813</v>
      </c>
      <c r="C1881" s="185">
        <v>2230.3000000000002</v>
      </c>
      <c r="D1881" s="185">
        <f t="shared" si="61"/>
        <v>-0.37022970817038209</v>
      </c>
      <c r="E1881" s="185">
        <v>-4.9966540263215783E-3</v>
      </c>
      <c r="F1881" s="171"/>
      <c r="G1881" s="171">
        <v>1878</v>
      </c>
      <c r="H1881" s="186">
        <f t="shared" ca="1" si="62"/>
        <v>-9.031409869840858E-3</v>
      </c>
    </row>
    <row r="1882" spans="2:8">
      <c r="B1882" s="36">
        <v>44572</v>
      </c>
      <c r="C1882" s="185">
        <v>3541.45</v>
      </c>
      <c r="D1882" s="185">
        <f t="shared" si="61"/>
        <v>0.59982382038714321</v>
      </c>
      <c r="E1882" s="185">
        <v>-5.0290081054125309E-3</v>
      </c>
      <c r="F1882" s="171"/>
      <c r="G1882" s="171">
        <v>1879</v>
      </c>
      <c r="H1882" s="186">
        <f t="shared" ca="1" si="62"/>
        <v>-3.5314300122944474E-2</v>
      </c>
    </row>
    <row r="1883" spans="2:8">
      <c r="B1883" s="36">
        <v>45715</v>
      </c>
      <c r="C1883" s="185">
        <v>2213.65</v>
      </c>
      <c r="D1883" s="185">
        <f t="shared" si="61"/>
        <v>-0.20040094637793704</v>
      </c>
      <c r="E1883" s="185">
        <v>-5.0340472391396359E-3</v>
      </c>
      <c r="F1883" s="171"/>
      <c r="G1883" s="171">
        <v>1880</v>
      </c>
      <c r="H1883" s="186">
        <f t="shared" ca="1" si="62"/>
        <v>-2.5412813331769469E-2</v>
      </c>
    </row>
    <row r="1884" spans="2:8">
      <c r="B1884" s="36">
        <v>44200</v>
      </c>
      <c r="C1884" s="185">
        <v>2768.45</v>
      </c>
      <c r="D1884" s="185">
        <f t="shared" si="61"/>
        <v>-1.0419645410351763E-2</v>
      </c>
      <c r="E1884" s="185">
        <v>-5.0494159928122844E-3</v>
      </c>
      <c r="F1884" s="171"/>
      <c r="G1884" s="171">
        <v>1881</v>
      </c>
      <c r="H1884" s="186">
        <f t="shared" ca="1" si="62"/>
        <v>4.6611008933567866E-3</v>
      </c>
    </row>
    <row r="1885" spans="2:8">
      <c r="B1885" s="36">
        <v>46030</v>
      </c>
      <c r="C1885" s="185">
        <v>2797.6</v>
      </c>
      <c r="D1885" s="185">
        <f t="shared" si="61"/>
        <v>1.2058742361521781</v>
      </c>
      <c r="E1885" s="185">
        <v>-5.050145814069376E-3</v>
      </c>
      <c r="F1885" s="171"/>
      <c r="G1885" s="171">
        <v>1882</v>
      </c>
      <c r="H1885" s="186">
        <f t="shared" ca="1" si="62"/>
        <v>1.697821646385473E-2</v>
      </c>
    </row>
    <row r="1886" spans="2:8">
      <c r="B1886" s="36">
        <v>43278</v>
      </c>
      <c r="C1886" s="185">
        <v>1268.25</v>
      </c>
      <c r="D1886" s="185">
        <f t="shared" si="61"/>
        <v>0.10696517412935319</v>
      </c>
      <c r="E1886" s="185">
        <v>-5.0600141209696751E-3</v>
      </c>
      <c r="F1886" s="171"/>
      <c r="G1886" s="171">
        <v>1883</v>
      </c>
      <c r="H1886" s="186">
        <f t="shared" ca="1" si="62"/>
        <v>3.1060317277108269E-3</v>
      </c>
    </row>
    <row r="1887" spans="2:8">
      <c r="B1887" s="36">
        <v>43102</v>
      </c>
      <c r="C1887" s="185">
        <v>1145.7</v>
      </c>
      <c r="D1887" s="185">
        <f t="shared" si="61"/>
        <v>-0.60198019801980196</v>
      </c>
      <c r="E1887" s="185">
        <v>-5.0801094177412263E-3</v>
      </c>
      <c r="F1887" s="171"/>
      <c r="G1887" s="171">
        <v>1884</v>
      </c>
      <c r="H1887" s="186">
        <f t="shared" ca="1" si="62"/>
        <v>-8.4936881536883304E-3</v>
      </c>
    </row>
    <row r="1888" spans="2:8">
      <c r="B1888" s="36">
        <v>45992</v>
      </c>
      <c r="C1888" s="185">
        <v>2878.5</v>
      </c>
      <c r="D1888" s="185">
        <f t="shared" si="61"/>
        <v>1.6504304590028085</v>
      </c>
      <c r="E1888" s="185">
        <v>-5.0808793031936333E-3</v>
      </c>
      <c r="F1888" s="171"/>
      <c r="G1888" s="171">
        <v>1885</v>
      </c>
      <c r="H1888" s="186">
        <f t="shared" ca="1" si="62"/>
        <v>1.0798751028724001E-2</v>
      </c>
    </row>
    <row r="1889" spans="2:8">
      <c r="B1889" s="36">
        <v>42830</v>
      </c>
      <c r="C1889" s="185">
        <v>1086.05</v>
      </c>
      <c r="D1889" s="185">
        <f t="shared" si="61"/>
        <v>-4.2115011465866999E-2</v>
      </c>
      <c r="E1889" s="185">
        <v>-5.0842799560278078E-3</v>
      </c>
      <c r="F1889" s="171"/>
      <c r="G1889" s="171">
        <v>1886</v>
      </c>
      <c r="H1889" s="186">
        <f t="shared" ca="1" si="62"/>
        <v>3.7224360743860056E-3</v>
      </c>
    </row>
    <row r="1890" spans="2:8">
      <c r="B1890" s="36">
        <v>42598</v>
      </c>
      <c r="C1890" s="185">
        <v>1133.8</v>
      </c>
      <c r="D1890" s="185">
        <f t="shared" si="61"/>
        <v>-0.21063807567793363</v>
      </c>
      <c r="E1890" s="185">
        <v>-5.0895050895050503E-3</v>
      </c>
      <c r="F1890" s="171"/>
      <c r="G1890" s="171">
        <v>1887</v>
      </c>
      <c r="H1890" s="186">
        <f t="shared" ca="1" si="62"/>
        <v>-1.0049965435385578E-2</v>
      </c>
    </row>
    <row r="1891" spans="2:8">
      <c r="B1891" s="36">
        <v>43570</v>
      </c>
      <c r="C1891" s="185">
        <v>1436.35</v>
      </c>
      <c r="D1891" s="185">
        <f t="shared" si="61"/>
        <v>-1.2104955466144046E-2</v>
      </c>
      <c r="E1891" s="185">
        <v>-5.0910854055552651E-3</v>
      </c>
      <c r="F1891" s="171"/>
      <c r="G1891" s="171">
        <v>1888</v>
      </c>
      <c r="H1891" s="186">
        <f t="shared" ca="1" si="62"/>
        <v>-1.8295410229886417E-2</v>
      </c>
    </row>
    <row r="1892" spans="2:8">
      <c r="B1892" s="36">
        <v>43500</v>
      </c>
      <c r="C1892" s="185">
        <v>1453.95</v>
      </c>
      <c r="D1892" s="185">
        <f t="shared" si="61"/>
        <v>-0.35043670560904233</v>
      </c>
      <c r="E1892" s="185">
        <v>-5.0978513753934893E-3</v>
      </c>
      <c r="F1892" s="171"/>
      <c r="G1892" s="171">
        <v>1889</v>
      </c>
      <c r="H1892" s="186">
        <f t="shared" ca="1" si="62"/>
        <v>1.4646883030198139E-2</v>
      </c>
    </row>
    <row r="1893" spans="2:8">
      <c r="B1893" s="36">
        <v>45672</v>
      </c>
      <c r="C1893" s="185">
        <v>2238.35</v>
      </c>
      <c r="D1893" s="185">
        <f t="shared" si="61"/>
        <v>-0.23716452245037065</v>
      </c>
      <c r="E1893" s="185">
        <v>-5.1114518745694155E-3</v>
      </c>
      <c r="F1893" s="171"/>
      <c r="G1893" s="171">
        <v>1890</v>
      </c>
      <c r="H1893" s="186">
        <f t="shared" ca="1" si="62"/>
        <v>4.5186887037849239E-4</v>
      </c>
    </row>
    <row r="1894" spans="2:8">
      <c r="B1894" s="36">
        <v>44344</v>
      </c>
      <c r="C1894" s="185">
        <v>2934.25</v>
      </c>
      <c r="D1894" s="185">
        <f t="shared" si="61"/>
        <v>3.218714273150998E-2</v>
      </c>
      <c r="E1894" s="185">
        <v>-5.1197721531862648E-3</v>
      </c>
      <c r="F1894" s="171"/>
      <c r="G1894" s="171">
        <v>1891</v>
      </c>
      <c r="H1894" s="186">
        <f t="shared" ca="1" si="62"/>
        <v>9.9813787100496466E-3</v>
      </c>
    </row>
    <row r="1895" spans="2:8">
      <c r="B1895" s="36">
        <v>45397</v>
      </c>
      <c r="C1895" s="185">
        <v>2842.75</v>
      </c>
      <c r="D1895" s="185">
        <f t="shared" si="61"/>
        <v>2.330697129466901</v>
      </c>
      <c r="E1895" s="185">
        <v>-5.1270385665290437E-3</v>
      </c>
      <c r="F1895" s="171"/>
      <c r="G1895" s="171">
        <v>1892</v>
      </c>
      <c r="H1895" s="186">
        <f t="shared" ca="1" si="62"/>
        <v>-3.1723038366529906E-2</v>
      </c>
    </row>
    <row r="1896" spans="2:8">
      <c r="B1896" s="36">
        <v>42283</v>
      </c>
      <c r="C1896" s="185">
        <v>853.5</v>
      </c>
      <c r="D1896" s="185">
        <f t="shared" si="61"/>
        <v>-0.39027003857693954</v>
      </c>
      <c r="E1896" s="185">
        <v>-5.128802890779785E-3</v>
      </c>
      <c r="F1896" s="171"/>
      <c r="G1896" s="171">
        <v>1893</v>
      </c>
      <c r="H1896" s="186">
        <f t="shared" ca="1" si="62"/>
        <v>-1.4169263958878285E-2</v>
      </c>
    </row>
    <row r="1897" spans="2:8">
      <c r="B1897" s="36">
        <v>43335</v>
      </c>
      <c r="C1897" s="185">
        <v>1399.8</v>
      </c>
      <c r="D1897" s="185">
        <f t="shared" si="61"/>
        <v>0.6503183211506719</v>
      </c>
      <c r="E1897" s="185">
        <v>-5.1526242848512847E-3</v>
      </c>
      <c r="F1897" s="171"/>
      <c r="G1897" s="171">
        <v>1894</v>
      </c>
      <c r="H1897" s="186">
        <f t="shared" ca="1" si="62"/>
        <v>-2.3853570595656036E-3</v>
      </c>
    </row>
    <row r="1898" spans="2:8">
      <c r="B1898" s="36">
        <v>42457</v>
      </c>
      <c r="C1898" s="185">
        <v>848.2</v>
      </c>
      <c r="D1898" s="185">
        <f t="shared" si="61"/>
        <v>-0.71595057097886861</v>
      </c>
      <c r="E1898" s="185">
        <v>-5.1606849636406018E-3</v>
      </c>
      <c r="F1898" s="171"/>
      <c r="G1898" s="171">
        <v>1895</v>
      </c>
      <c r="H1898" s="186">
        <f t="shared" ca="1" si="62"/>
        <v>-1.0422546760098326E-2</v>
      </c>
    </row>
    <row r="1899" spans="2:8">
      <c r="B1899" s="36">
        <v>44491</v>
      </c>
      <c r="C1899" s="185">
        <v>2986.1</v>
      </c>
      <c r="D1899" s="185">
        <f t="shared" si="61"/>
        <v>-3.6508832782124738E-2</v>
      </c>
      <c r="E1899" s="185">
        <v>-5.1639125799573561E-3</v>
      </c>
      <c r="F1899" s="171"/>
      <c r="G1899" s="171">
        <v>1896</v>
      </c>
      <c r="H1899" s="186">
        <f t="shared" ca="1" si="62"/>
        <v>1.726124445221839E-2</v>
      </c>
    </row>
    <row r="1900" spans="2:8">
      <c r="B1900" s="36">
        <v>45070</v>
      </c>
      <c r="C1900" s="185">
        <v>3099.25</v>
      </c>
      <c r="D1900" s="185">
        <f t="shared" si="61"/>
        <v>2.6199848157449046</v>
      </c>
      <c r="E1900" s="185">
        <v>-5.1679586563307201E-3</v>
      </c>
      <c r="F1900" s="171"/>
      <c r="G1900" s="171">
        <v>1897</v>
      </c>
      <c r="H1900" s="186">
        <f t="shared" ca="1" si="62"/>
        <v>3.0556289026541783E-3</v>
      </c>
    </row>
    <row r="1901" spans="2:8">
      <c r="B1901" s="36">
        <v>42451</v>
      </c>
      <c r="C1901" s="185">
        <v>856.15</v>
      </c>
      <c r="D1901" s="185">
        <f t="shared" si="61"/>
        <v>-0.25694323902100336</v>
      </c>
      <c r="E1901" s="185">
        <v>-5.1708110620497854E-3</v>
      </c>
      <c r="F1901" s="171"/>
      <c r="G1901" s="171">
        <v>1898</v>
      </c>
      <c r="H1901" s="186">
        <f t="shared" ca="1" si="62"/>
        <v>-1.9759122765318566E-2</v>
      </c>
    </row>
    <row r="1902" spans="2:8">
      <c r="B1902" s="36">
        <v>42892</v>
      </c>
      <c r="C1902" s="185">
        <v>1152.2</v>
      </c>
      <c r="D1902" s="185">
        <f t="shared" si="61"/>
        <v>-0.66094313249466641</v>
      </c>
      <c r="E1902" s="185">
        <v>-5.1804524261785528E-3</v>
      </c>
      <c r="F1902" s="171"/>
      <c r="G1902" s="171">
        <v>1899</v>
      </c>
      <c r="H1902" s="186">
        <f t="shared" ca="1" si="62"/>
        <v>1.3739421821850475E-2</v>
      </c>
    </row>
    <row r="1903" spans="2:8">
      <c r="B1903" s="36">
        <v>45138</v>
      </c>
      <c r="C1903" s="185">
        <v>3398.25</v>
      </c>
      <c r="D1903" s="185">
        <f t="shared" si="61"/>
        <v>9.4127306094851704E-2</v>
      </c>
      <c r="E1903" s="185">
        <v>-5.1815746717603648E-3</v>
      </c>
      <c r="F1903" s="171"/>
      <c r="G1903" s="171">
        <v>1900</v>
      </c>
      <c r="H1903" s="186">
        <f t="shared" ca="1" si="62"/>
        <v>3.5166734051357534E-2</v>
      </c>
    </row>
    <row r="1904" spans="2:8">
      <c r="B1904" s="36">
        <v>44874</v>
      </c>
      <c r="C1904" s="185">
        <v>3105.9</v>
      </c>
      <c r="D1904" s="185">
        <f t="shared" si="61"/>
        <v>-7.1313240043057044E-2</v>
      </c>
      <c r="E1904" s="185">
        <v>-5.204746729016863E-3</v>
      </c>
      <c r="F1904" s="171"/>
      <c r="G1904" s="171">
        <v>1901</v>
      </c>
      <c r="H1904" s="186">
        <f t="shared" ca="1" si="62"/>
        <v>-1.5262085000197354E-2</v>
      </c>
    </row>
    <row r="1905" spans="2:8">
      <c r="B1905" s="36">
        <v>44455</v>
      </c>
      <c r="C1905" s="185">
        <v>3344.4</v>
      </c>
      <c r="D1905" s="185">
        <f t="shared" si="61"/>
        <v>0.34700042290110167</v>
      </c>
      <c r="E1905" s="185">
        <v>-5.2201847142282687E-3</v>
      </c>
      <c r="F1905" s="171"/>
      <c r="G1905" s="171">
        <v>1902</v>
      </c>
      <c r="H1905" s="186">
        <f t="shared" ca="1" si="62"/>
        <v>-1.0432706875926633E-2</v>
      </c>
    </row>
    <row r="1906" spans="2:8">
      <c r="B1906" s="36">
        <v>45629</v>
      </c>
      <c r="C1906" s="185">
        <v>2482.85</v>
      </c>
      <c r="D1906" s="185">
        <f t="shared" si="61"/>
        <v>1.1107285556405679</v>
      </c>
      <c r="E1906" s="185">
        <v>-5.2285748627750239E-3</v>
      </c>
      <c r="F1906" s="171"/>
      <c r="G1906" s="171">
        <v>1903</v>
      </c>
      <c r="H1906" s="186">
        <f t="shared" ca="1" si="62"/>
        <v>8.1002463102778418E-4</v>
      </c>
    </row>
    <row r="1907" spans="2:8">
      <c r="B1907" s="36">
        <v>43042</v>
      </c>
      <c r="C1907" s="185">
        <v>1176.3</v>
      </c>
      <c r="D1907" s="185">
        <f t="shared" si="61"/>
        <v>0.11762470308788595</v>
      </c>
      <c r="E1907" s="185">
        <v>-5.2431289640592349E-3</v>
      </c>
      <c r="F1907" s="171"/>
      <c r="G1907" s="171">
        <v>1904</v>
      </c>
      <c r="H1907" s="186">
        <f t="shared" ca="1" si="62"/>
        <v>-1.7968971797109264E-2</v>
      </c>
    </row>
    <row r="1908" spans="2:8">
      <c r="B1908" s="36">
        <v>42683</v>
      </c>
      <c r="C1908" s="185">
        <v>1052.5</v>
      </c>
      <c r="D1908" s="185">
        <f t="shared" si="61"/>
        <v>0.30623642569035059</v>
      </c>
      <c r="E1908" s="185">
        <v>-5.2454987949529372E-3</v>
      </c>
      <c r="F1908" s="171"/>
      <c r="G1908" s="171">
        <v>1905</v>
      </c>
      <c r="H1908" s="186">
        <f t="shared" ca="1" si="62"/>
        <v>-6.2884153996637295E-3</v>
      </c>
    </row>
    <row r="1909" spans="2:8">
      <c r="B1909" s="36">
        <v>42314</v>
      </c>
      <c r="C1909" s="185">
        <v>805.75</v>
      </c>
      <c r="D1909" s="185">
        <f t="shared" si="61"/>
        <v>-0.73082897659890755</v>
      </c>
      <c r="E1909" s="185">
        <v>-5.2469135802469136E-3</v>
      </c>
      <c r="F1909" s="171"/>
      <c r="G1909" s="171">
        <v>1906</v>
      </c>
      <c r="H1909" s="186">
        <f t="shared" ca="1" si="62"/>
        <v>-1.9621626846036528E-3</v>
      </c>
    </row>
    <row r="1910" spans="2:8">
      <c r="B1910" s="36">
        <v>44392</v>
      </c>
      <c r="C1910" s="185">
        <v>2993.45</v>
      </c>
      <c r="D1910" s="185">
        <f t="shared" si="61"/>
        <v>0.22486599288023229</v>
      </c>
      <c r="E1910" s="185">
        <v>-5.2504776937775796E-3</v>
      </c>
      <c r="F1910" s="171"/>
      <c r="G1910" s="171">
        <v>1907</v>
      </c>
      <c r="H1910" s="186">
        <f t="shared" ca="1" si="62"/>
        <v>2.6635609315937406E-2</v>
      </c>
    </row>
    <row r="1911" spans="2:8">
      <c r="B1911" s="36">
        <v>45849</v>
      </c>
      <c r="C1911" s="185">
        <v>2443.9</v>
      </c>
      <c r="D1911" s="185">
        <f t="shared" si="61"/>
        <v>-0.2470461372564122</v>
      </c>
      <c r="E1911" s="185">
        <v>-5.2507326603712509E-3</v>
      </c>
      <c r="F1911" s="171"/>
      <c r="G1911" s="171">
        <v>1908</v>
      </c>
      <c r="H1911" s="186">
        <f t="shared" ca="1" si="62"/>
        <v>-3.3131128413559511E-3</v>
      </c>
    </row>
    <row r="1912" spans="2:8">
      <c r="B1912" s="36">
        <v>44613</v>
      </c>
      <c r="C1912" s="185">
        <v>3245.75</v>
      </c>
      <c r="D1912" s="185">
        <f t="shared" si="61"/>
        <v>7.3063889577651045E-2</v>
      </c>
      <c r="E1912" s="185">
        <v>-5.256060559624901E-3</v>
      </c>
      <c r="F1912" s="171"/>
      <c r="G1912" s="171">
        <v>1909</v>
      </c>
      <c r="H1912" s="186">
        <f t="shared" ca="1" si="62"/>
        <v>-1.1163528620821416E-2</v>
      </c>
    </row>
    <row r="1913" spans="2:8">
      <c r="B1913" s="36">
        <v>44386</v>
      </c>
      <c r="C1913" s="185">
        <v>3024.75</v>
      </c>
      <c r="D1913" s="185">
        <f t="shared" si="61"/>
        <v>0.34582869855394882</v>
      </c>
      <c r="E1913" s="185">
        <v>-5.261859738551344E-3</v>
      </c>
      <c r="F1913" s="171"/>
      <c r="G1913" s="171">
        <v>1910</v>
      </c>
      <c r="H1913" s="186">
        <f t="shared" ca="1" si="62"/>
        <v>-8.0363973379183815E-3</v>
      </c>
    </row>
    <row r="1914" spans="2:8">
      <c r="B1914" s="36">
        <v>45811</v>
      </c>
      <c r="C1914" s="185">
        <v>2247.5</v>
      </c>
      <c r="D1914" s="185">
        <f t="shared" si="61"/>
        <v>0.86816840530318784</v>
      </c>
      <c r="E1914" s="185">
        <v>-5.2668850137204968E-3</v>
      </c>
      <c r="F1914" s="171"/>
      <c r="G1914" s="171">
        <v>1911</v>
      </c>
      <c r="H1914" s="186">
        <f t="shared" ca="1" si="62"/>
        <v>-1.725425224441187E-3</v>
      </c>
    </row>
    <row r="1915" spans="2:8">
      <c r="B1915" s="36">
        <v>42985</v>
      </c>
      <c r="C1915" s="185">
        <v>1203.05</v>
      </c>
      <c r="D1915" s="185">
        <f t="shared" si="61"/>
        <v>-0.6500625381773758</v>
      </c>
      <c r="E1915" s="185">
        <v>-5.2916614990285594E-3</v>
      </c>
      <c r="F1915" s="171"/>
      <c r="G1915" s="171">
        <v>1912</v>
      </c>
      <c r="H1915" s="186">
        <f t="shared" ca="1" si="62"/>
        <v>-2.2625887219020918E-3</v>
      </c>
    </row>
    <row r="1916" spans="2:8">
      <c r="B1916" s="36">
        <v>44806</v>
      </c>
      <c r="C1916" s="185">
        <v>3437.9</v>
      </c>
      <c r="D1916" s="185">
        <f t="shared" si="61"/>
        <v>0.83379117215628751</v>
      </c>
      <c r="E1916" s="185">
        <v>-5.3092224231464473E-3</v>
      </c>
      <c r="F1916" s="171"/>
      <c r="G1916" s="171">
        <v>1913</v>
      </c>
      <c r="H1916" s="186">
        <f t="shared" ca="1" si="62"/>
        <v>1.4347480416321874E-2</v>
      </c>
    </row>
    <row r="1917" spans="2:8">
      <c r="B1917" s="36">
        <v>44063</v>
      </c>
      <c r="C1917" s="185">
        <v>1874.75</v>
      </c>
      <c r="D1917" s="185">
        <f t="shared" si="61"/>
        <v>1.1493264545715105</v>
      </c>
      <c r="E1917" s="185">
        <v>-5.3585165928322727E-3</v>
      </c>
      <c r="F1917" s="171"/>
      <c r="G1917" s="171">
        <v>1914</v>
      </c>
      <c r="H1917" s="186">
        <f t="shared" ca="1" si="62"/>
        <v>6.7500186665350285E-3</v>
      </c>
    </row>
    <row r="1918" spans="2:8">
      <c r="B1918" s="36">
        <v>42382</v>
      </c>
      <c r="C1918" s="185">
        <v>872.25</v>
      </c>
      <c r="D1918" s="185">
        <f t="shared" si="61"/>
        <v>-0.35563107154729812</v>
      </c>
      <c r="E1918" s="185">
        <v>-5.3594845772279437E-3</v>
      </c>
      <c r="F1918" s="171"/>
      <c r="G1918" s="171">
        <v>1915</v>
      </c>
      <c r="H1918" s="186">
        <f t="shared" ca="1" si="62"/>
        <v>4.0510998324087708E-2</v>
      </c>
    </row>
    <row r="1919" spans="2:8">
      <c r="B1919" s="36">
        <v>43661</v>
      </c>
      <c r="C1919" s="185">
        <v>1353.65</v>
      </c>
      <c r="D1919" s="185">
        <f t="shared" si="61"/>
        <v>-0.5774333520634326</v>
      </c>
      <c r="E1919" s="185">
        <v>-5.3639002167603176E-3</v>
      </c>
      <c r="F1919" s="171"/>
      <c r="G1919" s="171">
        <v>1916</v>
      </c>
      <c r="H1919" s="186">
        <f t="shared" ca="1" si="62"/>
        <v>1.0564815312503015E-2</v>
      </c>
    </row>
    <row r="1920" spans="2:8">
      <c r="B1920" s="36">
        <v>45085</v>
      </c>
      <c r="C1920" s="185">
        <v>3203.4</v>
      </c>
      <c r="D1920" s="185">
        <f t="shared" si="61"/>
        <v>0.20225182961155944</v>
      </c>
      <c r="E1920" s="185">
        <v>-5.3869440347744805E-3</v>
      </c>
      <c r="F1920" s="171"/>
      <c r="G1920" s="171">
        <v>1917</v>
      </c>
      <c r="H1920" s="186">
        <f t="shared" ca="1" si="62"/>
        <v>2.6029445358261669E-2</v>
      </c>
    </row>
    <row r="1921" spans="2:8">
      <c r="B1921" s="36">
        <v>46043</v>
      </c>
      <c r="C1921" s="185">
        <v>2664.5</v>
      </c>
      <c r="D1921" s="185">
        <f t="shared" si="61"/>
        <v>0.50434733514001806</v>
      </c>
      <c r="E1921" s="185">
        <v>-5.412467338559164E-3</v>
      </c>
      <c r="F1921" s="171"/>
      <c r="G1921" s="171">
        <v>1918</v>
      </c>
      <c r="H1921" s="186">
        <f t="shared" ca="1" si="62"/>
        <v>-1.1961097233601208E-2</v>
      </c>
    </row>
    <row r="1922" spans="2:8">
      <c r="B1922" s="36">
        <v>43782</v>
      </c>
      <c r="C1922" s="185">
        <v>1771.2</v>
      </c>
      <c r="D1922" s="185">
        <f t="shared" si="61"/>
        <v>-0.47999941282679859</v>
      </c>
      <c r="E1922" s="185">
        <v>-5.4187607041580503E-3</v>
      </c>
      <c r="F1922" s="171"/>
      <c r="G1922" s="171">
        <v>1919</v>
      </c>
      <c r="H1922" s="186">
        <f t="shared" ca="1" si="62"/>
        <v>7.4694922549697748E-3</v>
      </c>
    </row>
    <row r="1923" spans="2:8">
      <c r="B1923" s="36">
        <v>45293</v>
      </c>
      <c r="C1923" s="185">
        <v>3406.15</v>
      </c>
      <c r="D1923" s="185">
        <f t="shared" si="61"/>
        <v>0.43296171644930587</v>
      </c>
      <c r="E1923" s="185">
        <v>-5.4310533615592113E-3</v>
      </c>
      <c r="F1923" s="171"/>
      <c r="G1923" s="171">
        <v>1920</v>
      </c>
      <c r="H1923" s="186">
        <f t="shared" ca="1" si="62"/>
        <v>-7.1542040283469176E-3</v>
      </c>
    </row>
    <row r="1924" spans="2:8">
      <c r="B1924" s="36">
        <v>45859</v>
      </c>
      <c r="C1924" s="185">
        <v>2377</v>
      </c>
      <c r="D1924" s="185">
        <f t="shared" ref="D1924:D1987" si="63">(C1924-C1925)/C1925</f>
        <v>1.0636367582584541</v>
      </c>
      <c r="E1924" s="185">
        <v>-5.439330543933054E-3</v>
      </c>
      <c r="F1924" s="171"/>
      <c r="G1924" s="171">
        <v>1921</v>
      </c>
      <c r="H1924" s="186">
        <f t="shared" ca="1" si="62"/>
        <v>1.2733472524225358E-2</v>
      </c>
    </row>
    <row r="1925" spans="2:8">
      <c r="B1925" s="36">
        <v>42906</v>
      </c>
      <c r="C1925" s="185">
        <v>1151.8499999999999</v>
      </c>
      <c r="D1925" s="185">
        <f t="shared" si="63"/>
        <v>-1.4459893048128419E-2</v>
      </c>
      <c r="E1925" s="185">
        <v>-5.4826454843724193E-3</v>
      </c>
      <c r="F1925" s="171"/>
      <c r="G1925" s="171">
        <v>1922</v>
      </c>
      <c r="H1925" s="186">
        <f t="shared" ref="H1925:H1988" ca="1" si="64">_xlfn.NORM.INV(RAND(),N$6,N$7)</f>
        <v>1.6091707663168564E-3</v>
      </c>
    </row>
    <row r="1926" spans="2:8">
      <c r="B1926" s="36">
        <v>43214</v>
      </c>
      <c r="C1926" s="185">
        <v>1168.75</v>
      </c>
      <c r="D1926" s="185">
        <f t="shared" si="63"/>
        <v>5.1363266703754573E-4</v>
      </c>
      <c r="E1926" s="185">
        <v>-5.4884275017018768E-3</v>
      </c>
      <c r="F1926" s="171"/>
      <c r="G1926" s="171">
        <v>1923</v>
      </c>
      <c r="H1926" s="186">
        <f t="shared" ca="1" si="64"/>
        <v>-1.7213835801355791E-2</v>
      </c>
    </row>
    <row r="1927" spans="2:8">
      <c r="B1927" s="36">
        <v>43123</v>
      </c>
      <c r="C1927" s="185">
        <v>1168.1500000000001</v>
      </c>
      <c r="D1927" s="185">
        <f t="shared" si="63"/>
        <v>-0.5777669341429913</v>
      </c>
      <c r="E1927" s="185">
        <v>-5.4912310573810817E-3</v>
      </c>
      <c r="F1927" s="171"/>
      <c r="G1927" s="171">
        <v>1924</v>
      </c>
      <c r="H1927" s="186">
        <f t="shared" ca="1" si="64"/>
        <v>3.1696460381649208E-2</v>
      </c>
    </row>
    <row r="1928" spans="2:8">
      <c r="B1928" s="36">
        <v>46023</v>
      </c>
      <c r="C1928" s="185">
        <v>2766.6</v>
      </c>
      <c r="D1928" s="185">
        <f t="shared" si="63"/>
        <v>1.0998064589579144</v>
      </c>
      <c r="E1928" s="185">
        <v>-5.4998382400518282E-3</v>
      </c>
      <c r="F1928" s="171"/>
      <c r="G1928" s="171">
        <v>1925</v>
      </c>
      <c r="H1928" s="186">
        <f t="shared" ca="1" si="64"/>
        <v>1.8112718438318343E-2</v>
      </c>
    </row>
    <row r="1929" spans="2:8">
      <c r="B1929" s="36">
        <v>43349</v>
      </c>
      <c r="C1929" s="185">
        <v>1317.55</v>
      </c>
      <c r="D1929" s="185">
        <f t="shared" si="63"/>
        <v>-3.2280572897539515E-2</v>
      </c>
      <c r="E1929" s="185">
        <v>-5.5100577423858963E-3</v>
      </c>
      <c r="F1929" s="171"/>
      <c r="G1929" s="171">
        <v>1926</v>
      </c>
      <c r="H1929" s="186">
        <f t="shared" ca="1" si="64"/>
        <v>1.9571108551815583E-2</v>
      </c>
    </row>
    <row r="1930" spans="2:8">
      <c r="B1930" s="36">
        <v>43297</v>
      </c>
      <c r="C1930" s="185">
        <v>1361.5</v>
      </c>
      <c r="D1930" s="185">
        <f t="shared" si="63"/>
        <v>0.452809048711519</v>
      </c>
      <c r="E1930" s="185">
        <v>-5.5147730177860232E-3</v>
      </c>
      <c r="F1930" s="171"/>
      <c r="G1930" s="171">
        <v>1927</v>
      </c>
      <c r="H1930" s="186">
        <f t="shared" ca="1" si="64"/>
        <v>-3.4430438173764781E-2</v>
      </c>
    </row>
    <row r="1931" spans="2:8">
      <c r="B1931" s="36">
        <v>42710</v>
      </c>
      <c r="C1931" s="185">
        <v>937.15</v>
      </c>
      <c r="D1931" s="185">
        <f t="shared" si="63"/>
        <v>-0.63030099806698492</v>
      </c>
      <c r="E1931" s="185">
        <v>-5.5181195946304934E-3</v>
      </c>
      <c r="F1931" s="171"/>
      <c r="G1931" s="171">
        <v>1928</v>
      </c>
      <c r="H1931" s="186">
        <f t="shared" ca="1" si="64"/>
        <v>-8.6667656519137173E-3</v>
      </c>
    </row>
    <row r="1932" spans="2:8">
      <c r="B1932" s="36">
        <v>45960</v>
      </c>
      <c r="C1932" s="185">
        <v>2534.9</v>
      </c>
      <c r="D1932" s="185">
        <f t="shared" si="63"/>
        <v>2.8607368933614673E-2</v>
      </c>
      <c r="E1932" s="185">
        <v>-5.5315810121615962E-3</v>
      </c>
      <c r="F1932" s="171"/>
      <c r="G1932" s="171">
        <v>1929</v>
      </c>
      <c r="H1932" s="186">
        <f t="shared" ca="1" si="64"/>
        <v>2.0241496818316513E-2</v>
      </c>
    </row>
    <row r="1933" spans="2:8">
      <c r="B1933" s="36">
        <v>45621</v>
      </c>
      <c r="C1933" s="185">
        <v>2464.4</v>
      </c>
      <c r="D1933" s="185">
        <f t="shared" si="63"/>
        <v>-0.15061694354449576</v>
      </c>
      <c r="E1933" s="185">
        <v>-5.5484938361277563E-3</v>
      </c>
      <c r="F1933" s="171"/>
      <c r="G1933" s="171">
        <v>1930</v>
      </c>
      <c r="H1933" s="186">
        <f t="shared" ca="1" si="64"/>
        <v>3.5445449328430005E-3</v>
      </c>
    </row>
    <row r="1934" spans="2:8">
      <c r="B1934" s="36">
        <v>45498</v>
      </c>
      <c r="C1934" s="185">
        <v>2901.4</v>
      </c>
      <c r="D1934" s="185">
        <f t="shared" si="63"/>
        <v>1.5950538884665266</v>
      </c>
      <c r="E1934" s="185">
        <v>-5.5525089114339928E-3</v>
      </c>
      <c r="F1934" s="171"/>
      <c r="G1934" s="171">
        <v>1931</v>
      </c>
      <c r="H1934" s="186">
        <f t="shared" ca="1" si="64"/>
        <v>-4.5622643143835729E-3</v>
      </c>
    </row>
    <row r="1935" spans="2:8">
      <c r="B1935" s="36">
        <v>42857</v>
      </c>
      <c r="C1935" s="185">
        <v>1118.05</v>
      </c>
      <c r="D1935" s="185">
        <f t="shared" si="63"/>
        <v>-0.28911142902559217</v>
      </c>
      <c r="E1935" s="185">
        <v>-5.5590144979098107E-3</v>
      </c>
      <c r="F1935" s="171"/>
      <c r="G1935" s="171">
        <v>1932</v>
      </c>
      <c r="H1935" s="186">
        <f t="shared" ca="1" si="64"/>
        <v>2.460672774794977E-2</v>
      </c>
    </row>
    <row r="1936" spans="2:8">
      <c r="B1936" s="36">
        <v>43690</v>
      </c>
      <c r="C1936" s="185">
        <v>1572.75</v>
      </c>
      <c r="D1936" s="185">
        <f t="shared" si="63"/>
        <v>-0.48025446133509586</v>
      </c>
      <c r="E1936" s="185">
        <v>-5.5641617400650975E-3</v>
      </c>
      <c r="F1936" s="171"/>
      <c r="G1936" s="171">
        <v>1933</v>
      </c>
      <c r="H1936" s="186">
        <f t="shared" ca="1" si="64"/>
        <v>-1.7537625387779945E-2</v>
      </c>
    </row>
    <row r="1937" spans="2:8">
      <c r="B1937" s="36">
        <v>44930</v>
      </c>
      <c r="C1937" s="185">
        <v>3026</v>
      </c>
      <c r="D1937" s="185">
        <f t="shared" si="63"/>
        <v>-4.0902679830747586E-2</v>
      </c>
      <c r="E1937" s="185">
        <v>-5.5702525509784316E-3</v>
      </c>
      <c r="F1937" s="171"/>
      <c r="G1937" s="171">
        <v>1934</v>
      </c>
      <c r="H1937" s="186">
        <f t="shared" ca="1" si="64"/>
        <v>8.2909323880191958E-3</v>
      </c>
    </row>
    <row r="1938" spans="2:8">
      <c r="B1938" s="36">
        <v>44894</v>
      </c>
      <c r="C1938" s="185">
        <v>3155.05</v>
      </c>
      <c r="D1938" s="185">
        <f t="shared" si="63"/>
        <v>1.5319396517133459</v>
      </c>
      <c r="E1938" s="185">
        <v>-5.5787565991647055E-3</v>
      </c>
      <c r="F1938" s="171"/>
      <c r="G1938" s="171">
        <v>1935</v>
      </c>
      <c r="H1938" s="186">
        <f t="shared" ca="1" si="64"/>
        <v>-7.0843952229882835E-3</v>
      </c>
    </row>
    <row r="1939" spans="2:8">
      <c r="B1939" s="36">
        <v>42992</v>
      </c>
      <c r="C1939" s="185">
        <v>1246.0999999999999</v>
      </c>
      <c r="D1939" s="185">
        <f t="shared" si="63"/>
        <v>-0.503189538314329</v>
      </c>
      <c r="E1939" s="185">
        <v>-5.5861463570345549E-3</v>
      </c>
      <c r="F1939" s="171"/>
      <c r="G1939" s="171">
        <v>1936</v>
      </c>
      <c r="H1939" s="186">
        <f t="shared" ca="1" si="64"/>
        <v>4.1149331929231968E-3</v>
      </c>
    </row>
    <row r="1940" spans="2:8">
      <c r="B1940" s="36">
        <v>45951</v>
      </c>
      <c r="C1940" s="185">
        <v>2508.1999999999998</v>
      </c>
      <c r="D1940" s="185">
        <f t="shared" si="63"/>
        <v>1.4323118696664079</v>
      </c>
      <c r="E1940" s="185">
        <v>-5.5901359869961397E-3</v>
      </c>
      <c r="F1940" s="171"/>
      <c r="G1940" s="171">
        <v>1937</v>
      </c>
      <c r="H1940" s="186">
        <f t="shared" ca="1" si="64"/>
        <v>-8.7928498766525962E-3</v>
      </c>
    </row>
    <row r="1941" spans="2:8">
      <c r="B1941" s="36">
        <v>42796</v>
      </c>
      <c r="C1941" s="185">
        <v>1031.2</v>
      </c>
      <c r="D1941" s="185">
        <f t="shared" si="63"/>
        <v>-0.54767962101938772</v>
      </c>
      <c r="E1941" s="185">
        <v>-5.5930568948890595E-3</v>
      </c>
      <c r="F1941" s="171"/>
      <c r="G1941" s="171">
        <v>1938</v>
      </c>
      <c r="H1941" s="186">
        <f t="shared" ca="1" si="64"/>
        <v>1.4509669827884292E-2</v>
      </c>
    </row>
    <row r="1942" spans="2:8">
      <c r="B1942" s="36">
        <v>45646</v>
      </c>
      <c r="C1942" s="185">
        <v>2279.8000000000002</v>
      </c>
      <c r="D1942" s="185">
        <f t="shared" si="63"/>
        <v>-0.1614066063414992</v>
      </c>
      <c r="E1942" s="185">
        <v>-5.6048677294833092E-3</v>
      </c>
      <c r="F1942" s="171"/>
      <c r="G1942" s="171">
        <v>1939</v>
      </c>
      <c r="H1942" s="186">
        <f t="shared" ca="1" si="64"/>
        <v>-6.1865743971972762E-3</v>
      </c>
    </row>
    <row r="1943" spans="2:8">
      <c r="B1943" s="36">
        <v>46192</v>
      </c>
      <c r="C1943" s="185">
        <v>2718.6</v>
      </c>
      <c r="D1943" s="185">
        <f t="shared" si="63"/>
        <v>-0.19575185634411155</v>
      </c>
      <c r="E1943" s="185">
        <v>-5.6327724945135667E-3</v>
      </c>
      <c r="F1943" s="171"/>
      <c r="G1943" s="171">
        <v>1940</v>
      </c>
      <c r="H1943" s="186">
        <f t="shared" ca="1" si="64"/>
        <v>-1.06657530211819E-2</v>
      </c>
    </row>
    <row r="1944" spans="2:8">
      <c r="B1944" s="36">
        <v>45133</v>
      </c>
      <c r="C1944" s="185">
        <v>3380.3</v>
      </c>
      <c r="D1944" s="185">
        <f t="shared" si="63"/>
        <v>0.1171037194930519</v>
      </c>
      <c r="E1944" s="185">
        <v>-5.6332642045035632E-3</v>
      </c>
      <c r="F1944" s="171"/>
      <c r="G1944" s="171">
        <v>1941</v>
      </c>
      <c r="H1944" s="186">
        <f t="shared" ca="1" si="64"/>
        <v>-1.9164592149908153E-2</v>
      </c>
    </row>
    <row r="1945" spans="2:8">
      <c r="B1945" s="36">
        <v>44363</v>
      </c>
      <c r="C1945" s="185">
        <v>3025.95</v>
      </c>
      <c r="D1945" s="185">
        <f t="shared" si="63"/>
        <v>1.7021029602178863</v>
      </c>
      <c r="E1945" s="185">
        <v>-5.6357004370543497E-3</v>
      </c>
      <c r="F1945" s="171"/>
      <c r="G1945" s="171">
        <v>1942</v>
      </c>
      <c r="H1945" s="186">
        <f t="shared" ca="1" si="64"/>
        <v>1.4223844604551311E-2</v>
      </c>
    </row>
    <row r="1946" spans="2:8">
      <c r="B1946" s="36">
        <v>43074</v>
      </c>
      <c r="C1946" s="185">
        <v>1119.8499999999999</v>
      </c>
      <c r="D1946" s="185">
        <f t="shared" si="63"/>
        <v>7.9657965796578831E-3</v>
      </c>
      <c r="E1946" s="185">
        <v>-5.6384301189843153E-3</v>
      </c>
      <c r="F1946" s="171"/>
      <c r="G1946" s="171">
        <v>1943</v>
      </c>
      <c r="H1946" s="186">
        <f t="shared" ca="1" si="64"/>
        <v>2.0193520759478872E-2</v>
      </c>
    </row>
    <row r="1947" spans="2:8">
      <c r="B1947" s="36">
        <v>42600</v>
      </c>
      <c r="C1947" s="185">
        <v>1111</v>
      </c>
      <c r="D1947" s="185">
        <f t="shared" si="63"/>
        <v>-0.55243121298795472</v>
      </c>
      <c r="E1947" s="185">
        <v>-5.6385930367850662E-3</v>
      </c>
      <c r="F1947" s="171"/>
      <c r="G1947" s="171">
        <v>1944</v>
      </c>
      <c r="H1947" s="186">
        <f t="shared" ca="1" si="64"/>
        <v>3.505780000687997E-3</v>
      </c>
    </row>
    <row r="1948" spans="2:8">
      <c r="B1948" s="36">
        <v>45881</v>
      </c>
      <c r="C1948" s="185">
        <v>2482.3000000000002</v>
      </c>
      <c r="D1948" s="185">
        <f t="shared" si="63"/>
        <v>1.6390601743567939</v>
      </c>
      <c r="E1948" s="185">
        <v>-5.6481333119691992E-3</v>
      </c>
      <c r="F1948" s="171"/>
      <c r="G1948" s="171">
        <v>1945</v>
      </c>
      <c r="H1948" s="186">
        <f t="shared" ca="1" si="64"/>
        <v>1.2545535657079422E-2</v>
      </c>
    </row>
    <row r="1949" spans="2:8">
      <c r="B1949" s="36">
        <v>42702</v>
      </c>
      <c r="C1949" s="185">
        <v>940.6</v>
      </c>
      <c r="D1949" s="185">
        <f t="shared" si="63"/>
        <v>-0.4415815720731418</v>
      </c>
      <c r="E1949" s="185">
        <v>-5.6556900470426793E-3</v>
      </c>
      <c r="F1949" s="171"/>
      <c r="G1949" s="171">
        <v>1946</v>
      </c>
      <c r="H1949" s="186">
        <f t="shared" ca="1" si="64"/>
        <v>9.447504694781431E-3</v>
      </c>
    </row>
    <row r="1950" spans="2:8">
      <c r="B1950" s="36">
        <v>44008</v>
      </c>
      <c r="C1950" s="185">
        <v>1684.4</v>
      </c>
      <c r="D1950" s="185">
        <f t="shared" si="63"/>
        <v>-0.41732392417323927</v>
      </c>
      <c r="E1950" s="185">
        <v>-5.6670602125147044E-3</v>
      </c>
      <c r="F1950" s="171"/>
      <c r="G1950" s="171">
        <v>1947</v>
      </c>
      <c r="H1950" s="186">
        <f t="shared" ca="1" si="64"/>
        <v>-1.4186026916156507E-2</v>
      </c>
    </row>
    <row r="1951" spans="2:8">
      <c r="B1951" s="36">
        <v>46035</v>
      </c>
      <c r="C1951" s="185">
        <v>2890.8</v>
      </c>
      <c r="D1951" s="185">
        <f t="shared" si="63"/>
        <v>0.17095696202531652</v>
      </c>
      <c r="E1951" s="185">
        <v>-5.6753688989784334E-3</v>
      </c>
      <c r="F1951" s="171"/>
      <c r="G1951" s="171">
        <v>1948</v>
      </c>
      <c r="H1951" s="186">
        <f t="shared" ca="1" si="64"/>
        <v>7.7397176945508493E-3</v>
      </c>
    </row>
    <row r="1952" spans="2:8">
      <c r="B1952" s="36">
        <v>45630</v>
      </c>
      <c r="C1952" s="185">
        <v>2468.75</v>
      </c>
      <c r="D1952" s="185">
        <f t="shared" si="63"/>
        <v>-0.24446450704656397</v>
      </c>
      <c r="E1952" s="185">
        <v>-5.6789576494753651E-3</v>
      </c>
      <c r="F1952" s="171"/>
      <c r="G1952" s="171">
        <v>1949</v>
      </c>
      <c r="H1952" s="186">
        <f t="shared" ca="1" si="64"/>
        <v>-2.4985353103241646E-2</v>
      </c>
    </row>
    <row r="1953" spans="2:8">
      <c r="B1953" s="36">
        <v>44553</v>
      </c>
      <c r="C1953" s="185">
        <v>3267.55</v>
      </c>
      <c r="D1953" s="185">
        <f t="shared" si="63"/>
        <v>1.8782646994054175</v>
      </c>
      <c r="E1953" s="185">
        <v>-5.6903765690376014E-3</v>
      </c>
      <c r="F1953" s="171"/>
      <c r="G1953" s="171">
        <v>1950</v>
      </c>
      <c r="H1953" s="186">
        <f t="shared" ca="1" si="64"/>
        <v>-1.2853615765514429E-3</v>
      </c>
    </row>
    <row r="1954" spans="2:8">
      <c r="B1954" s="36">
        <v>42971</v>
      </c>
      <c r="C1954" s="185">
        <v>1135.25</v>
      </c>
      <c r="D1954" s="185">
        <f t="shared" si="63"/>
        <v>-0.60406312668933648</v>
      </c>
      <c r="E1954" s="185">
        <v>-5.6930151083862488E-3</v>
      </c>
      <c r="F1954" s="171"/>
      <c r="G1954" s="171">
        <v>1951</v>
      </c>
      <c r="H1954" s="186">
        <f t="shared" ca="1" si="64"/>
        <v>2.1461932915103586E-3</v>
      </c>
    </row>
    <row r="1955" spans="2:8">
      <c r="B1955" s="36">
        <v>45443</v>
      </c>
      <c r="C1955" s="185">
        <v>2867.25</v>
      </c>
      <c r="D1955" s="185">
        <f t="shared" si="63"/>
        <v>1.4417123651158676E-2</v>
      </c>
      <c r="E1955" s="185">
        <v>-5.7044768873321843E-3</v>
      </c>
      <c r="F1955" s="171"/>
      <c r="G1955" s="171">
        <v>1952</v>
      </c>
      <c r="H1955" s="186">
        <f t="shared" ca="1" si="64"/>
        <v>1.9671506970762647E-3</v>
      </c>
    </row>
    <row r="1956" spans="2:8">
      <c r="B1956" s="36">
        <v>45398</v>
      </c>
      <c r="C1956" s="185">
        <v>2826.5</v>
      </c>
      <c r="D1956" s="185">
        <f t="shared" si="63"/>
        <v>2.287201256033029</v>
      </c>
      <c r="E1956" s="185">
        <v>-5.7162958402954883E-3</v>
      </c>
      <c r="F1956" s="171"/>
      <c r="G1956" s="171">
        <v>1953</v>
      </c>
      <c r="H1956" s="186">
        <f t="shared" ca="1" si="64"/>
        <v>3.06831020576909E-3</v>
      </c>
    </row>
    <row r="1957" spans="2:8">
      <c r="B1957" s="36">
        <v>42467</v>
      </c>
      <c r="C1957" s="185">
        <v>859.85</v>
      </c>
      <c r="D1957" s="185">
        <f t="shared" si="63"/>
        <v>-0.74955582093030038</v>
      </c>
      <c r="E1957" s="185">
        <v>-5.723866790009172E-3</v>
      </c>
      <c r="F1957" s="171"/>
      <c r="G1957" s="171">
        <v>1954</v>
      </c>
      <c r="H1957" s="186">
        <f t="shared" ca="1" si="64"/>
        <v>-9.5968744082687036E-3</v>
      </c>
    </row>
    <row r="1958" spans="2:8">
      <c r="B1958" s="36">
        <v>44466</v>
      </c>
      <c r="C1958" s="185">
        <v>3433.3</v>
      </c>
      <c r="D1958" s="185">
        <f t="shared" si="63"/>
        <v>0.15432202535050263</v>
      </c>
      <c r="E1958" s="185">
        <v>-5.733978164547719E-3</v>
      </c>
      <c r="F1958" s="171"/>
      <c r="G1958" s="171">
        <v>1955</v>
      </c>
      <c r="H1958" s="186">
        <f t="shared" ca="1" si="64"/>
        <v>9.2734230672791174E-3</v>
      </c>
    </row>
    <row r="1959" spans="2:8">
      <c r="B1959" s="36">
        <v>44936</v>
      </c>
      <c r="C1959" s="185">
        <v>2974.3</v>
      </c>
      <c r="D1959" s="185">
        <f t="shared" si="63"/>
        <v>1.1960277613703485</v>
      </c>
      <c r="E1959" s="185">
        <v>-5.7662415804516053E-3</v>
      </c>
      <c r="F1959" s="171"/>
      <c r="G1959" s="171">
        <v>1956</v>
      </c>
      <c r="H1959" s="186">
        <f t="shared" ca="1" si="64"/>
        <v>-1.1778612755990717E-2</v>
      </c>
    </row>
    <row r="1960" spans="2:8">
      <c r="B1960" s="36">
        <v>43648</v>
      </c>
      <c r="C1960" s="185">
        <v>1354.4</v>
      </c>
      <c r="D1960" s="185">
        <f t="shared" si="63"/>
        <v>0.15400673113790311</v>
      </c>
      <c r="E1960" s="185">
        <v>-5.7990163693752211E-3</v>
      </c>
      <c r="F1960" s="171"/>
      <c r="G1960" s="171">
        <v>1957</v>
      </c>
      <c r="H1960" s="186">
        <f t="shared" ca="1" si="64"/>
        <v>-1.6244683651160531E-2</v>
      </c>
    </row>
    <row r="1961" spans="2:8">
      <c r="B1961" s="36">
        <v>43031</v>
      </c>
      <c r="C1961" s="185">
        <v>1173.6500000000001</v>
      </c>
      <c r="D1961" s="185">
        <f t="shared" si="63"/>
        <v>-0.57969094132182564</v>
      </c>
      <c r="E1961" s="185">
        <v>-5.8026260059296135E-3</v>
      </c>
      <c r="F1961" s="171"/>
      <c r="G1961" s="171">
        <v>1958</v>
      </c>
      <c r="H1961" s="186">
        <f t="shared" ca="1" si="64"/>
        <v>1.9912819068211005E-2</v>
      </c>
    </row>
    <row r="1962" spans="2:8">
      <c r="B1962" s="36">
        <v>44970</v>
      </c>
      <c r="C1962" s="185">
        <v>2792.35</v>
      </c>
      <c r="D1962" s="185">
        <f t="shared" si="63"/>
        <v>1.0248359377832565</v>
      </c>
      <c r="E1962" s="185">
        <v>-5.8211984191974611E-3</v>
      </c>
      <c r="F1962" s="171"/>
      <c r="G1962" s="171">
        <v>1959</v>
      </c>
      <c r="H1962" s="186">
        <f t="shared" ca="1" si="64"/>
        <v>9.4904361327409026E-4</v>
      </c>
    </row>
    <row r="1963" spans="2:8">
      <c r="B1963" s="36">
        <v>43640</v>
      </c>
      <c r="C1963" s="185">
        <v>1379.05</v>
      </c>
      <c r="D1963" s="185">
        <f t="shared" si="63"/>
        <v>-0.37667239197251856</v>
      </c>
      <c r="E1963" s="185">
        <v>-5.8393108171431608E-3</v>
      </c>
      <c r="F1963" s="171"/>
      <c r="G1963" s="171">
        <v>1960</v>
      </c>
      <c r="H1963" s="186">
        <f t="shared" ca="1" si="64"/>
        <v>-1.9223248213605785E-3</v>
      </c>
    </row>
    <row r="1964" spans="2:8">
      <c r="B1964" s="36">
        <v>44134</v>
      </c>
      <c r="C1964" s="185">
        <v>2212.4</v>
      </c>
      <c r="D1964" s="185">
        <f t="shared" si="63"/>
        <v>-0.25849211536205652</v>
      </c>
      <c r="E1964" s="185">
        <v>-5.8639825653237446E-3</v>
      </c>
      <c r="F1964" s="171"/>
      <c r="G1964" s="171">
        <v>1961</v>
      </c>
      <c r="H1964" s="186">
        <f t="shared" ca="1" si="64"/>
        <v>-7.0971318315008027E-3</v>
      </c>
    </row>
    <row r="1965" spans="2:8">
      <c r="B1965" s="36">
        <v>44418</v>
      </c>
      <c r="C1965" s="185">
        <v>2983.65</v>
      </c>
      <c r="D1965" s="185">
        <f t="shared" si="63"/>
        <v>0.73654803131274915</v>
      </c>
      <c r="E1965" s="185">
        <v>-5.8642232403165045E-3</v>
      </c>
      <c r="F1965" s="171"/>
      <c r="G1965" s="171">
        <v>1962</v>
      </c>
      <c r="H1965" s="186">
        <f t="shared" ca="1" si="64"/>
        <v>-3.8981499959673035E-3</v>
      </c>
    </row>
    <row r="1966" spans="2:8">
      <c r="B1966" s="36">
        <v>43809</v>
      </c>
      <c r="C1966" s="185">
        <v>1718.15</v>
      </c>
      <c r="D1966" s="185">
        <f t="shared" si="63"/>
        <v>0.4199000041320608</v>
      </c>
      <c r="E1966" s="185">
        <v>-5.8728230052652111E-3</v>
      </c>
      <c r="F1966" s="171"/>
      <c r="G1966" s="171">
        <v>1963</v>
      </c>
      <c r="H1966" s="186">
        <f t="shared" ca="1" si="64"/>
        <v>1.3113792585580604E-2</v>
      </c>
    </row>
    <row r="1967" spans="2:8">
      <c r="B1967" s="36">
        <v>42657</v>
      </c>
      <c r="C1967" s="185">
        <v>1210.05</v>
      </c>
      <c r="D1967" s="185">
        <f t="shared" si="63"/>
        <v>-6.0374568753081455E-3</v>
      </c>
      <c r="E1967" s="185">
        <v>-5.8741373644430588E-3</v>
      </c>
      <c r="F1967" s="171"/>
      <c r="G1967" s="171">
        <v>1964</v>
      </c>
      <c r="H1967" s="186">
        <f t="shared" ca="1" si="64"/>
        <v>8.9991490572162037E-3</v>
      </c>
    </row>
    <row r="1968" spans="2:8">
      <c r="B1968" s="36">
        <v>43384</v>
      </c>
      <c r="C1968" s="185">
        <v>1217.4000000000001</v>
      </c>
      <c r="D1968" s="185">
        <f t="shared" si="63"/>
        <v>-0.55708360619951969</v>
      </c>
      <c r="E1968" s="185">
        <v>-5.8794708476235654E-3</v>
      </c>
      <c r="F1968" s="171"/>
      <c r="G1968" s="171">
        <v>1965</v>
      </c>
      <c r="H1968" s="186">
        <f t="shared" ca="1" si="64"/>
        <v>6.6517716216890326E-3</v>
      </c>
    </row>
    <row r="1969" spans="2:8">
      <c r="B1969" s="36">
        <v>46041</v>
      </c>
      <c r="C1969" s="185">
        <v>2748.6</v>
      </c>
      <c r="D1969" s="185">
        <f t="shared" si="63"/>
        <v>-0.18825770440483758</v>
      </c>
      <c r="E1969" s="185">
        <v>-5.8953307533727009E-3</v>
      </c>
      <c r="F1969" s="171"/>
      <c r="G1969" s="171">
        <v>1966</v>
      </c>
      <c r="H1969" s="186">
        <f t="shared" ca="1" si="64"/>
        <v>-9.2793963384196869E-3</v>
      </c>
    </row>
    <row r="1970" spans="2:8">
      <c r="B1970" s="36">
        <v>45294</v>
      </c>
      <c r="C1970" s="185">
        <v>3386.05</v>
      </c>
      <c r="D1970" s="185">
        <f t="shared" si="63"/>
        <v>0.43799634773007196</v>
      </c>
      <c r="E1970" s="185">
        <v>-5.9010906742216016E-3</v>
      </c>
      <c r="F1970" s="171"/>
      <c r="G1970" s="171">
        <v>1967</v>
      </c>
      <c r="H1970" s="186">
        <f t="shared" ca="1" si="64"/>
        <v>2.4230463192615593E-3</v>
      </c>
    </row>
    <row r="1971" spans="2:8">
      <c r="B1971" s="36">
        <v>46125</v>
      </c>
      <c r="C1971" s="185">
        <v>2354.6999999999998</v>
      </c>
      <c r="D1971" s="185">
        <f t="shared" si="63"/>
        <v>-1.7769991240145312E-2</v>
      </c>
      <c r="E1971" s="185">
        <v>-5.9104149955671896E-3</v>
      </c>
      <c r="F1971" s="171"/>
      <c r="G1971" s="171">
        <v>1968</v>
      </c>
      <c r="H1971" s="186">
        <f t="shared" ca="1" si="64"/>
        <v>2.717707203268457E-2</v>
      </c>
    </row>
    <row r="1972" spans="2:8">
      <c r="B1972" s="36">
        <v>45853</v>
      </c>
      <c r="C1972" s="185">
        <v>2397.3000000000002</v>
      </c>
      <c r="D1972" s="185">
        <f t="shared" si="63"/>
        <v>0.35651435846654417</v>
      </c>
      <c r="E1972" s="185">
        <v>-5.9296732459776609E-3</v>
      </c>
      <c r="F1972" s="171"/>
      <c r="G1972" s="171">
        <v>1969</v>
      </c>
      <c r="H1972" s="186">
        <f t="shared" ca="1" si="64"/>
        <v>-1.7046206846039681E-2</v>
      </c>
    </row>
    <row r="1973" spans="2:8">
      <c r="B1973" s="36">
        <v>43784</v>
      </c>
      <c r="C1973" s="185">
        <v>1767.25</v>
      </c>
      <c r="D1973" s="185">
        <f t="shared" si="63"/>
        <v>-0.4244516454706812</v>
      </c>
      <c r="E1973" s="185">
        <v>-5.934300821239709E-3</v>
      </c>
      <c r="F1973" s="171"/>
      <c r="G1973" s="171">
        <v>1970</v>
      </c>
      <c r="H1973" s="186">
        <f t="shared" ca="1" si="64"/>
        <v>9.2135901862611756E-3</v>
      </c>
    </row>
    <row r="1974" spans="2:8">
      <c r="B1974" s="36">
        <v>45575</v>
      </c>
      <c r="C1974" s="185">
        <v>3070.55</v>
      </c>
      <c r="D1974" s="185">
        <f t="shared" si="63"/>
        <v>-0.13732844480031459</v>
      </c>
      <c r="E1974" s="185">
        <v>-5.9406261128556797E-3</v>
      </c>
      <c r="F1974" s="171"/>
      <c r="G1974" s="171">
        <v>1971</v>
      </c>
      <c r="H1974" s="186">
        <f t="shared" ca="1" si="64"/>
        <v>-9.2257823516998828E-3</v>
      </c>
    </row>
    <row r="1975" spans="2:8">
      <c r="B1975" s="36">
        <v>44571</v>
      </c>
      <c r="C1975" s="185">
        <v>3559.35</v>
      </c>
      <c r="D1975" s="185">
        <f t="shared" si="63"/>
        <v>6.5259030916110405E-2</v>
      </c>
      <c r="E1975" s="185">
        <v>-5.9486406099451723E-3</v>
      </c>
      <c r="F1975" s="171"/>
      <c r="G1975" s="171">
        <v>1972</v>
      </c>
      <c r="H1975" s="186">
        <f t="shared" ca="1" si="64"/>
        <v>2.8902302813091058E-2</v>
      </c>
    </row>
    <row r="1976" spans="2:8">
      <c r="B1976" s="36">
        <v>45147</v>
      </c>
      <c r="C1976" s="185">
        <v>3341.3</v>
      </c>
      <c r="D1976" s="185">
        <f t="shared" si="63"/>
        <v>0.58156817267412964</v>
      </c>
      <c r="E1976" s="185">
        <v>-5.9500788385446106E-3</v>
      </c>
      <c r="F1976" s="171"/>
      <c r="G1976" s="171">
        <v>1973</v>
      </c>
      <c r="H1976" s="186">
        <f t="shared" ca="1" si="64"/>
        <v>3.269838220102184E-3</v>
      </c>
    </row>
    <row r="1977" spans="2:8">
      <c r="B1977" s="36">
        <v>44125</v>
      </c>
      <c r="C1977" s="185">
        <v>2112.65</v>
      </c>
      <c r="D1977" s="185">
        <f t="shared" si="63"/>
        <v>-0.25686798691477014</v>
      </c>
      <c r="E1977" s="185">
        <v>-5.9521008798758242E-3</v>
      </c>
      <c r="F1977" s="171"/>
      <c r="G1977" s="171">
        <v>1974</v>
      </c>
      <c r="H1977" s="186">
        <f t="shared" ca="1" si="64"/>
        <v>1.5055961244059377E-2</v>
      </c>
    </row>
    <row r="1978" spans="2:8">
      <c r="B1978" s="36">
        <v>45355</v>
      </c>
      <c r="C1978" s="185">
        <v>2842.9</v>
      </c>
      <c r="D1978" s="185">
        <f t="shared" si="63"/>
        <v>1.450036626879821</v>
      </c>
      <c r="E1978" s="185">
        <v>-5.9616426860608501E-3</v>
      </c>
      <c r="F1978" s="171"/>
      <c r="G1978" s="171">
        <v>1975</v>
      </c>
      <c r="H1978" s="186">
        <f t="shared" ca="1" si="64"/>
        <v>2.3289128202724778E-3</v>
      </c>
    </row>
    <row r="1979" spans="2:8">
      <c r="B1979" s="36">
        <v>42865</v>
      </c>
      <c r="C1979" s="185">
        <v>1160.3499999999999</v>
      </c>
      <c r="D1979" s="185">
        <f t="shared" si="63"/>
        <v>-0.26879450500976759</v>
      </c>
      <c r="E1979" s="185">
        <v>-5.9964877714481519E-3</v>
      </c>
      <c r="F1979" s="171"/>
      <c r="G1979" s="171">
        <v>1976</v>
      </c>
      <c r="H1979" s="186">
        <f t="shared" ca="1" si="64"/>
        <v>-8.77933245190291E-3</v>
      </c>
    </row>
    <row r="1980" spans="2:8">
      <c r="B1980" s="36">
        <v>43696</v>
      </c>
      <c r="C1980" s="185">
        <v>1586.9</v>
      </c>
      <c r="D1980" s="185">
        <f t="shared" si="63"/>
        <v>-0.51844265404281786</v>
      </c>
      <c r="E1980" s="185">
        <v>-6.0131537738803064E-3</v>
      </c>
      <c r="F1980" s="171"/>
      <c r="G1980" s="171">
        <v>1977</v>
      </c>
      <c r="H1980" s="186">
        <f t="shared" ca="1" si="64"/>
        <v>-4.8084292013763456E-3</v>
      </c>
    </row>
    <row r="1981" spans="2:8">
      <c r="B1981" s="36">
        <v>45195</v>
      </c>
      <c r="C1981" s="185">
        <v>3295.35</v>
      </c>
      <c r="D1981" s="185">
        <f t="shared" si="63"/>
        <v>0.36501460141250536</v>
      </c>
      <c r="E1981" s="185">
        <v>-6.0175549724007698E-3</v>
      </c>
      <c r="F1981" s="171"/>
      <c r="G1981" s="171">
        <v>1978</v>
      </c>
      <c r="H1981" s="186">
        <f t="shared" ca="1" si="64"/>
        <v>-1.8473872809643119E-2</v>
      </c>
    </row>
    <row r="1982" spans="2:8">
      <c r="B1982" s="36">
        <v>44278</v>
      </c>
      <c r="C1982" s="185">
        <v>2414.15</v>
      </c>
      <c r="D1982" s="185">
        <f t="shared" si="63"/>
        <v>1.0978015293708725</v>
      </c>
      <c r="E1982" s="185">
        <v>-6.0317852437418024E-3</v>
      </c>
      <c r="F1982" s="171"/>
      <c r="G1982" s="171">
        <v>1979</v>
      </c>
      <c r="H1982" s="186">
        <f t="shared" ca="1" si="64"/>
        <v>1.3229582555703211E-2</v>
      </c>
    </row>
    <row r="1983" spans="2:8">
      <c r="B1983" s="36">
        <v>42886</v>
      </c>
      <c r="C1983" s="185">
        <v>1150.8</v>
      </c>
      <c r="D1983" s="185">
        <f t="shared" si="63"/>
        <v>-0.58278649893050072</v>
      </c>
      <c r="E1983" s="185">
        <v>-6.0888716154941964E-3</v>
      </c>
      <c r="F1983" s="171"/>
      <c r="G1983" s="171">
        <v>1980</v>
      </c>
      <c r="H1983" s="186">
        <f t="shared" ca="1" si="64"/>
        <v>2.0976843724934715E-2</v>
      </c>
    </row>
    <row r="1984" spans="2:8">
      <c r="B1984" s="36">
        <v>46021</v>
      </c>
      <c r="C1984" s="185">
        <v>2758.3</v>
      </c>
      <c r="D1984" s="185">
        <f t="shared" si="63"/>
        <v>0.20723914565826329</v>
      </c>
      <c r="E1984" s="185">
        <v>-6.0896511963100452E-3</v>
      </c>
      <c r="F1984" s="171"/>
      <c r="G1984" s="171">
        <v>1981</v>
      </c>
      <c r="H1984" s="186">
        <f t="shared" ca="1" si="64"/>
        <v>1.5381932283858398E-2</v>
      </c>
    </row>
    <row r="1985" spans="2:8">
      <c r="B1985" s="36">
        <v>46087</v>
      </c>
      <c r="C1985" s="185">
        <v>2284.8000000000002</v>
      </c>
      <c r="D1985" s="185">
        <f t="shared" si="63"/>
        <v>1.0035075412136092</v>
      </c>
      <c r="E1985" s="185">
        <v>-6.0901339829476245E-3</v>
      </c>
      <c r="F1985" s="171"/>
      <c r="G1985" s="171">
        <v>1982</v>
      </c>
      <c r="H1985" s="186">
        <f t="shared" ca="1" si="64"/>
        <v>-1.8901400602313923E-2</v>
      </c>
    </row>
    <row r="1986" spans="2:8">
      <c r="B1986" s="36">
        <v>43070</v>
      </c>
      <c r="C1986" s="185">
        <v>1140.4000000000001</v>
      </c>
      <c r="D1986" s="185">
        <f t="shared" si="63"/>
        <v>0.33442546220454022</v>
      </c>
      <c r="E1986" s="185">
        <v>-6.1007495206553946E-3</v>
      </c>
      <c r="F1986" s="171"/>
      <c r="G1986" s="171">
        <v>1983</v>
      </c>
      <c r="H1986" s="186">
        <f t="shared" ca="1" si="64"/>
        <v>7.9939201487609982E-3</v>
      </c>
    </row>
    <row r="1987" spans="2:8">
      <c r="B1987" s="36">
        <v>42468</v>
      </c>
      <c r="C1987" s="185">
        <v>854.6</v>
      </c>
      <c r="D1987" s="185">
        <f t="shared" si="63"/>
        <v>-0.39262997050566784</v>
      </c>
      <c r="E1987" s="185">
        <v>-6.105716113275571E-3</v>
      </c>
      <c r="F1987" s="171"/>
      <c r="G1987" s="171">
        <v>1984</v>
      </c>
      <c r="H1987" s="186">
        <f t="shared" ca="1" si="64"/>
        <v>-1.6318234793358099E-2</v>
      </c>
    </row>
    <row r="1988" spans="2:8">
      <c r="B1988" s="36">
        <v>43333</v>
      </c>
      <c r="C1988" s="185">
        <v>1407.05</v>
      </c>
      <c r="D1988" s="185">
        <f t="shared" ref="D1988:D2051" si="65">(C1988-C1989)/C1989</f>
        <v>-0.57366642931810263</v>
      </c>
      <c r="E1988" s="185">
        <v>-6.1100515645970835E-3</v>
      </c>
      <c r="F1988" s="171"/>
      <c r="G1988" s="171">
        <v>1985</v>
      </c>
      <c r="H1988" s="186">
        <f t="shared" ca="1" si="64"/>
        <v>-8.7207463069662282E-3</v>
      </c>
    </row>
    <row r="1989" spans="2:8">
      <c r="B1989" s="36">
        <v>44483</v>
      </c>
      <c r="C1989" s="185">
        <v>3300.35</v>
      </c>
      <c r="D1989" s="185">
        <f t="shared" si="65"/>
        <v>1.9431934721541002</v>
      </c>
      <c r="E1989" s="185">
        <v>-6.1132609579450355E-3</v>
      </c>
      <c r="F1989" s="171"/>
      <c r="G1989" s="171">
        <v>1986</v>
      </c>
      <c r="H1989" s="186">
        <f t="shared" ref="H1989:H2052" ca="1" si="66">_xlfn.NORM.INV(RAND(),N$6,N$7)</f>
        <v>-1.2386250062356961E-2</v>
      </c>
    </row>
    <row r="1990" spans="2:8">
      <c r="B1990" s="36">
        <v>42930</v>
      </c>
      <c r="C1990" s="185">
        <v>1121.3499999999999</v>
      </c>
      <c r="D1990" s="185">
        <f t="shared" si="65"/>
        <v>-0.49594318207358468</v>
      </c>
      <c r="E1990" s="185">
        <v>-6.1156658541990615E-3</v>
      </c>
      <c r="F1990" s="171"/>
      <c r="G1990" s="171">
        <v>1987</v>
      </c>
      <c r="H1990" s="186">
        <f t="shared" ca="1" si="66"/>
        <v>-2.1731789532442987E-2</v>
      </c>
    </row>
    <row r="1991" spans="2:8">
      <c r="B1991" s="36">
        <v>45673</v>
      </c>
      <c r="C1991" s="185">
        <v>2224.65</v>
      </c>
      <c r="D1991" s="185">
        <f t="shared" si="65"/>
        <v>-0.15812677388836327</v>
      </c>
      <c r="E1991" s="185">
        <v>-6.1205798914378082E-3</v>
      </c>
      <c r="F1991" s="171"/>
      <c r="G1991" s="171">
        <v>1988</v>
      </c>
      <c r="H1991" s="186">
        <f t="shared" ca="1" si="66"/>
        <v>-6.8329237152355907E-3</v>
      </c>
    </row>
    <row r="1992" spans="2:8">
      <c r="B1992" s="36">
        <v>44295</v>
      </c>
      <c r="C1992" s="185">
        <v>2642.5</v>
      </c>
      <c r="D1992" s="185">
        <f t="shared" si="65"/>
        <v>-0.11802009278729012</v>
      </c>
      <c r="E1992" s="185">
        <v>-6.1492750625269984E-3</v>
      </c>
      <c r="F1992" s="171"/>
      <c r="G1992" s="171">
        <v>1989</v>
      </c>
      <c r="H1992" s="186">
        <f t="shared" ca="1" si="66"/>
        <v>1.1177142002973017E-2</v>
      </c>
    </row>
    <row r="1993" spans="2:8">
      <c r="B1993" s="36">
        <v>44375</v>
      </c>
      <c r="C1993" s="185">
        <v>2996.1</v>
      </c>
      <c r="D1993" s="185">
        <f t="shared" si="65"/>
        <v>0.2271051769331586</v>
      </c>
      <c r="E1993" s="185">
        <v>-6.1532847925962154E-3</v>
      </c>
      <c r="F1993" s="171"/>
      <c r="G1993" s="171">
        <v>1990</v>
      </c>
      <c r="H1993" s="186">
        <f t="shared" ca="1" si="66"/>
        <v>-1.4434422768054475E-2</v>
      </c>
    </row>
    <row r="1994" spans="2:8">
      <c r="B1994" s="36">
        <v>45874</v>
      </c>
      <c r="C1994" s="185">
        <v>2441.6</v>
      </c>
      <c r="D1994" s="185">
        <f t="shared" si="65"/>
        <v>9.7940462271786904E-2</v>
      </c>
      <c r="E1994" s="185">
        <v>-6.186909801367743E-3</v>
      </c>
      <c r="F1994" s="171"/>
      <c r="G1994" s="171">
        <v>1991</v>
      </c>
      <c r="H1994" s="186">
        <f t="shared" ca="1" si="66"/>
        <v>5.1949733701149138E-3</v>
      </c>
    </row>
    <row r="1995" spans="2:8">
      <c r="B1995" s="36">
        <v>45818</v>
      </c>
      <c r="C1995" s="185">
        <v>2223.8000000000002</v>
      </c>
      <c r="D1995" s="185">
        <f t="shared" si="65"/>
        <v>1.4621346324180691</v>
      </c>
      <c r="E1995" s="185">
        <v>-6.211735263886865E-3</v>
      </c>
      <c r="F1995" s="171"/>
      <c r="G1995" s="171">
        <v>1992</v>
      </c>
      <c r="H1995" s="186">
        <f t="shared" ca="1" si="66"/>
        <v>-1.9158760462433106E-2</v>
      </c>
    </row>
    <row r="1996" spans="2:8">
      <c r="B1996" s="36">
        <v>42500</v>
      </c>
      <c r="C1996" s="185">
        <v>903.2</v>
      </c>
      <c r="D1996" s="185">
        <f t="shared" si="65"/>
        <v>-0.62570966806182915</v>
      </c>
      <c r="E1996" s="185">
        <v>-6.2166474115640394E-3</v>
      </c>
      <c r="F1996" s="171"/>
      <c r="G1996" s="171">
        <v>1993</v>
      </c>
      <c r="H1996" s="186">
        <f t="shared" ca="1" si="66"/>
        <v>1.2759546815463331E-2</v>
      </c>
    </row>
    <row r="1997" spans="2:8">
      <c r="B1997" s="36">
        <v>46077</v>
      </c>
      <c r="C1997" s="185">
        <v>2413.1</v>
      </c>
      <c r="D1997" s="185">
        <f t="shared" si="65"/>
        <v>1.7329973384676367</v>
      </c>
      <c r="E1997" s="185">
        <v>-6.2185981385387981E-3</v>
      </c>
      <c r="F1997" s="171"/>
      <c r="G1997" s="171">
        <v>1994</v>
      </c>
      <c r="H1997" s="186">
        <f t="shared" ca="1" si="66"/>
        <v>1.5750187858975574E-2</v>
      </c>
    </row>
    <row r="1998" spans="2:8">
      <c r="B1998" s="36">
        <v>42402</v>
      </c>
      <c r="C1998" s="185">
        <v>882.95</v>
      </c>
      <c r="D1998" s="185">
        <f t="shared" si="65"/>
        <v>1.3719862227324965E-2</v>
      </c>
      <c r="E1998" s="185">
        <v>-6.2464828362408043E-3</v>
      </c>
      <c r="F1998" s="171"/>
      <c r="G1998" s="171">
        <v>1995</v>
      </c>
      <c r="H1998" s="186">
        <f t="shared" ca="1" si="66"/>
        <v>-2.3219089301433449E-2</v>
      </c>
    </row>
    <row r="1999" spans="2:8">
      <c r="B1999" s="36">
        <v>42495</v>
      </c>
      <c r="C1999" s="185">
        <v>871</v>
      </c>
      <c r="D1999" s="185">
        <f t="shared" si="65"/>
        <v>-0.53680068070623277</v>
      </c>
      <c r="E1999" s="185">
        <v>-6.2749572162007989E-3</v>
      </c>
      <c r="F1999" s="171"/>
      <c r="G1999" s="171">
        <v>1996</v>
      </c>
      <c r="H1999" s="186">
        <f t="shared" ca="1" si="66"/>
        <v>5.7849425904717118E-3</v>
      </c>
    </row>
    <row r="2000" spans="2:8">
      <c r="B2000" s="36">
        <v>43866</v>
      </c>
      <c r="C2000" s="185">
        <v>1880.4</v>
      </c>
      <c r="D2000" s="185">
        <f t="shared" si="65"/>
        <v>-0.33421849275054433</v>
      </c>
      <c r="E2000" s="185">
        <v>-6.2886434497700493E-3</v>
      </c>
      <c r="F2000" s="171"/>
      <c r="G2000" s="171">
        <v>1997</v>
      </c>
      <c r="H2000" s="186">
        <f t="shared" ca="1" si="66"/>
        <v>8.3332502147324405E-3</v>
      </c>
    </row>
    <row r="2001" spans="2:8">
      <c r="B2001" s="36">
        <v>44340</v>
      </c>
      <c r="C2001" s="185">
        <v>2824.35</v>
      </c>
      <c r="D2001" s="185">
        <f t="shared" si="65"/>
        <v>2.3561285722773455</v>
      </c>
      <c r="E2001" s="185">
        <v>-6.2978274254552168E-3</v>
      </c>
      <c r="F2001" s="171"/>
      <c r="G2001" s="171">
        <v>1998</v>
      </c>
      <c r="H2001" s="186">
        <f t="shared" ca="1" si="66"/>
        <v>-6.9606341505128108E-3</v>
      </c>
    </row>
    <row r="2002" spans="2:8">
      <c r="B2002" s="36">
        <v>42389</v>
      </c>
      <c r="C2002" s="185">
        <v>841.55</v>
      </c>
      <c r="D2002" s="185">
        <f t="shared" si="65"/>
        <v>-0.68221811041462121</v>
      </c>
      <c r="E2002" s="185">
        <v>-6.3171566891014556E-3</v>
      </c>
      <c r="F2002" s="171"/>
      <c r="G2002" s="171">
        <v>1999</v>
      </c>
      <c r="H2002" s="186">
        <f t="shared" ca="1" si="66"/>
        <v>8.2361158821145936E-3</v>
      </c>
    </row>
    <row r="2003" spans="2:8">
      <c r="B2003" s="36">
        <v>46198</v>
      </c>
      <c r="C2003" s="185">
        <v>2648.2</v>
      </c>
      <c r="D2003" s="185">
        <f t="shared" si="65"/>
        <v>-6.8388095405614607E-2</v>
      </c>
      <c r="E2003" s="185">
        <v>-6.3412254699636381E-3</v>
      </c>
      <c r="F2003" s="171"/>
      <c r="G2003" s="171">
        <v>2000</v>
      </c>
      <c r="H2003" s="186">
        <f t="shared" ca="1" si="66"/>
        <v>-1.4488396554205302E-2</v>
      </c>
    </row>
    <row r="2004" spans="2:8">
      <c r="B2004" s="36">
        <v>44995</v>
      </c>
      <c r="C2004" s="185">
        <v>2842.6</v>
      </c>
      <c r="D2004" s="185">
        <f t="shared" si="65"/>
        <v>1.9913171396792367E-2</v>
      </c>
      <c r="E2004" s="185">
        <v>-6.3444900812724258E-3</v>
      </c>
      <c r="F2004" s="171"/>
      <c r="G2004" s="171">
        <v>2001</v>
      </c>
      <c r="H2004" s="186">
        <f t="shared" ca="1" si="66"/>
        <v>8.3387466205535922E-3</v>
      </c>
    </row>
    <row r="2005" spans="2:8">
      <c r="B2005" s="36">
        <v>46015</v>
      </c>
      <c r="C2005" s="185">
        <v>2787.1</v>
      </c>
      <c r="D2005" s="185">
        <f t="shared" si="65"/>
        <v>1.5458780543503081</v>
      </c>
      <c r="E2005" s="185">
        <v>-6.3460372918821284E-3</v>
      </c>
      <c r="F2005" s="171"/>
      <c r="G2005" s="171">
        <v>2002</v>
      </c>
      <c r="H2005" s="186">
        <f t="shared" ca="1" si="66"/>
        <v>1.5482506460603243E-3</v>
      </c>
    </row>
    <row r="2006" spans="2:8">
      <c r="B2006" s="36">
        <v>42879</v>
      </c>
      <c r="C2006" s="185">
        <v>1094.75</v>
      </c>
      <c r="D2006" s="185">
        <f t="shared" si="65"/>
        <v>-0.54194560669456071</v>
      </c>
      <c r="E2006" s="185">
        <v>-6.3986204392811356E-3</v>
      </c>
      <c r="F2006" s="171"/>
      <c r="G2006" s="171">
        <v>2003</v>
      </c>
      <c r="H2006" s="186">
        <f t="shared" ca="1" si="66"/>
        <v>2.2271651254083046E-2</v>
      </c>
    </row>
    <row r="2007" spans="2:8">
      <c r="B2007" s="36">
        <v>45856</v>
      </c>
      <c r="C2007" s="185">
        <v>2390</v>
      </c>
      <c r="D2007" s="185">
        <f t="shared" si="65"/>
        <v>1.7517126244890913</v>
      </c>
      <c r="E2007" s="185">
        <v>-6.4022615781159434E-3</v>
      </c>
      <c r="F2007" s="171"/>
      <c r="G2007" s="171">
        <v>2004</v>
      </c>
      <c r="H2007" s="186">
        <f t="shared" ca="1" si="66"/>
        <v>-1.8406401794203737E-2</v>
      </c>
    </row>
    <row r="2008" spans="2:8">
      <c r="B2008" s="36">
        <v>42730</v>
      </c>
      <c r="C2008" s="185">
        <v>868.55</v>
      </c>
      <c r="D2008" s="185">
        <f t="shared" si="65"/>
        <v>-0.37386007281115963</v>
      </c>
      <c r="E2008" s="185">
        <v>-6.4062231882400312E-3</v>
      </c>
      <c r="F2008" s="171"/>
      <c r="G2008" s="171">
        <v>2005</v>
      </c>
      <c r="H2008" s="186">
        <f t="shared" ca="1" si="66"/>
        <v>-1.8418256304403555E-2</v>
      </c>
    </row>
    <row r="2009" spans="2:8">
      <c r="B2009" s="36">
        <v>43637</v>
      </c>
      <c r="C2009" s="185">
        <v>1387.15</v>
      </c>
      <c r="D2009" s="185">
        <f t="shared" si="65"/>
        <v>-4.0433038184836623E-2</v>
      </c>
      <c r="E2009" s="185">
        <v>-6.4107155647874928E-3</v>
      </c>
      <c r="F2009" s="171"/>
      <c r="G2009" s="171">
        <v>2006</v>
      </c>
      <c r="H2009" s="186">
        <f t="shared" ca="1" si="66"/>
        <v>1.2826484139572067E-2</v>
      </c>
    </row>
    <row r="2010" spans="2:8">
      <c r="B2010" s="36">
        <v>43313</v>
      </c>
      <c r="C2010" s="185">
        <v>1445.6</v>
      </c>
      <c r="D2010" s="185">
        <f t="shared" si="65"/>
        <v>-0.28594714744381333</v>
      </c>
      <c r="E2010" s="185">
        <v>-6.4263376748342803E-3</v>
      </c>
      <c r="F2010" s="171"/>
      <c r="G2010" s="171">
        <v>2007</v>
      </c>
      <c r="H2010" s="186">
        <f t="shared" ca="1" si="66"/>
        <v>2.5109012665068882E-2</v>
      </c>
    </row>
    <row r="2011" spans="2:8">
      <c r="B2011" s="36">
        <v>44089</v>
      </c>
      <c r="C2011" s="185">
        <v>2024.5</v>
      </c>
      <c r="D2011" s="185">
        <f t="shared" si="65"/>
        <v>-0.34000554206262529</v>
      </c>
      <c r="E2011" s="185">
        <v>-6.4535126248374793E-3</v>
      </c>
      <c r="F2011" s="171"/>
      <c r="G2011" s="171">
        <v>2008</v>
      </c>
      <c r="H2011" s="186">
        <f t="shared" ca="1" si="66"/>
        <v>7.7494199896899702E-3</v>
      </c>
    </row>
    <row r="2012" spans="2:8">
      <c r="B2012" s="36">
        <v>44403</v>
      </c>
      <c r="C2012" s="185">
        <v>3067.45</v>
      </c>
      <c r="D2012" s="185">
        <f t="shared" si="65"/>
        <v>0.23508213883072956</v>
      </c>
      <c r="E2012" s="185">
        <v>-6.4617477489150327E-3</v>
      </c>
      <c r="F2012" s="171"/>
      <c r="G2012" s="171">
        <v>2009</v>
      </c>
      <c r="H2012" s="186">
        <f t="shared" ca="1" si="66"/>
        <v>-9.1564543315205589E-3</v>
      </c>
    </row>
    <row r="2013" spans="2:8">
      <c r="B2013" s="36">
        <v>45918</v>
      </c>
      <c r="C2013" s="185">
        <v>2483.6</v>
      </c>
      <c r="D2013" s="185">
        <f t="shared" si="65"/>
        <v>-0.23574483798504475</v>
      </c>
      <c r="E2013" s="185">
        <v>-6.4805184414754267E-3</v>
      </c>
      <c r="F2013" s="171"/>
      <c r="G2013" s="171">
        <v>2010</v>
      </c>
      <c r="H2013" s="186">
        <f t="shared" ca="1" si="66"/>
        <v>3.7494689766029606E-3</v>
      </c>
    </row>
    <row r="2014" spans="2:8">
      <c r="B2014" s="36">
        <v>44608</v>
      </c>
      <c r="C2014" s="185">
        <v>3249.7</v>
      </c>
      <c r="D2014" s="185">
        <f t="shared" si="65"/>
        <v>9.3942987386990502E-4</v>
      </c>
      <c r="E2014" s="185">
        <v>-6.4813965575224773E-3</v>
      </c>
      <c r="F2014" s="171"/>
      <c r="G2014" s="171">
        <v>2011</v>
      </c>
      <c r="H2014" s="186">
        <f t="shared" ca="1" si="66"/>
        <v>1.8548392999782389E-2</v>
      </c>
    </row>
    <row r="2015" spans="2:8">
      <c r="B2015" s="36">
        <v>45173</v>
      </c>
      <c r="C2015" s="185">
        <v>3246.65</v>
      </c>
      <c r="D2015" s="185">
        <f t="shared" si="65"/>
        <v>1.8599806201550386</v>
      </c>
      <c r="E2015" s="185">
        <v>-6.4874458741985769E-3</v>
      </c>
      <c r="F2015" s="171"/>
      <c r="G2015" s="171">
        <v>2012</v>
      </c>
      <c r="H2015" s="186">
        <f t="shared" ca="1" si="66"/>
        <v>-7.4971298613880086E-3</v>
      </c>
    </row>
    <row r="2016" spans="2:8">
      <c r="B2016" s="36">
        <v>42964</v>
      </c>
      <c r="C2016" s="185">
        <v>1135.2</v>
      </c>
      <c r="D2016" s="185">
        <f t="shared" si="65"/>
        <v>-0.45199131064446052</v>
      </c>
      <c r="E2016" s="185">
        <v>-6.5199317376274839E-3</v>
      </c>
      <c r="F2016" s="171"/>
      <c r="G2016" s="171">
        <v>2013</v>
      </c>
      <c r="H2016" s="186">
        <f t="shared" ca="1" si="66"/>
        <v>-5.4155423937518859E-3</v>
      </c>
    </row>
    <row r="2017" spans="2:8">
      <c r="B2017" s="36">
        <v>44117</v>
      </c>
      <c r="C2017" s="185">
        <v>2071.5</v>
      </c>
      <c r="D2017" s="185">
        <f t="shared" si="65"/>
        <v>-0.25165275820960226</v>
      </c>
      <c r="E2017" s="185">
        <v>-6.5462916336954608E-3</v>
      </c>
      <c r="F2017" s="171"/>
      <c r="G2017" s="171">
        <v>2014</v>
      </c>
      <c r="H2017" s="186">
        <f t="shared" ca="1" si="66"/>
        <v>-4.5072429723397329E-3</v>
      </c>
    </row>
    <row r="2018" spans="2:8">
      <c r="B2018" s="36">
        <v>46003</v>
      </c>
      <c r="C2018" s="185">
        <v>2768.1</v>
      </c>
      <c r="D2018" s="185">
        <f t="shared" si="65"/>
        <v>-0.12118229728871682</v>
      </c>
      <c r="E2018" s="185">
        <v>-6.5676141257537254E-3</v>
      </c>
      <c r="F2018" s="171"/>
      <c r="G2018" s="171">
        <v>2015</v>
      </c>
      <c r="H2018" s="186">
        <f t="shared" ca="1" si="66"/>
        <v>5.8475564880845288E-3</v>
      </c>
    </row>
    <row r="2019" spans="2:8">
      <c r="B2019" s="36">
        <v>44867</v>
      </c>
      <c r="C2019" s="185">
        <v>3149.8</v>
      </c>
      <c r="D2019" s="185">
        <f t="shared" si="65"/>
        <v>1.2150492264416317</v>
      </c>
      <c r="E2019" s="185">
        <v>-6.5759386876507687E-3</v>
      </c>
      <c r="F2019" s="171"/>
      <c r="G2019" s="171">
        <v>2016</v>
      </c>
      <c r="H2019" s="186">
        <f t="shared" ca="1" si="66"/>
        <v>1.3727172089228927E-2</v>
      </c>
    </row>
    <row r="2020" spans="2:8">
      <c r="B2020" s="36">
        <v>43321</v>
      </c>
      <c r="C2020" s="185">
        <v>1422</v>
      </c>
      <c r="D2020" s="185">
        <f t="shared" si="65"/>
        <v>-0.46833171315336869</v>
      </c>
      <c r="E2020" s="185">
        <v>-6.601697579377586E-3</v>
      </c>
      <c r="F2020" s="171"/>
      <c r="G2020" s="171">
        <v>2017</v>
      </c>
      <c r="H2020" s="186">
        <f t="shared" ca="1" si="66"/>
        <v>-7.465595871850709E-3</v>
      </c>
    </row>
    <row r="2021" spans="2:8">
      <c r="B2021" s="36">
        <v>46184</v>
      </c>
      <c r="C2021" s="185">
        <v>2674.6</v>
      </c>
      <c r="D2021" s="185">
        <f t="shared" si="65"/>
        <v>1.346963846963847</v>
      </c>
      <c r="E2021" s="185">
        <v>-6.6112019016491535E-3</v>
      </c>
      <c r="F2021" s="171"/>
      <c r="G2021" s="171">
        <v>2018</v>
      </c>
      <c r="H2021" s="186">
        <f t="shared" ca="1" si="66"/>
        <v>9.3159025273898861E-3</v>
      </c>
    </row>
    <row r="2022" spans="2:8">
      <c r="B2022" s="36">
        <v>42594</v>
      </c>
      <c r="C2022" s="185">
        <v>1139.5999999999999</v>
      </c>
      <c r="D2022" s="185">
        <f t="shared" si="65"/>
        <v>1.0059827165964909E-2</v>
      </c>
      <c r="E2022" s="185">
        <v>-6.624825662482685E-3</v>
      </c>
      <c r="F2022" s="171"/>
      <c r="G2022" s="171">
        <v>2019</v>
      </c>
      <c r="H2022" s="186">
        <f t="shared" ca="1" si="66"/>
        <v>-1.5766688758652364E-2</v>
      </c>
    </row>
    <row r="2023" spans="2:8">
      <c r="B2023" s="36">
        <v>42929</v>
      </c>
      <c r="C2023" s="185">
        <v>1128.25</v>
      </c>
      <c r="D2023" s="185">
        <f t="shared" si="65"/>
        <v>7.1412631109127427E-3</v>
      </c>
      <c r="E2023" s="185">
        <v>-6.6472970593413937E-3</v>
      </c>
      <c r="F2023" s="171"/>
      <c r="G2023" s="171">
        <v>2020</v>
      </c>
      <c r="H2023" s="186">
        <f t="shared" ca="1" si="66"/>
        <v>-2.0074919303071537E-2</v>
      </c>
    </row>
    <row r="2024" spans="2:8">
      <c r="B2024" s="36">
        <v>42606</v>
      </c>
      <c r="C2024" s="185">
        <v>1120.25</v>
      </c>
      <c r="D2024" s="185">
        <f t="shared" si="65"/>
        <v>-0.5117247090615874</v>
      </c>
      <c r="E2024" s="185">
        <v>-6.6504101086233653E-3</v>
      </c>
      <c r="F2024" s="171"/>
      <c r="G2024" s="171">
        <v>2021</v>
      </c>
      <c r="H2024" s="186">
        <f t="shared" ca="1" si="66"/>
        <v>-1.2385299513657478E-2</v>
      </c>
    </row>
    <row r="2025" spans="2:8">
      <c r="B2025" s="36">
        <v>45806</v>
      </c>
      <c r="C2025" s="185">
        <v>2294.3000000000002</v>
      </c>
      <c r="D2025" s="185">
        <f t="shared" si="65"/>
        <v>-5.859423084813907E-2</v>
      </c>
      <c r="E2025" s="185">
        <v>-6.6675325799885861E-3</v>
      </c>
      <c r="F2025" s="171"/>
      <c r="G2025" s="171">
        <v>2022</v>
      </c>
      <c r="H2025" s="186">
        <f t="shared" ca="1" si="66"/>
        <v>1.579720240979738E-2</v>
      </c>
    </row>
    <row r="2026" spans="2:8">
      <c r="B2026" s="36">
        <v>45777</v>
      </c>
      <c r="C2026" s="185">
        <v>2437.1</v>
      </c>
      <c r="D2026" s="185">
        <f t="shared" si="65"/>
        <v>0.37607633889500575</v>
      </c>
      <c r="E2026" s="185">
        <v>-6.6843285102914573E-3</v>
      </c>
      <c r="F2026" s="171"/>
      <c r="G2026" s="171">
        <v>2023</v>
      </c>
      <c r="H2026" s="186">
        <f t="shared" ca="1" si="66"/>
        <v>-2.3363537597518953E-3</v>
      </c>
    </row>
    <row r="2027" spans="2:8">
      <c r="B2027" s="36">
        <v>43761</v>
      </c>
      <c r="C2027" s="185">
        <v>1771.05</v>
      </c>
      <c r="D2027" s="185">
        <f t="shared" si="65"/>
        <v>0.53317750941436159</v>
      </c>
      <c r="E2027" s="185">
        <v>-6.7021873247336203E-3</v>
      </c>
      <c r="F2027" s="171"/>
      <c r="G2027" s="171">
        <v>2024</v>
      </c>
      <c r="H2027" s="186">
        <f t="shared" ca="1" si="66"/>
        <v>3.478248363997305E-4</v>
      </c>
    </row>
    <row r="2028" spans="2:8">
      <c r="B2028" s="36">
        <v>43216</v>
      </c>
      <c r="C2028" s="185">
        <v>1155.1500000000001</v>
      </c>
      <c r="D2028" s="185">
        <f t="shared" si="65"/>
        <v>-3.0222893842085378E-2</v>
      </c>
      <c r="E2028" s="185">
        <v>-6.7070811298851661E-3</v>
      </c>
      <c r="F2028" s="171"/>
      <c r="G2028" s="171">
        <v>2025</v>
      </c>
      <c r="H2028" s="186">
        <f t="shared" ca="1" si="66"/>
        <v>1.2057998348193004E-2</v>
      </c>
    </row>
    <row r="2029" spans="2:8">
      <c r="B2029" s="36">
        <v>43399</v>
      </c>
      <c r="C2029" s="185">
        <v>1191.1500000000001</v>
      </c>
      <c r="D2029" s="185">
        <f t="shared" si="65"/>
        <v>-0.62443838380653605</v>
      </c>
      <c r="E2029" s="185">
        <v>-6.7542213883676544E-3</v>
      </c>
      <c r="F2029" s="171"/>
      <c r="G2029" s="171">
        <v>2026</v>
      </c>
      <c r="H2029" s="186">
        <f t="shared" ca="1" si="66"/>
        <v>-7.5536565153399094E-3</v>
      </c>
    </row>
    <row r="2030" spans="2:8">
      <c r="B2030" s="36">
        <v>45156</v>
      </c>
      <c r="C2030" s="185">
        <v>3171.65</v>
      </c>
      <c r="D2030" s="185">
        <f t="shared" si="65"/>
        <v>1.335788194572302</v>
      </c>
      <c r="E2030" s="185">
        <v>-6.7798202486456299E-3</v>
      </c>
      <c r="F2030" s="171"/>
      <c r="G2030" s="171">
        <v>2027</v>
      </c>
      <c r="H2030" s="186">
        <f t="shared" ca="1" si="66"/>
        <v>6.73147404667232E-3</v>
      </c>
    </row>
    <row r="2031" spans="2:8">
      <c r="B2031" s="36">
        <v>43614</v>
      </c>
      <c r="C2031" s="185">
        <v>1357.85</v>
      </c>
      <c r="D2031" s="185">
        <f t="shared" si="65"/>
        <v>-0.5337854077253219</v>
      </c>
      <c r="E2031" s="185">
        <v>-6.8024722963831189E-3</v>
      </c>
      <c r="F2031" s="171"/>
      <c r="G2031" s="171">
        <v>2028</v>
      </c>
      <c r="H2031" s="186">
        <f t="shared" ca="1" si="66"/>
        <v>2.4222754539189251E-2</v>
      </c>
    </row>
    <row r="2032" spans="2:8">
      <c r="B2032" s="36">
        <v>45600</v>
      </c>
      <c r="C2032" s="185">
        <v>2912.5</v>
      </c>
      <c r="D2032" s="185">
        <f t="shared" si="65"/>
        <v>1.362220690214526</v>
      </c>
      <c r="E2032" s="185">
        <v>-6.8031850500434171E-3</v>
      </c>
      <c r="F2032" s="171"/>
      <c r="G2032" s="171">
        <v>2029</v>
      </c>
      <c r="H2032" s="186">
        <f t="shared" ca="1" si="66"/>
        <v>-1.7177908189269696E-2</v>
      </c>
    </row>
    <row r="2033" spans="2:8">
      <c r="B2033" s="36">
        <v>42999</v>
      </c>
      <c r="C2033" s="185">
        <v>1232.95</v>
      </c>
      <c r="D2033" s="185">
        <f t="shared" si="65"/>
        <v>-0.58262385538497996</v>
      </c>
      <c r="E2033" s="185">
        <v>-6.8068309972611927E-3</v>
      </c>
      <c r="F2033" s="171"/>
      <c r="G2033" s="171">
        <v>2030</v>
      </c>
      <c r="H2033" s="186">
        <f t="shared" ca="1" si="66"/>
        <v>-1.9770013415452245E-2</v>
      </c>
    </row>
    <row r="2034" spans="2:8">
      <c r="B2034" s="36">
        <v>44937</v>
      </c>
      <c r="C2034" s="185">
        <v>2954.05</v>
      </c>
      <c r="D2034" s="185">
        <f t="shared" si="65"/>
        <v>-4.1344172386376429E-2</v>
      </c>
      <c r="E2034" s="185">
        <v>-6.8083246478162921E-3</v>
      </c>
      <c r="F2034" s="171"/>
      <c r="G2034" s="171">
        <v>2031</v>
      </c>
      <c r="H2034" s="186">
        <f t="shared" ca="1" si="66"/>
        <v>6.1260590780115951E-3</v>
      </c>
    </row>
    <row r="2035" spans="2:8">
      <c r="B2035" s="36">
        <v>44686</v>
      </c>
      <c r="C2035" s="185">
        <v>3081.45</v>
      </c>
      <c r="D2035" s="185">
        <f t="shared" si="65"/>
        <v>0.31900094170019694</v>
      </c>
      <c r="E2035" s="185">
        <v>-6.8808817841950372E-3</v>
      </c>
      <c r="F2035" s="171"/>
      <c r="G2035" s="171">
        <v>2032</v>
      </c>
      <c r="H2035" s="186">
        <f t="shared" ca="1" si="66"/>
        <v>-5.2213839129804859E-3</v>
      </c>
    </row>
    <row r="2036" spans="2:8">
      <c r="B2036" s="36">
        <v>45863</v>
      </c>
      <c r="C2036" s="185">
        <v>2336.1999999999998</v>
      </c>
      <c r="D2036" s="185">
        <f t="shared" si="65"/>
        <v>1.6558290229068378</v>
      </c>
      <c r="E2036" s="185">
        <v>-6.8865839143004044E-3</v>
      </c>
      <c r="F2036" s="171"/>
      <c r="G2036" s="171">
        <v>2033</v>
      </c>
      <c r="H2036" s="186">
        <f t="shared" ca="1" si="66"/>
        <v>-1.7368836082635439E-2</v>
      </c>
    </row>
    <row r="2037" spans="2:8">
      <c r="B2037" s="36">
        <v>42219</v>
      </c>
      <c r="C2037" s="185">
        <v>879.65</v>
      </c>
      <c r="D2037" s="185">
        <f t="shared" si="65"/>
        <v>-0.63189940159852698</v>
      </c>
      <c r="E2037" s="185">
        <v>-6.8868190798758375E-3</v>
      </c>
      <c r="F2037" s="171"/>
      <c r="G2037" s="171">
        <v>2034</v>
      </c>
      <c r="H2037" s="186">
        <f t="shared" ca="1" si="66"/>
        <v>1.172037285388919E-2</v>
      </c>
    </row>
    <row r="2038" spans="2:8">
      <c r="B2038" s="36">
        <v>46080</v>
      </c>
      <c r="C2038" s="185">
        <v>2389.6999999999998</v>
      </c>
      <c r="D2038" s="185">
        <f t="shared" si="65"/>
        <v>-0.15904492108458124</v>
      </c>
      <c r="E2038" s="185">
        <v>-6.8985579520427056E-3</v>
      </c>
      <c r="F2038" s="171"/>
      <c r="G2038" s="171">
        <v>2035</v>
      </c>
      <c r="H2038" s="186">
        <f t="shared" ca="1" si="66"/>
        <v>-6.618970678611235E-3</v>
      </c>
    </row>
    <row r="2039" spans="2:8">
      <c r="B2039" s="36">
        <v>45447</v>
      </c>
      <c r="C2039" s="185">
        <v>2841.65</v>
      </c>
      <c r="D2039" s="185">
        <f t="shared" si="65"/>
        <v>-8.3442192010579397E-2</v>
      </c>
      <c r="E2039" s="185">
        <v>-6.9022156986090722E-3</v>
      </c>
      <c r="F2039" s="171"/>
      <c r="G2039" s="171">
        <v>2036</v>
      </c>
      <c r="H2039" s="186">
        <f t="shared" ca="1" si="66"/>
        <v>1.3739899810179467E-2</v>
      </c>
    </row>
    <row r="2040" spans="2:8">
      <c r="B2040" s="36">
        <v>45217</v>
      </c>
      <c r="C2040" s="185">
        <v>3100.35</v>
      </c>
      <c r="D2040" s="185">
        <f t="shared" si="65"/>
        <v>1.2759038355661589</v>
      </c>
      <c r="E2040" s="185">
        <v>-6.918752702637746E-3</v>
      </c>
      <c r="F2040" s="171"/>
      <c r="G2040" s="171">
        <v>2037</v>
      </c>
      <c r="H2040" s="186">
        <f t="shared" ca="1" si="66"/>
        <v>1.0665218017426818E-2</v>
      </c>
    </row>
    <row r="2041" spans="2:8">
      <c r="B2041" s="36">
        <v>43292</v>
      </c>
      <c r="C2041" s="185">
        <v>1362.25</v>
      </c>
      <c r="D2041" s="185">
        <f t="shared" si="65"/>
        <v>-0.54472536470430966</v>
      </c>
      <c r="E2041" s="185">
        <v>-6.9254601786039732E-3</v>
      </c>
      <c r="F2041" s="171"/>
      <c r="G2041" s="171">
        <v>2038</v>
      </c>
      <c r="H2041" s="186">
        <f t="shared" ca="1" si="66"/>
        <v>-1.6309210217332396E-2</v>
      </c>
    </row>
    <row r="2042" spans="2:8">
      <c r="B2042" s="36">
        <v>44370</v>
      </c>
      <c r="C2042" s="185">
        <v>2992.15</v>
      </c>
      <c r="D2042" s="185">
        <f t="shared" si="65"/>
        <v>1.6357910500352359</v>
      </c>
      <c r="E2042" s="185">
        <v>-6.9364929224540219E-3</v>
      </c>
      <c r="F2042" s="171"/>
      <c r="G2042" s="171">
        <v>2039</v>
      </c>
      <c r="H2042" s="186">
        <f t="shared" ca="1" si="66"/>
        <v>-1.0834661856479964E-2</v>
      </c>
    </row>
    <row r="2043" spans="2:8">
      <c r="B2043" s="36">
        <v>42968</v>
      </c>
      <c r="C2043" s="185">
        <v>1135.2</v>
      </c>
      <c r="D2043" s="185">
        <f t="shared" si="65"/>
        <v>-0.54433428330590461</v>
      </c>
      <c r="E2043" s="185">
        <v>-6.9544679175961551E-3</v>
      </c>
      <c r="F2043" s="171"/>
      <c r="G2043" s="171">
        <v>2040</v>
      </c>
      <c r="H2043" s="186">
        <f t="shared" ca="1" si="66"/>
        <v>-5.8586441236541838E-3</v>
      </c>
    </row>
    <row r="2044" spans="2:8">
      <c r="B2044" s="36">
        <v>45894</v>
      </c>
      <c r="C2044" s="185">
        <v>2491.3000000000002</v>
      </c>
      <c r="D2044" s="185">
        <f t="shared" si="65"/>
        <v>-0.22702451132485257</v>
      </c>
      <c r="E2044" s="185">
        <v>-6.9754464285714281E-3</v>
      </c>
      <c r="F2044" s="171"/>
      <c r="G2044" s="171">
        <v>2041</v>
      </c>
      <c r="H2044" s="186">
        <f t="shared" ca="1" si="66"/>
        <v>1.3879909753224031E-2</v>
      </c>
    </row>
    <row r="2045" spans="2:8">
      <c r="B2045" s="36">
        <v>44614</v>
      </c>
      <c r="C2045" s="185">
        <v>3223</v>
      </c>
      <c r="D2045" s="185">
        <f t="shared" si="65"/>
        <v>0.11845643988687034</v>
      </c>
      <c r="E2045" s="185">
        <v>-7.0091658322421627E-3</v>
      </c>
      <c r="F2045" s="171"/>
      <c r="G2045" s="171">
        <v>2042</v>
      </c>
      <c r="H2045" s="186">
        <f t="shared" ca="1" si="66"/>
        <v>6.447349034738553E-4</v>
      </c>
    </row>
    <row r="2046" spans="2:8">
      <c r="B2046" s="36">
        <v>44715</v>
      </c>
      <c r="C2046" s="185">
        <v>2881.65</v>
      </c>
      <c r="D2046" s="185">
        <f t="shared" si="65"/>
        <v>2.4025859015232025</v>
      </c>
      <c r="E2046" s="185">
        <v>-7.0466214120808446E-3</v>
      </c>
      <c r="F2046" s="171"/>
      <c r="G2046" s="171">
        <v>2043</v>
      </c>
      <c r="H2046" s="186">
        <f t="shared" ca="1" si="66"/>
        <v>1.248047054411479E-2</v>
      </c>
    </row>
    <row r="2047" spans="2:8">
      <c r="B2047" s="36">
        <v>42388</v>
      </c>
      <c r="C2047" s="185">
        <v>846.9</v>
      </c>
      <c r="D2047" s="185">
        <f t="shared" si="65"/>
        <v>-0.14678621801329844</v>
      </c>
      <c r="E2047" s="185">
        <v>-7.0930300721027822E-3</v>
      </c>
      <c r="F2047" s="171"/>
      <c r="G2047" s="171">
        <v>2044</v>
      </c>
      <c r="H2047" s="186">
        <f t="shared" ca="1" si="66"/>
        <v>1.6211408964022601E-2</v>
      </c>
    </row>
    <row r="2048" spans="2:8">
      <c r="B2048" s="36">
        <v>42531</v>
      </c>
      <c r="C2048" s="185">
        <v>992.6</v>
      </c>
      <c r="D2048" s="185">
        <f t="shared" si="65"/>
        <v>-0.64934468506023246</v>
      </c>
      <c r="E2048" s="185">
        <v>-7.1021306391917801E-3</v>
      </c>
      <c r="F2048" s="171"/>
      <c r="G2048" s="171">
        <v>2045</v>
      </c>
      <c r="H2048" s="186">
        <f t="shared" ca="1" si="66"/>
        <v>-4.4987564289665884E-3</v>
      </c>
    </row>
    <row r="2049" spans="2:8">
      <c r="B2049" s="36">
        <v>45377</v>
      </c>
      <c r="C2049" s="185">
        <v>2830.7</v>
      </c>
      <c r="D2049" s="185">
        <f t="shared" si="65"/>
        <v>1.201508788303002</v>
      </c>
      <c r="E2049" s="185">
        <v>-7.1028955260527193E-3</v>
      </c>
      <c r="F2049" s="171"/>
      <c r="G2049" s="171">
        <v>2046</v>
      </c>
      <c r="H2049" s="186">
        <f t="shared" ca="1" si="66"/>
        <v>3.0379992752444521E-2</v>
      </c>
    </row>
    <row r="2050" spans="2:8">
      <c r="B2050" s="36">
        <v>43374</v>
      </c>
      <c r="C2050" s="185">
        <v>1285.8</v>
      </c>
      <c r="D2050" s="185">
        <f t="shared" si="65"/>
        <v>0.28509319874069261</v>
      </c>
      <c r="E2050" s="185">
        <v>-7.1042471042471397E-3</v>
      </c>
      <c r="F2050" s="171"/>
      <c r="G2050" s="171">
        <v>2047</v>
      </c>
      <c r="H2050" s="186">
        <f t="shared" ca="1" si="66"/>
        <v>-8.2209863468290702E-3</v>
      </c>
    </row>
    <row r="2051" spans="2:8">
      <c r="B2051" s="36">
        <v>42538</v>
      </c>
      <c r="C2051" s="185">
        <v>1000.55</v>
      </c>
      <c r="D2051" s="185">
        <f t="shared" si="65"/>
        <v>-0.4044876945510818</v>
      </c>
      <c r="E2051" s="185">
        <v>-7.1446291242868226E-3</v>
      </c>
      <c r="F2051" s="171"/>
      <c r="G2051" s="171">
        <v>2048</v>
      </c>
      <c r="H2051" s="186">
        <f t="shared" ca="1" si="66"/>
        <v>4.8169630487411297E-3</v>
      </c>
    </row>
    <row r="2052" spans="2:8">
      <c r="B2052" s="36">
        <v>44012</v>
      </c>
      <c r="C2052" s="185">
        <v>1680.15</v>
      </c>
      <c r="D2052" s="185">
        <f t="shared" ref="D2052:D2115" si="67">(C2052-C2053)/C2053</f>
        <v>-0.41628016050862471</v>
      </c>
      <c r="E2052" s="185">
        <v>-7.1502437583098885E-3</v>
      </c>
      <c r="F2052" s="171"/>
      <c r="G2052" s="171">
        <v>2049</v>
      </c>
      <c r="H2052" s="186">
        <f t="shared" ca="1" si="66"/>
        <v>1.7332854598486606E-2</v>
      </c>
    </row>
    <row r="2053" spans="2:8">
      <c r="B2053" s="36">
        <v>45366</v>
      </c>
      <c r="C2053" s="185">
        <v>2878.35</v>
      </c>
      <c r="D2053" s="185">
        <f t="shared" si="67"/>
        <v>1.2161223071574324E-4</v>
      </c>
      <c r="E2053" s="185">
        <v>-7.1573936738987968E-3</v>
      </c>
      <c r="F2053" s="171"/>
      <c r="G2053" s="171">
        <v>2050</v>
      </c>
      <c r="H2053" s="186">
        <f t="shared" ref="H2053:H2116" ca="1" si="68">_xlfn.NORM.INV(RAND(),N$6,N$7)</f>
        <v>-4.1649624025128403E-3</v>
      </c>
    </row>
    <row r="2054" spans="2:8">
      <c r="B2054" s="36">
        <v>45978</v>
      </c>
      <c r="C2054" s="185">
        <v>2878</v>
      </c>
      <c r="D2054" s="185">
        <f t="shared" si="67"/>
        <v>2.426190476190476</v>
      </c>
      <c r="E2054" s="185">
        <v>-7.1753829170691941E-3</v>
      </c>
      <c r="F2054" s="171"/>
      <c r="G2054" s="171">
        <v>2051</v>
      </c>
      <c r="H2054" s="186">
        <f t="shared" ca="1" si="68"/>
        <v>-8.1165245118320264E-3</v>
      </c>
    </row>
    <row r="2055" spans="2:8">
      <c r="B2055" s="36">
        <v>42342</v>
      </c>
      <c r="C2055" s="185">
        <v>840</v>
      </c>
      <c r="D2055" s="185">
        <f t="shared" si="67"/>
        <v>-0.35047361299052776</v>
      </c>
      <c r="E2055" s="185">
        <v>-7.2095496986172118E-3</v>
      </c>
      <c r="F2055" s="171"/>
      <c r="G2055" s="171">
        <v>2052</v>
      </c>
      <c r="H2055" s="186">
        <f t="shared" ca="1" si="68"/>
        <v>-1.1061784340285917E-2</v>
      </c>
    </row>
    <row r="2056" spans="2:8">
      <c r="B2056" s="36">
        <v>43252</v>
      </c>
      <c r="C2056" s="185">
        <v>1293.25</v>
      </c>
      <c r="D2056" s="185">
        <f t="shared" si="67"/>
        <v>0.11998787563869399</v>
      </c>
      <c r="E2056" s="185">
        <v>-7.2160595708748243E-3</v>
      </c>
      <c r="F2056" s="171"/>
      <c r="G2056" s="171">
        <v>2053</v>
      </c>
      <c r="H2056" s="186">
        <f t="shared" ca="1" si="68"/>
        <v>7.4156517542942209E-4</v>
      </c>
    </row>
    <row r="2057" spans="2:8">
      <c r="B2057" s="36">
        <v>42954</v>
      </c>
      <c r="C2057" s="185">
        <v>1154.7</v>
      </c>
      <c r="D2057" s="185">
        <f t="shared" si="67"/>
        <v>-0.61515772634104882</v>
      </c>
      <c r="E2057" s="185">
        <v>-7.2220789270052996E-3</v>
      </c>
      <c r="F2057" s="171"/>
      <c r="G2057" s="171">
        <v>2054</v>
      </c>
      <c r="H2057" s="186">
        <f t="shared" ca="1" si="68"/>
        <v>7.0559639862184005E-3</v>
      </c>
    </row>
    <row r="2058" spans="2:8">
      <c r="B2058" s="36">
        <v>44413</v>
      </c>
      <c r="C2058" s="185">
        <v>3000.45</v>
      </c>
      <c r="D2058" s="185">
        <f t="shared" si="67"/>
        <v>0.52574305255396503</v>
      </c>
      <c r="E2058" s="185">
        <v>-7.229593356053457E-3</v>
      </c>
      <c r="F2058" s="171"/>
      <c r="G2058" s="171">
        <v>2055</v>
      </c>
      <c r="H2058" s="186">
        <f t="shared" ca="1" si="68"/>
        <v>-2.3196000291885996E-2</v>
      </c>
    </row>
    <row r="2059" spans="2:8">
      <c r="B2059" s="36">
        <v>44078</v>
      </c>
      <c r="C2059" s="185">
        <v>1966.55</v>
      </c>
      <c r="D2059" s="185">
        <f t="shared" si="67"/>
        <v>1.2446638511585433</v>
      </c>
      <c r="E2059" s="185">
        <v>-7.2441819375032241E-3</v>
      </c>
      <c r="F2059" s="171"/>
      <c r="G2059" s="171">
        <v>2056</v>
      </c>
      <c r="H2059" s="186">
        <f t="shared" ca="1" si="68"/>
        <v>-3.8211758118454724E-2</v>
      </c>
    </row>
    <row r="2060" spans="2:8">
      <c r="B2060" s="36">
        <v>42359</v>
      </c>
      <c r="C2060" s="185">
        <v>876.1</v>
      </c>
      <c r="D2060" s="185">
        <f t="shared" si="67"/>
        <v>-0.23644762070768699</v>
      </c>
      <c r="E2060" s="185">
        <v>-7.2521246458923253E-3</v>
      </c>
      <c r="F2060" s="171"/>
      <c r="G2060" s="171">
        <v>2057</v>
      </c>
      <c r="H2060" s="186">
        <f t="shared" ca="1" si="68"/>
        <v>2.9548249443619588E-2</v>
      </c>
    </row>
    <row r="2061" spans="2:8">
      <c r="B2061" s="36">
        <v>43069</v>
      </c>
      <c r="C2061" s="185">
        <v>1147.4000000000001</v>
      </c>
      <c r="D2061" s="185">
        <f t="shared" si="67"/>
        <v>-0.6409999687118676</v>
      </c>
      <c r="E2061" s="185">
        <v>-7.2676933725556881E-3</v>
      </c>
      <c r="F2061" s="171"/>
      <c r="G2061" s="171">
        <v>2058</v>
      </c>
      <c r="H2061" s="186">
        <f t="shared" ca="1" si="68"/>
        <v>-6.0488078640902516E-4</v>
      </c>
    </row>
    <row r="2062" spans="2:8">
      <c r="B2062" s="36">
        <v>44848</v>
      </c>
      <c r="C2062" s="185">
        <v>3196.1</v>
      </c>
      <c r="D2062" s="185">
        <f t="shared" si="67"/>
        <v>7.3597581457843439E-2</v>
      </c>
      <c r="E2062" s="185">
        <v>-7.2682093492778665E-3</v>
      </c>
      <c r="F2062" s="171"/>
      <c r="G2062" s="171">
        <v>2059</v>
      </c>
      <c r="H2062" s="186">
        <f t="shared" ca="1" si="68"/>
        <v>-1.4483021573607582E-2</v>
      </c>
    </row>
    <row r="2063" spans="2:8">
      <c r="B2063" s="36">
        <v>45321</v>
      </c>
      <c r="C2063" s="185">
        <v>2977</v>
      </c>
      <c r="D2063" s="185">
        <f t="shared" si="67"/>
        <v>1.1498465426972377</v>
      </c>
      <c r="E2063" s="185">
        <v>-7.2695744964653133E-3</v>
      </c>
      <c r="F2063" s="171"/>
      <c r="G2063" s="171">
        <v>2060</v>
      </c>
      <c r="H2063" s="186">
        <f t="shared" ca="1" si="68"/>
        <v>7.3480069819525772E-3</v>
      </c>
    </row>
    <row r="2064" spans="2:8">
      <c r="B2064" s="36">
        <v>43664</v>
      </c>
      <c r="C2064" s="185">
        <v>1384.75</v>
      </c>
      <c r="D2064" s="185">
        <f t="shared" si="67"/>
        <v>-4.1728659907961631E-2</v>
      </c>
      <c r="E2064" s="185">
        <v>-7.2765072765073411E-3</v>
      </c>
      <c r="F2064" s="171"/>
      <c r="G2064" s="171">
        <v>2061</v>
      </c>
      <c r="H2064" s="186">
        <f t="shared" ca="1" si="68"/>
        <v>-1.7144414368022889E-3</v>
      </c>
    </row>
    <row r="2065" spans="2:8">
      <c r="B2065" s="36">
        <v>43507</v>
      </c>
      <c r="C2065" s="185">
        <v>1445.05</v>
      </c>
      <c r="D2065" s="185">
        <f t="shared" si="67"/>
        <v>0.30208145611821952</v>
      </c>
      <c r="E2065" s="185">
        <v>-7.2819702538385843E-3</v>
      </c>
      <c r="F2065" s="171"/>
      <c r="G2065" s="171">
        <v>2062</v>
      </c>
      <c r="H2065" s="186">
        <f t="shared" ca="1" si="68"/>
        <v>-9.0258839167914676E-3</v>
      </c>
    </row>
    <row r="2066" spans="2:8">
      <c r="B2066" s="36">
        <v>43154</v>
      </c>
      <c r="C2066" s="185">
        <v>1109.8</v>
      </c>
      <c r="D2066" s="185">
        <f t="shared" si="67"/>
        <v>-0.62740259522250763</v>
      </c>
      <c r="E2066" s="185">
        <v>-7.2901292544390092E-3</v>
      </c>
      <c r="F2066" s="171"/>
      <c r="G2066" s="171">
        <v>2063</v>
      </c>
      <c r="H2066" s="186">
        <f t="shared" ca="1" si="68"/>
        <v>-2.1872458416407931E-3</v>
      </c>
    </row>
    <row r="2067" spans="2:8">
      <c r="B2067" s="36">
        <v>44414</v>
      </c>
      <c r="C2067" s="185">
        <v>2978.55</v>
      </c>
      <c r="D2067" s="185">
        <f t="shared" si="67"/>
        <v>-1.8146756329113833E-2</v>
      </c>
      <c r="E2067" s="185">
        <v>-7.298905164225245E-3</v>
      </c>
      <c r="F2067" s="171"/>
      <c r="G2067" s="171">
        <v>2064</v>
      </c>
      <c r="H2067" s="186">
        <f t="shared" ca="1" si="68"/>
        <v>3.1012781996444926E-3</v>
      </c>
    </row>
    <row r="2068" spans="2:8">
      <c r="B2068" s="36">
        <v>44648</v>
      </c>
      <c r="C2068" s="185">
        <v>3033.6</v>
      </c>
      <c r="D2068" s="185">
        <f t="shared" si="67"/>
        <v>-4.2499802730213872E-2</v>
      </c>
      <c r="E2068" s="185">
        <v>-7.3136013351003488E-3</v>
      </c>
      <c r="F2068" s="171"/>
      <c r="G2068" s="171">
        <v>2065</v>
      </c>
      <c r="H2068" s="186">
        <f t="shared" ca="1" si="68"/>
        <v>1.5853296709274996E-2</v>
      </c>
    </row>
    <row r="2069" spans="2:8">
      <c r="B2069" s="36">
        <v>44489</v>
      </c>
      <c r="C2069" s="185">
        <v>3168.25</v>
      </c>
      <c r="D2069" s="185">
        <f t="shared" si="67"/>
        <v>-2.5228828551649873E-2</v>
      </c>
      <c r="E2069" s="185">
        <v>-7.3160797092367185E-3</v>
      </c>
      <c r="F2069" s="171"/>
      <c r="G2069" s="171">
        <v>2066</v>
      </c>
      <c r="H2069" s="186">
        <f t="shared" ca="1" si="68"/>
        <v>2.6294243115831797E-2</v>
      </c>
    </row>
    <row r="2070" spans="2:8">
      <c r="B2070" s="36">
        <v>45268</v>
      </c>
      <c r="C2070" s="185">
        <v>3250.25</v>
      </c>
      <c r="D2070" s="185">
        <f t="shared" si="67"/>
        <v>0.43353327746659009</v>
      </c>
      <c r="E2070" s="185">
        <v>-7.3299228831030004E-3</v>
      </c>
      <c r="F2070" s="171"/>
      <c r="G2070" s="171">
        <v>2067</v>
      </c>
      <c r="H2070" s="186">
        <f t="shared" ca="1" si="68"/>
        <v>-6.4040069321971357E-3</v>
      </c>
    </row>
    <row r="2071" spans="2:8">
      <c r="B2071" s="36">
        <v>45681</v>
      </c>
      <c r="C2071" s="185">
        <v>2267.3000000000002</v>
      </c>
      <c r="D2071" s="185">
        <f t="shared" si="67"/>
        <v>0.61955784135147696</v>
      </c>
      <c r="E2071" s="185">
        <v>-7.3334646789693743E-3</v>
      </c>
      <c r="F2071" s="171"/>
      <c r="G2071" s="171">
        <v>2068</v>
      </c>
      <c r="H2071" s="186">
        <f t="shared" ca="1" si="68"/>
        <v>9.3191642962681225E-3</v>
      </c>
    </row>
    <row r="2072" spans="2:8">
      <c r="B2072" s="36">
        <v>43488</v>
      </c>
      <c r="C2072" s="185">
        <v>1399.95</v>
      </c>
      <c r="D2072" s="185">
        <f t="shared" si="67"/>
        <v>4.5753342795249119E-2</v>
      </c>
      <c r="E2072" s="185">
        <v>-7.3388640714740902E-3</v>
      </c>
      <c r="F2072" s="171"/>
      <c r="G2072" s="171">
        <v>2069</v>
      </c>
      <c r="H2072" s="186">
        <f t="shared" ca="1" si="68"/>
        <v>4.1314383750447005E-3</v>
      </c>
    </row>
    <row r="2073" spans="2:8">
      <c r="B2073" s="36">
        <v>43598</v>
      </c>
      <c r="C2073" s="185">
        <v>1338.7</v>
      </c>
      <c r="D2073" s="185">
        <f t="shared" si="67"/>
        <v>-0.46295181931239215</v>
      </c>
      <c r="E2073" s="185">
        <v>-7.3409461663946794E-3</v>
      </c>
      <c r="F2073" s="171"/>
      <c r="G2073" s="171">
        <v>2070</v>
      </c>
      <c r="H2073" s="186">
        <f t="shared" ca="1" si="68"/>
        <v>-4.0806547365372986E-3</v>
      </c>
    </row>
    <row r="2074" spans="2:8">
      <c r="B2074" s="36">
        <v>45623</v>
      </c>
      <c r="C2074" s="185">
        <v>2492.6999999999998</v>
      </c>
      <c r="D2074" s="185">
        <f t="shared" si="67"/>
        <v>3.5905747413040617E-2</v>
      </c>
      <c r="E2074" s="185">
        <v>-7.3669958585536799E-3</v>
      </c>
      <c r="F2074" s="171"/>
      <c r="G2074" s="171">
        <v>2071</v>
      </c>
      <c r="H2074" s="186">
        <f t="shared" ca="1" si="68"/>
        <v>4.0784765781557031E-3</v>
      </c>
    </row>
    <row r="2075" spans="2:8">
      <c r="B2075" s="36">
        <v>46079</v>
      </c>
      <c r="C2075" s="185">
        <v>2406.3000000000002</v>
      </c>
      <c r="D2075" s="185">
        <f t="shared" si="67"/>
        <v>-0.16041241429842465</v>
      </c>
      <c r="E2075" s="185">
        <v>-7.3838792178861634E-3</v>
      </c>
      <c r="F2075" s="171"/>
      <c r="G2075" s="171">
        <v>2072</v>
      </c>
      <c r="H2075" s="186">
        <f t="shared" ca="1" si="68"/>
        <v>2.2404464979945797E-2</v>
      </c>
    </row>
    <row r="2076" spans="2:8">
      <c r="B2076" s="36">
        <v>45364</v>
      </c>
      <c r="C2076" s="185">
        <v>2866.05</v>
      </c>
      <c r="D2076" s="185">
        <f t="shared" si="67"/>
        <v>-7.1649526277431305E-2</v>
      </c>
      <c r="E2076" s="185">
        <v>-7.3941954699729548E-3</v>
      </c>
      <c r="F2076" s="171"/>
      <c r="G2076" s="171">
        <v>2073</v>
      </c>
      <c r="H2076" s="186">
        <f t="shared" ca="1" si="68"/>
        <v>-9.4859876650410686E-3</v>
      </c>
    </row>
    <row r="2077" spans="2:8">
      <c r="B2077" s="36">
        <v>45065</v>
      </c>
      <c r="C2077" s="185">
        <v>3087.25</v>
      </c>
      <c r="D2077" s="185">
        <f t="shared" si="67"/>
        <v>0.28844789449522146</v>
      </c>
      <c r="E2077" s="185">
        <v>-7.3949039466280845E-3</v>
      </c>
      <c r="F2077" s="171"/>
      <c r="G2077" s="171">
        <v>2074</v>
      </c>
      <c r="H2077" s="186">
        <f t="shared" ca="1" si="68"/>
        <v>1.639622018958924E-2</v>
      </c>
    </row>
    <row r="2078" spans="2:8">
      <c r="B2078" s="36">
        <v>45869</v>
      </c>
      <c r="C2078" s="185">
        <v>2396.1</v>
      </c>
      <c r="D2078" s="185">
        <f t="shared" si="67"/>
        <v>0.70553064275037347</v>
      </c>
      <c r="E2078" s="185">
        <v>-7.4150787075393911E-3</v>
      </c>
      <c r="F2078" s="171"/>
      <c r="G2078" s="171">
        <v>2075</v>
      </c>
      <c r="H2078" s="186">
        <f t="shared" ca="1" si="68"/>
        <v>2.1016621286331851E-3</v>
      </c>
    </row>
    <row r="2079" spans="2:8">
      <c r="B2079" s="36">
        <v>43633</v>
      </c>
      <c r="C2079" s="185">
        <v>1404.9</v>
      </c>
      <c r="D2079" s="185">
        <f t="shared" si="67"/>
        <v>-0.52749470285541322</v>
      </c>
      <c r="E2079" s="185">
        <v>-7.418397626112759E-3</v>
      </c>
      <c r="F2079" s="171"/>
      <c r="G2079" s="171">
        <v>2076</v>
      </c>
      <c r="H2079" s="186">
        <f t="shared" ca="1" si="68"/>
        <v>2.4308957638914351E-3</v>
      </c>
    </row>
    <row r="2080" spans="2:8">
      <c r="B2080" s="36">
        <v>45589</v>
      </c>
      <c r="C2080" s="185">
        <v>2973.3</v>
      </c>
      <c r="D2080" s="185">
        <f t="shared" si="67"/>
        <v>1.0960135349476581</v>
      </c>
      <c r="E2080" s="185">
        <v>-7.4276843985244777E-3</v>
      </c>
      <c r="F2080" s="171"/>
      <c r="G2080" s="171">
        <v>2077</v>
      </c>
      <c r="H2080" s="186">
        <f t="shared" ca="1" si="68"/>
        <v>-1.2844016602116653E-2</v>
      </c>
    </row>
    <row r="2081" spans="2:8">
      <c r="B2081" s="36">
        <v>43623</v>
      </c>
      <c r="C2081" s="185">
        <v>1418.55</v>
      </c>
      <c r="D2081" s="185">
        <f t="shared" si="67"/>
        <v>-0.19476059376153046</v>
      </c>
      <c r="E2081" s="185">
        <v>-7.4517212426532956E-3</v>
      </c>
      <c r="F2081" s="171"/>
      <c r="G2081" s="171">
        <v>2078</v>
      </c>
      <c r="H2081" s="186">
        <f t="shared" ca="1" si="68"/>
        <v>-6.256789225776836E-3</v>
      </c>
    </row>
    <row r="2082" spans="2:8">
      <c r="B2082" s="36">
        <v>44040</v>
      </c>
      <c r="C2082" s="185">
        <v>1761.65</v>
      </c>
      <c r="D2082" s="185">
        <f t="shared" si="67"/>
        <v>-0.43053176014223371</v>
      </c>
      <c r="E2082" s="185">
        <v>-7.4652093075666228E-3</v>
      </c>
      <c r="F2082" s="171"/>
      <c r="G2082" s="171">
        <v>2079</v>
      </c>
      <c r="H2082" s="186">
        <f t="shared" ca="1" si="68"/>
        <v>2.2211352370820486E-4</v>
      </c>
    </row>
    <row r="2083" spans="2:8">
      <c r="B2083" s="36">
        <v>44859</v>
      </c>
      <c r="C2083" s="185">
        <v>3093.5</v>
      </c>
      <c r="D2083" s="185">
        <f t="shared" si="67"/>
        <v>1.5306773560209421</v>
      </c>
      <c r="E2083" s="185">
        <v>-7.4756160164271626E-3</v>
      </c>
      <c r="F2083" s="171"/>
      <c r="G2083" s="171">
        <v>2080</v>
      </c>
      <c r="H2083" s="186">
        <f t="shared" ca="1" si="68"/>
        <v>5.7214042133533448E-3</v>
      </c>
    </row>
    <row r="2084" spans="2:8">
      <c r="B2084" s="36">
        <v>43405</v>
      </c>
      <c r="C2084" s="185">
        <v>1222.4000000000001</v>
      </c>
      <c r="D2084" s="185">
        <f t="shared" si="67"/>
        <v>-0.61092367432681904</v>
      </c>
      <c r="E2084" s="185">
        <v>-7.5102504770023946E-3</v>
      </c>
      <c r="F2084" s="171"/>
      <c r="G2084" s="171">
        <v>2081</v>
      </c>
      <c r="H2084" s="186">
        <f t="shared" ca="1" si="68"/>
        <v>-3.407083798468216E-3</v>
      </c>
    </row>
    <row r="2085" spans="2:8">
      <c r="B2085" s="36">
        <v>45311</v>
      </c>
      <c r="C2085" s="185">
        <v>3141.8</v>
      </c>
      <c r="D2085" s="185">
        <f t="shared" si="67"/>
        <v>2.1809253822010737</v>
      </c>
      <c r="E2085" s="185">
        <v>-7.5183219610815413E-3</v>
      </c>
      <c r="F2085" s="171"/>
      <c r="G2085" s="171">
        <v>2082</v>
      </c>
      <c r="H2085" s="186">
        <f t="shared" ca="1" si="68"/>
        <v>-2.9525266004503223E-3</v>
      </c>
    </row>
    <row r="2086" spans="2:8">
      <c r="B2086" s="36">
        <v>42779</v>
      </c>
      <c r="C2086" s="185">
        <v>987.7</v>
      </c>
      <c r="D2086" s="185">
        <f t="shared" si="67"/>
        <v>-3.4883720930232495E-2</v>
      </c>
      <c r="E2086" s="185">
        <v>-7.5361736334405138E-3</v>
      </c>
      <c r="F2086" s="171"/>
      <c r="G2086" s="171">
        <v>2083</v>
      </c>
      <c r="H2086" s="186">
        <f t="shared" ca="1" si="68"/>
        <v>1.6755952689634111E-2</v>
      </c>
    </row>
    <row r="2087" spans="2:8">
      <c r="B2087" s="36">
        <v>42563</v>
      </c>
      <c r="C2087" s="185">
        <v>1023.4</v>
      </c>
      <c r="D2087" s="185">
        <f t="shared" si="67"/>
        <v>-0.69188155775339077</v>
      </c>
      <c r="E2087" s="185">
        <v>-7.5640031031808264E-3</v>
      </c>
      <c r="F2087" s="171"/>
      <c r="G2087" s="171">
        <v>2084</v>
      </c>
      <c r="H2087" s="186">
        <f t="shared" ca="1" si="68"/>
        <v>1.1845650047828445E-2</v>
      </c>
    </row>
    <row r="2088" spans="2:8">
      <c r="B2088" s="36">
        <v>45552</v>
      </c>
      <c r="C2088" s="185">
        <v>3321.45</v>
      </c>
      <c r="D2088" s="185">
        <f t="shared" si="67"/>
        <v>7.5808123340027123E-2</v>
      </c>
      <c r="E2088" s="185">
        <v>-7.5892256898277763E-3</v>
      </c>
      <c r="F2088" s="171"/>
      <c r="G2088" s="171">
        <v>2085</v>
      </c>
      <c r="H2088" s="186">
        <f t="shared" ca="1" si="68"/>
        <v>5.0204972140370906E-3</v>
      </c>
    </row>
    <row r="2089" spans="2:8">
      <c r="B2089" s="36">
        <v>44400</v>
      </c>
      <c r="C2089" s="185">
        <v>3087.4</v>
      </c>
      <c r="D2089" s="185">
        <f t="shared" si="67"/>
        <v>1.6447937636527179</v>
      </c>
      <c r="E2089" s="185">
        <v>-7.6019350380097037E-3</v>
      </c>
      <c r="F2089" s="171"/>
      <c r="G2089" s="171">
        <v>2086</v>
      </c>
      <c r="H2089" s="186">
        <f t="shared" ca="1" si="68"/>
        <v>-9.9078917018602733E-4</v>
      </c>
    </row>
    <row r="2090" spans="2:8">
      <c r="B2090" s="36">
        <v>43045</v>
      </c>
      <c r="C2090" s="185">
        <v>1167.3499999999999</v>
      </c>
      <c r="D2090" s="185">
        <f t="shared" si="67"/>
        <v>8.0679503795593285E-2</v>
      </c>
      <c r="E2090" s="185">
        <v>-7.6086032474709225E-3</v>
      </c>
      <c r="F2090" s="171"/>
      <c r="G2090" s="171">
        <v>2087</v>
      </c>
      <c r="H2090" s="186">
        <f t="shared" ca="1" si="68"/>
        <v>-3.6230258099962968E-3</v>
      </c>
    </row>
    <row r="2091" spans="2:8">
      <c r="B2091" s="36">
        <v>42811</v>
      </c>
      <c r="C2091" s="185">
        <v>1080.2</v>
      </c>
      <c r="D2091" s="185">
        <f t="shared" si="67"/>
        <v>-0.67968448833140593</v>
      </c>
      <c r="E2091" s="185">
        <v>-7.625172255397294E-3</v>
      </c>
      <c r="F2091" s="171"/>
      <c r="G2091" s="171">
        <v>2088</v>
      </c>
      <c r="H2091" s="186">
        <f t="shared" ca="1" si="68"/>
        <v>8.9465658158710427E-3</v>
      </c>
    </row>
    <row r="2092" spans="2:8">
      <c r="B2092" s="36">
        <v>45139</v>
      </c>
      <c r="C2092" s="185">
        <v>3372.3</v>
      </c>
      <c r="D2092" s="185">
        <f t="shared" si="67"/>
        <v>2.749082823790995</v>
      </c>
      <c r="E2092" s="185">
        <v>-7.6362833811520099E-3</v>
      </c>
      <c r="F2092" s="171"/>
      <c r="G2092" s="171">
        <v>2089</v>
      </c>
      <c r="H2092" s="186">
        <f t="shared" ca="1" si="68"/>
        <v>-9.6966638990894343E-3</v>
      </c>
    </row>
    <row r="2093" spans="2:8">
      <c r="B2093" s="36">
        <v>42738</v>
      </c>
      <c r="C2093" s="185">
        <v>899.5</v>
      </c>
      <c r="D2093" s="185">
        <f t="shared" si="67"/>
        <v>-0.71327935738875425</v>
      </c>
      <c r="E2093" s="185">
        <v>-7.6672734293122017E-3</v>
      </c>
      <c r="F2093" s="171"/>
      <c r="G2093" s="171">
        <v>2090</v>
      </c>
      <c r="H2093" s="186">
        <f t="shared" ca="1" si="68"/>
        <v>2.8577455701855204E-3</v>
      </c>
    </row>
    <row r="2094" spans="2:8">
      <c r="B2094" s="36">
        <v>44910</v>
      </c>
      <c r="C2094" s="185">
        <v>3137.2</v>
      </c>
      <c r="D2094" s="185">
        <f t="shared" si="67"/>
        <v>0.2264268960125097</v>
      </c>
      <c r="E2094" s="185">
        <v>-7.6705309272643886E-3</v>
      </c>
      <c r="F2094" s="171"/>
      <c r="G2094" s="171">
        <v>2091</v>
      </c>
      <c r="H2094" s="186">
        <f t="shared" ca="1" si="68"/>
        <v>1.4749769824969812E-2</v>
      </c>
    </row>
    <row r="2095" spans="2:8">
      <c r="B2095" s="36">
        <v>44322</v>
      </c>
      <c r="C2095" s="185">
        <v>2558</v>
      </c>
      <c r="D2095" s="185">
        <f t="shared" si="67"/>
        <v>-0.10151036178433438</v>
      </c>
      <c r="E2095" s="185">
        <v>-7.7002152956921113E-3</v>
      </c>
      <c r="F2095" s="171"/>
      <c r="G2095" s="171">
        <v>2092</v>
      </c>
      <c r="H2095" s="186">
        <f t="shared" ca="1" si="68"/>
        <v>-1.0973309127410794E-2</v>
      </c>
    </row>
    <row r="2096" spans="2:8">
      <c r="B2096" s="36">
        <v>45006</v>
      </c>
      <c r="C2096" s="185">
        <v>2847</v>
      </c>
      <c r="D2096" s="185">
        <f t="shared" si="67"/>
        <v>2.9991679027531599E-2</v>
      </c>
      <c r="E2096" s="185">
        <v>-7.7027639329406115E-3</v>
      </c>
      <c r="F2096" s="171"/>
      <c r="G2096" s="171">
        <v>2093</v>
      </c>
      <c r="H2096" s="186">
        <f t="shared" ca="1" si="68"/>
        <v>-9.4909979484562833E-3</v>
      </c>
    </row>
    <row r="2097" spans="2:8">
      <c r="B2097" s="36">
        <v>46009</v>
      </c>
      <c r="C2097" s="185">
        <v>2764.1</v>
      </c>
      <c r="D2097" s="185">
        <f t="shared" si="67"/>
        <v>-9.4094126900891431E-2</v>
      </c>
      <c r="E2097" s="185">
        <v>-7.7182653647329125E-3</v>
      </c>
      <c r="F2097" s="171"/>
      <c r="G2097" s="171">
        <v>2094</v>
      </c>
      <c r="H2097" s="186">
        <f t="shared" ca="1" si="68"/>
        <v>-2.8062342287011504E-3</v>
      </c>
    </row>
    <row r="2098" spans="2:8">
      <c r="B2098" s="36">
        <v>44432</v>
      </c>
      <c r="C2098" s="185">
        <v>3051.2</v>
      </c>
      <c r="D2098" s="185">
        <f t="shared" si="67"/>
        <v>1.3780834729745528</v>
      </c>
      <c r="E2098" s="185">
        <v>-7.7237028244361702E-3</v>
      </c>
      <c r="F2098" s="171"/>
      <c r="G2098" s="171">
        <v>2095</v>
      </c>
      <c r="H2098" s="186">
        <f t="shared" ca="1" si="68"/>
        <v>-4.2849735604453109E-3</v>
      </c>
    </row>
    <row r="2099" spans="2:8">
      <c r="B2099" s="36">
        <v>43243</v>
      </c>
      <c r="C2099" s="185">
        <v>1283.05</v>
      </c>
      <c r="D2099" s="185">
        <f t="shared" si="67"/>
        <v>-0.58726456822093198</v>
      </c>
      <c r="E2099" s="185">
        <v>-7.7336529909902947E-3</v>
      </c>
      <c r="F2099" s="171"/>
      <c r="G2099" s="171">
        <v>2096</v>
      </c>
      <c r="H2099" s="186">
        <f t="shared" ca="1" si="68"/>
        <v>1.1591185939585778E-2</v>
      </c>
    </row>
    <row r="2100" spans="2:8">
      <c r="B2100" s="36">
        <v>44502</v>
      </c>
      <c r="C2100" s="185">
        <v>3108.65</v>
      </c>
      <c r="D2100" s="185">
        <f t="shared" si="67"/>
        <v>2.527145855789414</v>
      </c>
      <c r="E2100" s="185">
        <v>-7.7562680540703578E-3</v>
      </c>
      <c r="F2100" s="171"/>
      <c r="G2100" s="171">
        <v>2097</v>
      </c>
      <c r="H2100" s="186">
        <f t="shared" ca="1" si="68"/>
        <v>-2.0266880645891255E-2</v>
      </c>
    </row>
    <row r="2101" spans="2:8">
      <c r="B2101" s="36">
        <v>42410</v>
      </c>
      <c r="C2101" s="185">
        <v>881.35</v>
      </c>
      <c r="D2101" s="185">
        <f t="shared" si="67"/>
        <v>-0.23982232189063313</v>
      </c>
      <c r="E2101" s="185">
        <v>-7.76808330987895E-3</v>
      </c>
      <c r="F2101" s="171"/>
      <c r="G2101" s="171">
        <v>2098</v>
      </c>
      <c r="H2101" s="186">
        <f t="shared" ca="1" si="68"/>
        <v>-1.4142456253084979E-2</v>
      </c>
    </row>
    <row r="2102" spans="2:8">
      <c r="B2102" s="36">
        <v>43210</v>
      </c>
      <c r="C2102" s="185">
        <v>1159.4000000000001</v>
      </c>
      <c r="D2102" s="185">
        <f t="shared" si="67"/>
        <v>-0.34029417622122959</v>
      </c>
      <c r="E2102" s="185">
        <v>-7.7877620881471191E-3</v>
      </c>
      <c r="F2102" s="171"/>
      <c r="G2102" s="171">
        <v>2099</v>
      </c>
      <c r="H2102" s="186">
        <f t="shared" ca="1" si="68"/>
        <v>1.832299277597059E-3</v>
      </c>
    </row>
    <row r="2103" spans="2:8">
      <c r="B2103" s="36">
        <v>43733</v>
      </c>
      <c r="C2103" s="185">
        <v>1757.45</v>
      </c>
      <c r="D2103" s="185">
        <f t="shared" si="67"/>
        <v>-0.2507141334470262</v>
      </c>
      <c r="E2103" s="185">
        <v>-7.7911079745941877E-3</v>
      </c>
      <c r="F2103" s="171"/>
      <c r="G2103" s="171">
        <v>2100</v>
      </c>
      <c r="H2103" s="186">
        <f t="shared" ca="1" si="68"/>
        <v>1.3721435506195034E-2</v>
      </c>
    </row>
    <row r="2104" spans="2:8">
      <c r="B2104" s="36">
        <v>45644</v>
      </c>
      <c r="C2104" s="185">
        <v>2345.5</v>
      </c>
      <c r="D2104" s="185">
        <f t="shared" si="67"/>
        <v>-0.19851697449127778</v>
      </c>
      <c r="E2104" s="185">
        <v>-7.8047336026564945E-3</v>
      </c>
      <c r="F2104" s="171"/>
      <c r="G2104" s="171">
        <v>2101</v>
      </c>
      <c r="H2104" s="186">
        <f t="shared" ca="1" si="68"/>
        <v>-1.1632129004247123E-2</v>
      </c>
    </row>
    <row r="2105" spans="2:8">
      <c r="B2105" s="36">
        <v>45327</v>
      </c>
      <c r="C2105" s="185">
        <v>2926.45</v>
      </c>
      <c r="D2105" s="185">
        <f t="shared" si="67"/>
        <v>0.25421077443963469</v>
      </c>
      <c r="E2105" s="185">
        <v>-7.8148838786235575E-3</v>
      </c>
      <c r="F2105" s="171"/>
      <c r="G2105" s="171">
        <v>2102</v>
      </c>
      <c r="H2105" s="186">
        <f t="shared" ca="1" si="68"/>
        <v>-1.3612829096996196E-2</v>
      </c>
    </row>
    <row r="2106" spans="2:8">
      <c r="B2106" s="36">
        <v>45796</v>
      </c>
      <c r="C2106" s="185">
        <v>2333.3000000000002</v>
      </c>
      <c r="D2106" s="185">
        <f t="shared" si="67"/>
        <v>2.9291102386519073E-2</v>
      </c>
      <c r="E2106" s="185">
        <v>-7.8663151628539842E-3</v>
      </c>
      <c r="F2106" s="171"/>
      <c r="G2106" s="171">
        <v>2103</v>
      </c>
      <c r="H2106" s="186">
        <f t="shared" ca="1" si="68"/>
        <v>2.5986898579518936E-4</v>
      </c>
    </row>
    <row r="2107" spans="2:8">
      <c r="B2107" s="36">
        <v>45831</v>
      </c>
      <c r="C2107" s="185">
        <v>2266.9</v>
      </c>
      <c r="D2107" s="185">
        <f t="shared" si="67"/>
        <v>1.6212997224791861</v>
      </c>
      <c r="E2107" s="185">
        <v>-7.877806468554422E-3</v>
      </c>
      <c r="F2107" s="171"/>
      <c r="G2107" s="171">
        <v>2104</v>
      </c>
      <c r="H2107" s="186">
        <f t="shared" ca="1" si="68"/>
        <v>-2.562131288436961E-3</v>
      </c>
    </row>
    <row r="2108" spans="2:8">
      <c r="B2108" s="36">
        <v>42466</v>
      </c>
      <c r="C2108" s="185">
        <v>864.8</v>
      </c>
      <c r="D2108" s="185">
        <f t="shared" si="67"/>
        <v>-0.7344021129896654</v>
      </c>
      <c r="E2108" s="185">
        <v>-7.9155672823220044E-3</v>
      </c>
      <c r="F2108" s="171"/>
      <c r="G2108" s="171">
        <v>2105</v>
      </c>
      <c r="H2108" s="186">
        <f t="shared" ca="1" si="68"/>
        <v>-1.5263132868436363E-2</v>
      </c>
    </row>
    <row r="2109" spans="2:8">
      <c r="B2109" s="36">
        <v>45169</v>
      </c>
      <c r="C2109" s="185">
        <v>3256.05</v>
      </c>
      <c r="D2109" s="185">
        <f t="shared" si="67"/>
        <v>0.43129368323882372</v>
      </c>
      <c r="E2109" s="185">
        <v>-7.9218780944836295E-3</v>
      </c>
      <c r="F2109" s="171"/>
      <c r="G2109" s="171">
        <v>2106</v>
      </c>
      <c r="H2109" s="186">
        <f t="shared" ca="1" si="68"/>
        <v>1.7514470139565551E-2</v>
      </c>
    </row>
    <row r="2110" spans="2:8">
      <c r="B2110" s="36">
        <v>46121</v>
      </c>
      <c r="C2110" s="185">
        <v>2274.9</v>
      </c>
      <c r="D2110" s="185">
        <f t="shared" si="67"/>
        <v>-0.24394296919139885</v>
      </c>
      <c r="E2110" s="185">
        <v>-7.9368540403819358E-3</v>
      </c>
      <c r="F2110" s="171"/>
      <c r="G2110" s="171">
        <v>2107</v>
      </c>
      <c r="H2110" s="186">
        <f t="shared" ca="1" si="68"/>
        <v>-2.8077312021493601E-3</v>
      </c>
    </row>
    <row r="2111" spans="2:8">
      <c r="B2111" s="36">
        <v>44405</v>
      </c>
      <c r="C2111" s="185">
        <v>3008.9</v>
      </c>
      <c r="D2111" s="185">
        <f t="shared" si="67"/>
        <v>1.6914441611878885</v>
      </c>
      <c r="E2111" s="185">
        <v>-7.962282191193713E-3</v>
      </c>
      <c r="F2111" s="171"/>
      <c r="G2111" s="171">
        <v>2108</v>
      </c>
      <c r="H2111" s="186">
        <f t="shared" ca="1" si="68"/>
        <v>-2.2731784632318213E-2</v>
      </c>
    </row>
    <row r="2112" spans="2:8">
      <c r="B2112" s="36">
        <v>43153</v>
      </c>
      <c r="C2112" s="185">
        <v>1117.95</v>
      </c>
      <c r="D2112" s="185">
        <f t="shared" si="67"/>
        <v>-0.611499165971643</v>
      </c>
      <c r="E2112" s="185">
        <v>-7.986157327299348E-3</v>
      </c>
      <c r="F2112" s="171"/>
      <c r="G2112" s="171">
        <v>2109</v>
      </c>
      <c r="H2112" s="186">
        <f t="shared" ca="1" si="68"/>
        <v>-1.1895563006660215E-2</v>
      </c>
    </row>
    <row r="2113" spans="2:8">
      <c r="B2113" s="36">
        <v>45002</v>
      </c>
      <c r="C2113" s="185">
        <v>2877.6</v>
      </c>
      <c r="D2113" s="185">
        <f t="shared" si="67"/>
        <v>3.0290010741138528E-2</v>
      </c>
      <c r="E2113" s="185">
        <v>-7.9977937120795199E-3</v>
      </c>
      <c r="F2113" s="171"/>
      <c r="G2113" s="171">
        <v>2110</v>
      </c>
      <c r="H2113" s="186">
        <f t="shared" ca="1" si="68"/>
        <v>1.4504751919968814E-2</v>
      </c>
    </row>
    <row r="2114" spans="2:8">
      <c r="B2114" s="36">
        <v>44979</v>
      </c>
      <c r="C2114" s="185">
        <v>2793</v>
      </c>
      <c r="D2114" s="185">
        <f t="shared" si="67"/>
        <v>1.1954095268039615</v>
      </c>
      <c r="E2114" s="185">
        <v>-8.0267083392527028E-3</v>
      </c>
      <c r="F2114" s="171"/>
      <c r="G2114" s="171">
        <v>2111</v>
      </c>
      <c r="H2114" s="186">
        <f t="shared" ca="1" si="68"/>
        <v>6.4765065196790246E-3</v>
      </c>
    </row>
    <row r="2115" spans="2:8">
      <c r="B2115" s="36">
        <v>43270</v>
      </c>
      <c r="C2115" s="185">
        <v>1272.2</v>
      </c>
      <c r="D2115" s="185">
        <f t="shared" si="67"/>
        <v>-0.4887888772803986</v>
      </c>
      <c r="E2115" s="185">
        <v>-8.0311890838206269E-3</v>
      </c>
      <c r="F2115" s="171"/>
      <c r="G2115" s="171">
        <v>2112</v>
      </c>
      <c r="H2115" s="186">
        <f t="shared" ca="1" si="68"/>
        <v>4.8516525227545373E-3</v>
      </c>
    </row>
    <row r="2116" spans="2:8">
      <c r="B2116" s="36">
        <v>45916</v>
      </c>
      <c r="C2116" s="185">
        <v>2488.6</v>
      </c>
      <c r="D2116" s="185">
        <f t="shared" ref="D2116:D2179" si="69">(C2116-C2117)/C2117</f>
        <v>1.2212701387959122</v>
      </c>
      <c r="E2116" s="185">
        <v>-8.0516581632654148E-3</v>
      </c>
      <c r="F2116" s="171"/>
      <c r="G2116" s="171">
        <v>2113</v>
      </c>
      <c r="H2116" s="186">
        <f t="shared" ca="1" si="68"/>
        <v>-4.2542414865157164E-3</v>
      </c>
    </row>
    <row r="2117" spans="2:8">
      <c r="B2117" s="36">
        <v>43187</v>
      </c>
      <c r="C2117" s="185">
        <v>1120.3499999999999</v>
      </c>
      <c r="D2117" s="185">
        <f t="shared" si="69"/>
        <v>-0.60041729081960205</v>
      </c>
      <c r="E2117" s="185">
        <v>-8.0570189030060076E-3</v>
      </c>
      <c r="F2117" s="171"/>
      <c r="G2117" s="171">
        <v>2114</v>
      </c>
      <c r="H2117" s="186">
        <f t="shared" ref="H2117:H2180" ca="1" si="70">_xlfn.NORM.INV(RAND(),N$6,N$7)</f>
        <v>4.0752363383880531E-3</v>
      </c>
    </row>
    <row r="2118" spans="2:8">
      <c r="B2118" s="36">
        <v>44336</v>
      </c>
      <c r="C2118" s="185">
        <v>2803.8</v>
      </c>
      <c r="D2118" s="185">
        <f t="shared" si="69"/>
        <v>8.7650561514440437E-2</v>
      </c>
      <c r="E2118" s="185">
        <v>-8.0662279770748347E-3</v>
      </c>
      <c r="F2118" s="171"/>
      <c r="G2118" s="171">
        <v>2115</v>
      </c>
      <c r="H2118" s="186">
        <f t="shared" ca="1" si="70"/>
        <v>-5.3424102158019301E-4</v>
      </c>
    </row>
    <row r="2119" spans="2:8">
      <c r="B2119" s="36">
        <v>44321</v>
      </c>
      <c r="C2119" s="185">
        <v>2577.85</v>
      </c>
      <c r="D2119" s="185">
        <f t="shared" si="69"/>
        <v>-0.12018771331058023</v>
      </c>
      <c r="E2119" s="185">
        <v>-8.1377452866487465E-3</v>
      </c>
      <c r="F2119" s="171"/>
      <c r="G2119" s="171">
        <v>2116</v>
      </c>
      <c r="H2119" s="186">
        <f t="shared" ca="1" si="70"/>
        <v>5.389533882639538E-3</v>
      </c>
    </row>
    <row r="2120" spans="2:8">
      <c r="B2120" s="36">
        <v>44938</v>
      </c>
      <c r="C2120" s="185">
        <v>2930</v>
      </c>
      <c r="D2120" s="185">
        <f t="shared" si="69"/>
        <v>1.2085704594278821</v>
      </c>
      <c r="E2120" s="185">
        <v>-8.1413652443256476E-3</v>
      </c>
      <c r="F2120" s="171"/>
      <c r="G2120" s="171">
        <v>2117</v>
      </c>
      <c r="H2120" s="186">
        <f t="shared" ca="1" si="70"/>
        <v>-3.8928137502654572E-2</v>
      </c>
    </row>
    <row r="2121" spans="2:8">
      <c r="B2121" s="36">
        <v>43447</v>
      </c>
      <c r="C2121" s="185">
        <v>1326.65</v>
      </c>
      <c r="D2121" s="185">
        <f t="shared" si="69"/>
        <v>4.9647915183163221E-2</v>
      </c>
      <c r="E2121" s="185">
        <v>-8.1492280662404121E-3</v>
      </c>
      <c r="F2121" s="171"/>
      <c r="G2121" s="171">
        <v>2118</v>
      </c>
      <c r="H2121" s="186">
        <f t="shared" ca="1" si="70"/>
        <v>-1.8783919468772351E-3</v>
      </c>
    </row>
    <row r="2122" spans="2:8">
      <c r="B2122" s="36">
        <v>43257</v>
      </c>
      <c r="C2122" s="185">
        <v>1263.9000000000001</v>
      </c>
      <c r="D2122" s="185">
        <f t="shared" si="69"/>
        <v>-1.3772385002535886E-2</v>
      </c>
      <c r="E2122" s="185">
        <v>-8.161343482696275E-3</v>
      </c>
      <c r="F2122" s="171"/>
      <c r="G2122" s="171">
        <v>2119</v>
      </c>
      <c r="H2122" s="186">
        <f t="shared" ca="1" si="70"/>
        <v>-1.4573198610315228E-2</v>
      </c>
    </row>
    <row r="2123" spans="2:8">
      <c r="B2123" s="36">
        <v>43369</v>
      </c>
      <c r="C2123" s="185">
        <v>1281.55</v>
      </c>
      <c r="D2123" s="185">
        <f t="shared" si="69"/>
        <v>-4.0899565933243592E-2</v>
      </c>
      <c r="E2123" s="185">
        <v>-8.1650027087686369E-3</v>
      </c>
      <c r="F2123" s="171"/>
      <c r="G2123" s="171">
        <v>2120</v>
      </c>
      <c r="H2123" s="186">
        <f t="shared" ca="1" si="70"/>
        <v>6.9549664811435928E-3</v>
      </c>
    </row>
    <row r="2124" spans="2:8">
      <c r="B2124" s="36">
        <v>43438</v>
      </c>
      <c r="C2124" s="185">
        <v>1336.2</v>
      </c>
      <c r="D2124" s="185">
        <f t="shared" si="69"/>
        <v>-0.45492371705963941</v>
      </c>
      <c r="E2124" s="185">
        <v>-8.1650831353919234E-3</v>
      </c>
      <c r="F2124" s="171"/>
      <c r="G2124" s="171">
        <v>2121</v>
      </c>
      <c r="H2124" s="186">
        <f t="shared" ca="1" si="70"/>
        <v>-2.5218039877611159E-3</v>
      </c>
    </row>
    <row r="2125" spans="2:8">
      <c r="B2125" s="36">
        <v>44173</v>
      </c>
      <c r="C2125" s="185">
        <v>2451.4</v>
      </c>
      <c r="D2125" s="185">
        <f t="shared" si="69"/>
        <v>-0.23763022858031407</v>
      </c>
      <c r="E2125" s="185">
        <v>-8.1929075718649488E-3</v>
      </c>
      <c r="F2125" s="171"/>
      <c r="G2125" s="171">
        <v>2122</v>
      </c>
      <c r="H2125" s="186">
        <f t="shared" ca="1" si="70"/>
        <v>-1.6510167208166962E-2</v>
      </c>
    </row>
    <row r="2126" spans="2:8">
      <c r="B2126" s="36">
        <v>44603</v>
      </c>
      <c r="C2126" s="185">
        <v>3215.5</v>
      </c>
      <c r="D2126" s="185">
        <f t="shared" si="69"/>
        <v>1.783018867924528</v>
      </c>
      <c r="E2126" s="185">
        <v>-8.2351489729195673E-3</v>
      </c>
      <c r="F2126" s="171"/>
      <c r="G2126" s="171">
        <v>2123</v>
      </c>
      <c r="H2126" s="186">
        <f t="shared" ca="1" si="70"/>
        <v>1.5109152956047872E-2</v>
      </c>
    </row>
    <row r="2127" spans="2:8">
      <c r="B2127" s="36">
        <v>42948</v>
      </c>
      <c r="C2127" s="185">
        <v>1155.4000000000001</v>
      </c>
      <c r="D2127" s="185">
        <f t="shared" si="69"/>
        <v>0.40303582270795396</v>
      </c>
      <c r="E2127" s="185">
        <v>-8.2403433476394075E-3</v>
      </c>
      <c r="F2127" s="171"/>
      <c r="G2127" s="171">
        <v>2124</v>
      </c>
      <c r="H2127" s="186">
        <f t="shared" ca="1" si="70"/>
        <v>-1.9628652693317563E-2</v>
      </c>
    </row>
    <row r="2128" spans="2:8">
      <c r="B2128" s="36">
        <v>42263</v>
      </c>
      <c r="C2128" s="185">
        <v>823.5</v>
      </c>
      <c r="D2128" s="185">
        <f t="shared" si="69"/>
        <v>-0.34038207377147667</v>
      </c>
      <c r="E2128" s="185">
        <v>-8.2495333293189886E-3</v>
      </c>
      <c r="F2128" s="171"/>
      <c r="G2128" s="171">
        <v>2125</v>
      </c>
      <c r="H2128" s="186">
        <f t="shared" ca="1" si="70"/>
        <v>-1.0712162206987895E-2</v>
      </c>
    </row>
    <row r="2129" spans="2:8">
      <c r="B2129" s="36">
        <v>43388</v>
      </c>
      <c r="C2129" s="185">
        <v>1248.45</v>
      </c>
      <c r="D2129" s="185">
        <f t="shared" si="69"/>
        <v>-0.14565797577499481</v>
      </c>
      <c r="E2129" s="185">
        <v>-8.2615085196805528E-3</v>
      </c>
      <c r="F2129" s="171"/>
      <c r="G2129" s="171">
        <v>2126</v>
      </c>
      <c r="H2129" s="186">
        <f t="shared" ca="1" si="70"/>
        <v>1.6772454485397183E-2</v>
      </c>
    </row>
    <row r="2130" spans="2:8">
      <c r="B2130" s="36">
        <v>43549</v>
      </c>
      <c r="C2130" s="185">
        <v>1461.3</v>
      </c>
      <c r="D2130" s="185">
        <f t="shared" si="69"/>
        <v>0.25735673722250896</v>
      </c>
      <c r="E2130" s="185">
        <v>-8.2796063793688802E-3</v>
      </c>
      <c r="F2130" s="171"/>
      <c r="G2130" s="171">
        <v>2127</v>
      </c>
      <c r="H2130" s="186">
        <f t="shared" ca="1" si="70"/>
        <v>-3.5396065175266569E-2</v>
      </c>
    </row>
    <row r="2131" spans="2:8">
      <c r="B2131" s="36">
        <v>43005</v>
      </c>
      <c r="C2131" s="185">
        <v>1162.2</v>
      </c>
      <c r="D2131" s="185">
        <f t="shared" si="69"/>
        <v>-0.32975778546712803</v>
      </c>
      <c r="E2131" s="185">
        <v>-8.3194675540765387E-3</v>
      </c>
      <c r="F2131" s="171"/>
      <c r="G2131" s="171">
        <v>2128</v>
      </c>
      <c r="H2131" s="186">
        <f t="shared" ca="1" si="70"/>
        <v>-7.1021694780460552E-3</v>
      </c>
    </row>
    <row r="2132" spans="2:8">
      <c r="B2132" s="36">
        <v>43815</v>
      </c>
      <c r="C2132" s="185">
        <v>1734</v>
      </c>
      <c r="D2132" s="185">
        <f t="shared" si="69"/>
        <v>-0.4034266840982591</v>
      </c>
      <c r="E2132" s="185">
        <v>-8.3211804066226046E-3</v>
      </c>
      <c r="F2132" s="171"/>
      <c r="G2132" s="171">
        <v>2129</v>
      </c>
      <c r="H2132" s="186">
        <f t="shared" ca="1" si="70"/>
        <v>-1.2039734987577329E-2</v>
      </c>
    </row>
    <row r="2133" spans="2:8">
      <c r="B2133" s="36">
        <v>44349</v>
      </c>
      <c r="C2133" s="185">
        <v>2906.6</v>
      </c>
      <c r="D2133" s="185">
        <f t="shared" si="69"/>
        <v>0.2975603223142339</v>
      </c>
      <c r="E2133" s="185">
        <v>-8.3248038212214576E-3</v>
      </c>
      <c r="F2133" s="171"/>
      <c r="G2133" s="171">
        <v>2130</v>
      </c>
      <c r="H2133" s="186">
        <f t="shared" ca="1" si="70"/>
        <v>2.6571876734323226E-3</v>
      </c>
    </row>
    <row r="2134" spans="2:8">
      <c r="B2134" s="36">
        <v>45706</v>
      </c>
      <c r="C2134" s="185">
        <v>2240.0500000000002</v>
      </c>
      <c r="D2134" s="185">
        <f t="shared" si="69"/>
        <v>-0.1960773758254378</v>
      </c>
      <c r="E2134" s="185">
        <v>-8.3447695781131998E-3</v>
      </c>
      <c r="F2134" s="171"/>
      <c r="G2134" s="171">
        <v>2131</v>
      </c>
      <c r="H2134" s="186">
        <f t="shared" ca="1" si="70"/>
        <v>4.5109218346616837E-3</v>
      </c>
    </row>
    <row r="2135" spans="2:8">
      <c r="B2135" s="36">
        <v>46002</v>
      </c>
      <c r="C2135" s="185">
        <v>2786.4</v>
      </c>
      <c r="D2135" s="185">
        <f t="shared" si="69"/>
        <v>1.4361967213114755</v>
      </c>
      <c r="E2135" s="185">
        <v>-8.363286949713512E-3</v>
      </c>
      <c r="F2135" s="171"/>
      <c r="G2135" s="171">
        <v>2132</v>
      </c>
      <c r="H2135" s="186">
        <f t="shared" ca="1" si="70"/>
        <v>1.7358675311873323E-2</v>
      </c>
    </row>
    <row r="2136" spans="2:8">
      <c r="B2136" s="36">
        <v>42898</v>
      </c>
      <c r="C2136" s="185">
        <v>1143.75</v>
      </c>
      <c r="D2136" s="185">
        <f t="shared" si="69"/>
        <v>-3.3994932432432436E-2</v>
      </c>
      <c r="E2136" s="185">
        <v>-8.3665684064505724E-3</v>
      </c>
      <c r="F2136" s="171"/>
      <c r="G2136" s="171">
        <v>2133</v>
      </c>
      <c r="H2136" s="186">
        <f t="shared" ca="1" si="70"/>
        <v>2.7922324477993091E-2</v>
      </c>
    </row>
    <row r="2137" spans="2:8">
      <c r="B2137" s="36">
        <v>42639</v>
      </c>
      <c r="C2137" s="185">
        <v>1184</v>
      </c>
      <c r="D2137" s="185">
        <f t="shared" si="69"/>
        <v>-0.21737118683279896</v>
      </c>
      <c r="E2137" s="185">
        <v>-8.3752093802345051E-3</v>
      </c>
      <c r="F2137" s="171"/>
      <c r="G2137" s="171">
        <v>2134</v>
      </c>
      <c r="H2137" s="186">
        <f t="shared" ca="1" si="70"/>
        <v>-6.2354948064021363E-3</v>
      </c>
    </row>
    <row r="2138" spans="2:8">
      <c r="B2138" s="36">
        <v>43678</v>
      </c>
      <c r="C2138" s="185">
        <v>1512.85</v>
      </c>
      <c r="D2138" s="185">
        <f t="shared" si="69"/>
        <v>-0.55597787006735844</v>
      </c>
      <c r="E2138" s="185">
        <v>-8.3898666142301192E-3</v>
      </c>
      <c r="F2138" s="171"/>
      <c r="G2138" s="171">
        <v>2135</v>
      </c>
      <c r="H2138" s="186">
        <f t="shared" ca="1" si="70"/>
        <v>8.6459884454530792E-3</v>
      </c>
    </row>
    <row r="2139" spans="2:8">
      <c r="B2139" s="36">
        <v>44810</v>
      </c>
      <c r="C2139" s="185">
        <v>3407.15</v>
      </c>
      <c r="D2139" s="185">
        <f t="shared" si="69"/>
        <v>0.14632012784927248</v>
      </c>
      <c r="E2139" s="185">
        <v>-8.3963911525028832E-3</v>
      </c>
      <c r="F2139" s="171"/>
      <c r="G2139" s="171">
        <v>2136</v>
      </c>
      <c r="H2139" s="186">
        <f t="shared" ca="1" si="70"/>
        <v>8.6836226584885018E-3</v>
      </c>
    </row>
    <row r="2140" spans="2:8">
      <c r="B2140" s="36">
        <v>44407</v>
      </c>
      <c r="C2140" s="185">
        <v>2972.25</v>
      </c>
      <c r="D2140" s="185">
        <f t="shared" si="69"/>
        <v>-9.455775059784019E-2</v>
      </c>
      <c r="E2140" s="185">
        <v>-8.4071460741629786E-3</v>
      </c>
      <c r="F2140" s="171"/>
      <c r="G2140" s="171">
        <v>2137</v>
      </c>
      <c r="H2140" s="186">
        <f t="shared" ca="1" si="70"/>
        <v>-1.4166421010119866E-3</v>
      </c>
    </row>
    <row r="2141" spans="2:8">
      <c r="B2141" s="36">
        <v>45558</v>
      </c>
      <c r="C2141" s="185">
        <v>3282.65</v>
      </c>
      <c r="D2141" s="185">
        <f t="shared" si="69"/>
        <v>1.7438876582939777</v>
      </c>
      <c r="E2141" s="185">
        <v>-8.412626491466518E-3</v>
      </c>
      <c r="F2141" s="171"/>
      <c r="G2141" s="171">
        <v>2138</v>
      </c>
      <c r="H2141" s="186">
        <f t="shared" ca="1" si="70"/>
        <v>-1.9055358214336699E-2</v>
      </c>
    </row>
    <row r="2142" spans="2:8">
      <c r="B2142" s="36">
        <v>43224</v>
      </c>
      <c r="C2142" s="185">
        <v>1196.3499999999999</v>
      </c>
      <c r="D2142" s="185">
        <f t="shared" si="69"/>
        <v>-0.30011407845087318</v>
      </c>
      <c r="E2142" s="185">
        <v>-8.4127641939495158E-3</v>
      </c>
      <c r="F2142" s="171"/>
      <c r="G2142" s="171">
        <v>2139</v>
      </c>
      <c r="H2142" s="186">
        <f t="shared" ca="1" si="70"/>
        <v>-7.1713409872688127E-3</v>
      </c>
    </row>
    <row r="2143" spans="2:8">
      <c r="B2143" s="36">
        <v>44046</v>
      </c>
      <c r="C2143" s="185">
        <v>1709.35</v>
      </c>
      <c r="D2143" s="185">
        <f t="shared" si="69"/>
        <v>-0.33802571450700952</v>
      </c>
      <c r="E2143" s="185">
        <v>-8.440164742734603E-3</v>
      </c>
      <c r="F2143" s="171"/>
      <c r="G2143" s="171">
        <v>2140</v>
      </c>
      <c r="H2143" s="186">
        <f t="shared" ca="1" si="70"/>
        <v>1.7857323336182496E-2</v>
      </c>
    </row>
    <row r="2144" spans="2:8">
      <c r="B2144" s="36">
        <v>44299</v>
      </c>
      <c r="C2144" s="185">
        <v>2582.1999999999998</v>
      </c>
      <c r="D2144" s="185">
        <f t="shared" si="69"/>
        <v>5.7801810659129045E-2</v>
      </c>
      <c r="E2144" s="185">
        <v>-8.4478918669841033E-3</v>
      </c>
      <c r="F2144" s="171"/>
      <c r="G2144" s="171">
        <v>2141</v>
      </c>
      <c r="H2144" s="186">
        <f t="shared" ca="1" si="70"/>
        <v>-3.0145073346245109E-3</v>
      </c>
    </row>
    <row r="2145" spans="2:8">
      <c r="B2145" s="36">
        <v>46147</v>
      </c>
      <c r="C2145" s="185">
        <v>2441.1</v>
      </c>
      <c r="D2145" s="185">
        <f t="shared" si="69"/>
        <v>-1.8771605434520569E-2</v>
      </c>
      <c r="E2145" s="185">
        <v>-8.4487590885089486E-3</v>
      </c>
      <c r="F2145" s="171"/>
      <c r="G2145" s="171">
        <v>2142</v>
      </c>
      <c r="H2145" s="186">
        <f t="shared" ca="1" si="70"/>
        <v>2.9951906595621323E-2</v>
      </c>
    </row>
    <row r="2146" spans="2:8">
      <c r="B2146" s="36">
        <v>44239</v>
      </c>
      <c r="C2146" s="185">
        <v>2487.8000000000002</v>
      </c>
      <c r="D2146" s="185">
        <f t="shared" si="69"/>
        <v>-0.20650665816123109</v>
      </c>
      <c r="E2146" s="185">
        <v>-8.4495815065762526E-3</v>
      </c>
      <c r="F2146" s="171"/>
      <c r="G2146" s="171">
        <v>2143</v>
      </c>
      <c r="H2146" s="186">
        <f t="shared" ca="1" si="70"/>
        <v>-5.4678323993459293E-3</v>
      </c>
    </row>
    <row r="2147" spans="2:8">
      <c r="B2147" s="36">
        <v>44676</v>
      </c>
      <c r="C2147" s="185">
        <v>3135.25</v>
      </c>
      <c r="D2147" s="185">
        <f t="shared" si="69"/>
        <v>2.1503717845659165</v>
      </c>
      <c r="E2147" s="185">
        <v>-8.506870325569656E-3</v>
      </c>
      <c r="F2147" s="171"/>
      <c r="G2147" s="171">
        <v>2144</v>
      </c>
      <c r="H2147" s="186">
        <f t="shared" ca="1" si="70"/>
        <v>1.0284510641946441E-2</v>
      </c>
    </row>
    <row r="2148" spans="2:8">
      <c r="B2148" s="36">
        <v>42776</v>
      </c>
      <c r="C2148" s="185">
        <v>995.2</v>
      </c>
      <c r="D2148" s="185">
        <f t="shared" si="69"/>
        <v>-0.29013160241092761</v>
      </c>
      <c r="E2148" s="185">
        <v>-8.5180572851805275E-3</v>
      </c>
      <c r="F2148" s="171"/>
      <c r="G2148" s="171">
        <v>2145</v>
      </c>
      <c r="H2148" s="186">
        <f t="shared" ca="1" si="70"/>
        <v>3.3500859011858534E-3</v>
      </c>
    </row>
    <row r="2149" spans="2:8">
      <c r="B2149" s="36">
        <v>43530</v>
      </c>
      <c r="C2149" s="185">
        <v>1401.95</v>
      </c>
      <c r="D2149" s="185">
        <f t="shared" si="69"/>
        <v>-0.42611240738466577</v>
      </c>
      <c r="E2149" s="185">
        <v>-8.5219236209334893E-3</v>
      </c>
      <c r="F2149" s="171"/>
      <c r="G2149" s="171">
        <v>2146</v>
      </c>
      <c r="H2149" s="186">
        <f t="shared" ca="1" si="70"/>
        <v>5.46770607036792E-3</v>
      </c>
    </row>
    <row r="2150" spans="2:8">
      <c r="B2150" s="36">
        <v>46058</v>
      </c>
      <c r="C2150" s="185">
        <v>2442.9</v>
      </c>
      <c r="D2150" s="185">
        <f t="shared" si="69"/>
        <v>0.3103226325529006</v>
      </c>
      <c r="E2150" s="185">
        <v>-8.5230731766711317E-3</v>
      </c>
      <c r="F2150" s="171"/>
      <c r="G2150" s="171">
        <v>2147</v>
      </c>
      <c r="H2150" s="186">
        <f t="shared" ca="1" si="70"/>
        <v>-9.032318676392169E-3</v>
      </c>
    </row>
    <row r="2151" spans="2:8">
      <c r="B2151" s="36">
        <v>43867</v>
      </c>
      <c r="C2151" s="185">
        <v>1864.35</v>
      </c>
      <c r="D2151" s="185">
        <f t="shared" si="69"/>
        <v>-0.35007233619773065</v>
      </c>
      <c r="E2151" s="185">
        <v>-8.535417996171123E-3</v>
      </c>
      <c r="F2151" s="171"/>
      <c r="G2151" s="171">
        <v>2148</v>
      </c>
      <c r="H2151" s="186">
        <f t="shared" ca="1" si="70"/>
        <v>-2.4253012359785456E-2</v>
      </c>
    </row>
    <row r="2152" spans="2:8">
      <c r="B2152" s="36">
        <v>45391</v>
      </c>
      <c r="C2152" s="185">
        <v>2868.55</v>
      </c>
      <c r="D2152" s="185">
        <f t="shared" si="69"/>
        <v>1.5338309336631044</v>
      </c>
      <c r="E2152" s="185">
        <v>-8.5713791971243469E-3</v>
      </c>
      <c r="F2152" s="171"/>
      <c r="G2152" s="171">
        <v>2149</v>
      </c>
      <c r="H2152" s="186">
        <f t="shared" ca="1" si="70"/>
        <v>5.7621675235948553E-4</v>
      </c>
    </row>
    <row r="2153" spans="2:8">
      <c r="B2153" s="36">
        <v>43080</v>
      </c>
      <c r="C2153" s="185">
        <v>1132.0999999999999</v>
      </c>
      <c r="D2153" s="185">
        <f t="shared" si="69"/>
        <v>-0.48320094951154935</v>
      </c>
      <c r="E2153" s="185">
        <v>-8.5821875821001682E-3</v>
      </c>
      <c r="F2153" s="171"/>
      <c r="G2153" s="171">
        <v>2150</v>
      </c>
      <c r="H2153" s="186">
        <f t="shared" ca="1" si="70"/>
        <v>-2.1558679914779216E-3</v>
      </c>
    </row>
    <row r="2154" spans="2:8">
      <c r="B2154" s="36">
        <v>44146</v>
      </c>
      <c r="C2154" s="185">
        <v>2190.6</v>
      </c>
      <c r="D2154" s="185">
        <f t="shared" si="69"/>
        <v>0.11254443880142199</v>
      </c>
      <c r="E2154" s="185">
        <v>-8.6212748625348733E-3</v>
      </c>
      <c r="F2154" s="171"/>
      <c r="G2154" s="171">
        <v>2151</v>
      </c>
      <c r="H2154" s="186">
        <f t="shared" ca="1" si="70"/>
        <v>-1.9738739476666909E-3</v>
      </c>
    </row>
    <row r="2155" spans="2:8">
      <c r="B2155" s="36">
        <v>44071</v>
      </c>
      <c r="C2155" s="185">
        <v>1969</v>
      </c>
      <c r="D2155" s="185">
        <f t="shared" si="69"/>
        <v>0.49876308277830639</v>
      </c>
      <c r="E2155" s="185">
        <v>-8.634795962037152E-3</v>
      </c>
      <c r="F2155" s="171"/>
      <c r="G2155" s="171">
        <v>2152</v>
      </c>
      <c r="H2155" s="186">
        <f t="shared" ca="1" si="70"/>
        <v>1.3994068367528143E-2</v>
      </c>
    </row>
    <row r="2156" spans="2:8">
      <c r="B2156" s="36">
        <v>43237</v>
      </c>
      <c r="C2156" s="185">
        <v>1313.75</v>
      </c>
      <c r="D2156" s="185">
        <f t="shared" si="69"/>
        <v>0.43156805056118552</v>
      </c>
      <c r="E2156" s="185">
        <v>-8.6402052520374618E-3</v>
      </c>
      <c r="F2156" s="171"/>
      <c r="G2156" s="171">
        <v>2153</v>
      </c>
      <c r="H2156" s="186">
        <f t="shared" ca="1" si="70"/>
        <v>-1.8180719273415583E-2</v>
      </c>
    </row>
    <row r="2157" spans="2:8">
      <c r="B2157" s="36">
        <v>42222</v>
      </c>
      <c r="C2157" s="185">
        <v>917.7</v>
      </c>
      <c r="D2157" s="185">
        <f t="shared" si="69"/>
        <v>-0.21149632684624298</v>
      </c>
      <c r="E2157" s="185">
        <v>-8.6421086745165823E-3</v>
      </c>
      <c r="F2157" s="171"/>
      <c r="G2157" s="171">
        <v>2154</v>
      </c>
      <c r="H2157" s="186">
        <f t="shared" ca="1" si="70"/>
        <v>1.9255194082523821E-3</v>
      </c>
    </row>
    <row r="2158" spans="2:8">
      <c r="B2158" s="36">
        <v>43062</v>
      </c>
      <c r="C2158" s="185">
        <v>1163.8499999999999</v>
      </c>
      <c r="D2158" s="185">
        <f t="shared" si="69"/>
        <v>4.4045750168199067E-2</v>
      </c>
      <c r="E2158" s="185">
        <v>-8.6456558773424959E-3</v>
      </c>
      <c r="F2158" s="171"/>
      <c r="G2158" s="171">
        <v>2155</v>
      </c>
      <c r="H2158" s="186">
        <f t="shared" ca="1" si="70"/>
        <v>1.0361796405240218E-2</v>
      </c>
    </row>
    <row r="2159" spans="2:8">
      <c r="B2159" s="36">
        <v>42877</v>
      </c>
      <c r="C2159" s="185">
        <v>1114.75</v>
      </c>
      <c r="D2159" s="185">
        <f t="shared" si="69"/>
        <v>-0.53492010513580046</v>
      </c>
      <c r="E2159" s="185">
        <v>-8.670520231213872E-3</v>
      </c>
      <c r="F2159" s="171"/>
      <c r="G2159" s="171">
        <v>2156</v>
      </c>
      <c r="H2159" s="186">
        <f t="shared" ca="1" si="70"/>
        <v>-2.6933234132787733E-2</v>
      </c>
    </row>
    <row r="2160" spans="2:8">
      <c r="B2160" s="36">
        <v>45758</v>
      </c>
      <c r="C2160" s="185">
        <v>2396.9</v>
      </c>
      <c r="D2160" s="185">
        <f t="shared" si="69"/>
        <v>-1.8287563228277154E-2</v>
      </c>
      <c r="E2160" s="185">
        <v>-8.6852227139253071E-3</v>
      </c>
      <c r="F2160" s="171"/>
      <c r="G2160" s="171">
        <v>2157</v>
      </c>
      <c r="H2160" s="186">
        <f t="shared" ca="1" si="70"/>
        <v>3.3761879479258014E-4</v>
      </c>
    </row>
    <row r="2161" spans="2:8">
      <c r="B2161" s="36">
        <v>45632</v>
      </c>
      <c r="C2161" s="185">
        <v>2441.5500000000002</v>
      </c>
      <c r="D2161" s="185">
        <f t="shared" si="69"/>
        <v>0.74802219437981043</v>
      </c>
      <c r="E2161" s="185">
        <v>-8.6887675348665781E-3</v>
      </c>
      <c r="F2161" s="171"/>
      <c r="G2161" s="171">
        <v>2158</v>
      </c>
      <c r="H2161" s="186">
        <f t="shared" ca="1" si="70"/>
        <v>-1.0547003859153092E-2</v>
      </c>
    </row>
    <row r="2162" spans="2:8">
      <c r="B2162" s="36">
        <v>43479</v>
      </c>
      <c r="C2162" s="185">
        <v>1396.75</v>
      </c>
      <c r="D2162" s="185">
        <f t="shared" si="69"/>
        <v>-0.41983385254413291</v>
      </c>
      <c r="E2162" s="185">
        <v>-8.6941092973740249E-3</v>
      </c>
      <c r="F2162" s="171"/>
      <c r="G2162" s="171">
        <v>2159</v>
      </c>
      <c r="H2162" s="186">
        <f t="shared" ca="1" si="70"/>
        <v>-3.1066388223519419E-3</v>
      </c>
    </row>
    <row r="2163" spans="2:8">
      <c r="B2163" s="36">
        <v>44273</v>
      </c>
      <c r="C2163" s="185">
        <v>2407.5</v>
      </c>
      <c r="D2163" s="185">
        <f t="shared" si="69"/>
        <v>-0.10848191968005326</v>
      </c>
      <c r="E2163" s="185">
        <v>-8.7085417824717803E-3</v>
      </c>
      <c r="F2163" s="171"/>
      <c r="G2163" s="171">
        <v>2160</v>
      </c>
      <c r="H2163" s="186">
        <f t="shared" ca="1" si="70"/>
        <v>-2.0147836938691682E-2</v>
      </c>
    </row>
    <row r="2164" spans="2:8">
      <c r="B2164" s="36">
        <v>44741</v>
      </c>
      <c r="C2164" s="185">
        <v>2700.45</v>
      </c>
      <c r="D2164" s="185">
        <f t="shared" si="69"/>
        <v>2.1916440137099631</v>
      </c>
      <c r="E2164" s="185">
        <v>-8.7181557888554445E-3</v>
      </c>
      <c r="F2164" s="171"/>
      <c r="G2164" s="171">
        <v>2161</v>
      </c>
      <c r="H2164" s="186">
        <f t="shared" ca="1" si="70"/>
        <v>-1.2846057515964956E-2</v>
      </c>
    </row>
    <row r="2165" spans="2:8">
      <c r="B2165" s="36">
        <v>42341</v>
      </c>
      <c r="C2165" s="185">
        <v>846.1</v>
      </c>
      <c r="D2165" s="185">
        <f t="shared" si="69"/>
        <v>-0.1157905737276622</v>
      </c>
      <c r="E2165" s="185">
        <v>-8.7282525921152029E-3</v>
      </c>
      <c r="F2165" s="171"/>
      <c r="G2165" s="171">
        <v>2162</v>
      </c>
      <c r="H2165" s="186">
        <f t="shared" ca="1" si="70"/>
        <v>-1.0139226598218035E-3</v>
      </c>
    </row>
    <row r="2166" spans="2:8">
      <c r="B2166" s="36">
        <v>42509</v>
      </c>
      <c r="C2166" s="185">
        <v>956.9</v>
      </c>
      <c r="D2166" s="185">
        <f t="shared" si="69"/>
        <v>-5.1447264076130032E-2</v>
      </c>
      <c r="E2166" s="185">
        <v>-8.7533019112239555E-3</v>
      </c>
      <c r="F2166" s="171"/>
      <c r="G2166" s="171">
        <v>2163</v>
      </c>
      <c r="H2166" s="186">
        <f t="shared" ca="1" si="70"/>
        <v>-1.3906677191777987E-2</v>
      </c>
    </row>
    <row r="2167" spans="2:8">
      <c r="B2167" s="36">
        <v>42789</v>
      </c>
      <c r="C2167" s="185">
        <v>1008.8</v>
      </c>
      <c r="D2167" s="185">
        <f t="shared" si="69"/>
        <v>-0.53371851167090367</v>
      </c>
      <c r="E2167" s="185">
        <v>-8.7939081306804678E-3</v>
      </c>
      <c r="F2167" s="171"/>
      <c r="G2167" s="171">
        <v>2164</v>
      </c>
      <c r="H2167" s="186">
        <f t="shared" ca="1" si="70"/>
        <v>-1.4745880601573292E-2</v>
      </c>
    </row>
    <row r="2168" spans="2:8">
      <c r="B2168" s="36">
        <v>44138</v>
      </c>
      <c r="C2168" s="185">
        <v>2163.5</v>
      </c>
      <c r="D2168" s="185">
        <f t="shared" si="69"/>
        <v>-0.11091476945837103</v>
      </c>
      <c r="E2168" s="185">
        <v>-8.796444770238613E-3</v>
      </c>
      <c r="F2168" s="171"/>
      <c r="G2168" s="171">
        <v>2165</v>
      </c>
      <c r="H2168" s="186">
        <f t="shared" ca="1" si="70"/>
        <v>1.97547615190449E-2</v>
      </c>
    </row>
    <row r="2169" spans="2:8">
      <c r="B2169" s="36">
        <v>45768</v>
      </c>
      <c r="C2169" s="185">
        <v>2433.4</v>
      </c>
      <c r="D2169" s="185">
        <f t="shared" si="69"/>
        <v>0.30166626547915165</v>
      </c>
      <c r="E2169" s="185">
        <v>-8.7983706720977228E-3</v>
      </c>
      <c r="F2169" s="171"/>
      <c r="G2169" s="171">
        <v>2166</v>
      </c>
      <c r="H2169" s="186">
        <f t="shared" ca="1" si="70"/>
        <v>-1.4326760518526924E-2</v>
      </c>
    </row>
    <row r="2170" spans="2:8">
      <c r="B2170" s="36">
        <v>43879</v>
      </c>
      <c r="C2170" s="185">
        <v>1869.45</v>
      </c>
      <c r="D2170" s="185">
        <f t="shared" si="69"/>
        <v>0.6326361294266627</v>
      </c>
      <c r="E2170" s="185">
        <v>-8.8014633758383438E-3</v>
      </c>
      <c r="F2170" s="171"/>
      <c r="G2170" s="171">
        <v>2167</v>
      </c>
      <c r="H2170" s="186">
        <f t="shared" ca="1" si="70"/>
        <v>9.8594412025639691E-3</v>
      </c>
    </row>
    <row r="2171" spans="2:8">
      <c r="B2171" s="36">
        <v>42958</v>
      </c>
      <c r="C2171" s="185">
        <v>1145.05</v>
      </c>
      <c r="D2171" s="185">
        <f t="shared" si="69"/>
        <v>-0.60292332766931367</v>
      </c>
      <c r="E2171" s="185">
        <v>-8.8292577364207283E-3</v>
      </c>
      <c r="F2171" s="171"/>
      <c r="G2171" s="171">
        <v>2168</v>
      </c>
      <c r="H2171" s="186">
        <f t="shared" ca="1" si="70"/>
        <v>4.7029836012014504E-4</v>
      </c>
    </row>
    <row r="2172" spans="2:8">
      <c r="B2172" s="36">
        <v>45442</v>
      </c>
      <c r="C2172" s="185">
        <v>2883.7</v>
      </c>
      <c r="D2172" s="185">
        <f t="shared" si="69"/>
        <v>-0.14493699036323207</v>
      </c>
      <c r="E2172" s="185">
        <v>-8.8334364473775604E-3</v>
      </c>
      <c r="F2172" s="171"/>
      <c r="G2172" s="171">
        <v>2169</v>
      </c>
      <c r="H2172" s="186">
        <f t="shared" ca="1" si="70"/>
        <v>-1.1946538123389279E-2</v>
      </c>
    </row>
    <row r="2173" spans="2:8">
      <c r="B2173" s="36">
        <v>45296</v>
      </c>
      <c r="C2173" s="185">
        <v>3372.5</v>
      </c>
      <c r="D2173" s="185">
        <f t="shared" si="69"/>
        <v>6.9531435820185519E-2</v>
      </c>
      <c r="E2173" s="185">
        <v>-8.8607408931274424E-3</v>
      </c>
      <c r="F2173" s="171"/>
      <c r="G2173" s="171">
        <v>2170</v>
      </c>
      <c r="H2173" s="186">
        <f t="shared" ca="1" si="70"/>
        <v>2.4627173619023418E-2</v>
      </c>
    </row>
    <row r="2174" spans="2:8">
      <c r="B2174" s="36">
        <v>44524</v>
      </c>
      <c r="C2174" s="185">
        <v>3153.25</v>
      </c>
      <c r="D2174" s="185">
        <f t="shared" si="69"/>
        <v>0.28045561601559332</v>
      </c>
      <c r="E2174" s="185">
        <v>-8.8794593745088798E-3</v>
      </c>
      <c r="F2174" s="171"/>
      <c r="G2174" s="171">
        <v>2171</v>
      </c>
      <c r="H2174" s="186">
        <f t="shared" ca="1" si="70"/>
        <v>2.0459557899415162E-3</v>
      </c>
    </row>
    <row r="2175" spans="2:8">
      <c r="B2175" s="36">
        <v>46140</v>
      </c>
      <c r="C2175" s="185">
        <v>2462.6</v>
      </c>
      <c r="D2175" s="185">
        <f t="shared" si="69"/>
        <v>0.71783335077255761</v>
      </c>
      <c r="E2175" s="185">
        <v>-8.8944339356863654E-3</v>
      </c>
      <c r="F2175" s="171"/>
      <c r="G2175" s="171">
        <v>2172</v>
      </c>
      <c r="H2175" s="186">
        <f t="shared" ca="1" si="70"/>
        <v>-7.8838757893378592E-3</v>
      </c>
    </row>
    <row r="2176" spans="2:8">
      <c r="B2176" s="36">
        <v>43578</v>
      </c>
      <c r="C2176" s="185">
        <v>1433.55</v>
      </c>
      <c r="D2176" s="185">
        <f t="shared" si="69"/>
        <v>2.9997126023854005E-2</v>
      </c>
      <c r="E2176" s="185">
        <v>-8.9183863942757027E-3</v>
      </c>
      <c r="F2176" s="171"/>
      <c r="G2176" s="171">
        <v>2173</v>
      </c>
      <c r="H2176" s="186">
        <f t="shared" ca="1" si="70"/>
        <v>6.9114509017552134E-3</v>
      </c>
    </row>
    <row r="2177" spans="2:8">
      <c r="B2177" s="36">
        <v>43532</v>
      </c>
      <c r="C2177" s="185">
        <v>1391.8</v>
      </c>
      <c r="D2177" s="185">
        <f t="shared" si="69"/>
        <v>-0.38467659931915649</v>
      </c>
      <c r="E2177" s="185">
        <v>-8.9365186741196673E-3</v>
      </c>
      <c r="F2177" s="171"/>
      <c r="G2177" s="171">
        <v>2174</v>
      </c>
      <c r="H2177" s="186">
        <f t="shared" ca="1" si="70"/>
        <v>-1.0527884622465939E-2</v>
      </c>
    </row>
    <row r="2178" spans="2:8">
      <c r="B2178" s="36">
        <v>45678</v>
      </c>
      <c r="C2178" s="185">
        <v>2261.9</v>
      </c>
      <c r="D2178" s="185">
        <f t="shared" si="69"/>
        <v>0.2955495732859843</v>
      </c>
      <c r="E2178" s="185">
        <v>-8.938351662796341E-3</v>
      </c>
      <c r="F2178" s="171"/>
      <c r="G2178" s="171">
        <v>2175</v>
      </c>
      <c r="H2178" s="186">
        <f t="shared" ca="1" si="70"/>
        <v>-1.3996169616285777E-2</v>
      </c>
    </row>
    <row r="2179" spans="2:8">
      <c r="B2179" s="36">
        <v>44041</v>
      </c>
      <c r="C2179" s="185">
        <v>1745.9</v>
      </c>
      <c r="D2179" s="185">
        <f t="shared" si="69"/>
        <v>-0.42805195656090811</v>
      </c>
      <c r="E2179" s="185">
        <v>-8.9404819345499948E-3</v>
      </c>
      <c r="F2179" s="171"/>
      <c r="G2179" s="171">
        <v>2176</v>
      </c>
      <c r="H2179" s="186">
        <f t="shared" ca="1" si="70"/>
        <v>5.6208444009500846E-3</v>
      </c>
    </row>
    <row r="2180" spans="2:8">
      <c r="B2180" s="36">
        <v>45582</v>
      </c>
      <c r="C2180" s="185">
        <v>3052.55</v>
      </c>
      <c r="D2180" s="185">
        <f t="shared" ref="D2180:D2243" si="71">(C2180-C2181)/C2181</f>
        <v>0.33118921983341343</v>
      </c>
      <c r="E2180" s="185">
        <v>-8.9445147884808056E-3</v>
      </c>
      <c r="F2180" s="171"/>
      <c r="G2180" s="171">
        <v>2177</v>
      </c>
      <c r="H2180" s="186">
        <f t="shared" ca="1" si="70"/>
        <v>-5.8658882673991702E-3</v>
      </c>
    </row>
    <row r="2181" spans="2:8">
      <c r="B2181" s="36">
        <v>46085</v>
      </c>
      <c r="C2181" s="185">
        <v>2293.1</v>
      </c>
      <c r="D2181" s="185">
        <f t="shared" si="71"/>
        <v>-0.21120704482129959</v>
      </c>
      <c r="E2181" s="185">
        <v>-8.9463220675945511E-3</v>
      </c>
      <c r="F2181" s="171"/>
      <c r="G2181" s="171">
        <v>2178</v>
      </c>
      <c r="H2181" s="186">
        <f t="shared" ref="H2181:H2244" ca="1" si="72">_xlfn.NORM.INV(RAND(),N$6,N$7)</f>
        <v>1.3853892426159389E-2</v>
      </c>
    </row>
    <row r="2182" spans="2:8">
      <c r="B2182" s="36">
        <v>45481</v>
      </c>
      <c r="C2182" s="185">
        <v>2907.1</v>
      </c>
      <c r="D2182" s="185">
        <f t="shared" si="71"/>
        <v>0.2366954524184286</v>
      </c>
      <c r="E2182" s="185">
        <v>-8.9825972830625753E-3</v>
      </c>
      <c r="F2182" s="171"/>
      <c r="G2182" s="171">
        <v>2179</v>
      </c>
      <c r="H2182" s="186">
        <f t="shared" ca="1" si="72"/>
        <v>-6.7106507161767978E-3</v>
      </c>
    </row>
    <row r="2183" spans="2:8">
      <c r="B2183" s="36">
        <v>45838</v>
      </c>
      <c r="C2183" s="185">
        <v>2350.6999999999998</v>
      </c>
      <c r="D2183" s="185">
        <f t="shared" si="71"/>
        <v>-0.29917715103452391</v>
      </c>
      <c r="E2183" s="185">
        <v>-9.0215420935036844E-3</v>
      </c>
      <c r="F2183" s="171"/>
      <c r="G2183" s="171">
        <v>2180</v>
      </c>
      <c r="H2183" s="186">
        <f t="shared" ca="1" si="72"/>
        <v>2.6658532579690482E-2</v>
      </c>
    </row>
    <row r="2184" spans="2:8">
      <c r="B2184" s="36">
        <v>44834</v>
      </c>
      <c r="C2184" s="185">
        <v>3354.2</v>
      </c>
      <c r="D2184" s="185">
        <f t="shared" si="71"/>
        <v>1.9898827829032402</v>
      </c>
      <c r="E2184" s="185">
        <v>-9.0404159773104353E-3</v>
      </c>
      <c r="F2184" s="171"/>
      <c r="G2184" s="171">
        <v>2181</v>
      </c>
      <c r="H2184" s="186">
        <f t="shared" ca="1" si="72"/>
        <v>9.9171872518805208E-3</v>
      </c>
    </row>
    <row r="2185" spans="2:8">
      <c r="B2185" s="36">
        <v>43081</v>
      </c>
      <c r="C2185" s="185">
        <v>1121.8499999999999</v>
      </c>
      <c r="D2185" s="185">
        <f t="shared" si="71"/>
        <v>-0.53544660234378239</v>
      </c>
      <c r="E2185" s="185">
        <v>-9.0539704973058924E-3</v>
      </c>
      <c r="F2185" s="171"/>
      <c r="G2185" s="171">
        <v>2182</v>
      </c>
      <c r="H2185" s="186">
        <f t="shared" ca="1" si="72"/>
        <v>1.4047312321411112E-2</v>
      </c>
    </row>
    <row r="2186" spans="2:8">
      <c r="B2186" s="36">
        <v>45779</v>
      </c>
      <c r="C2186" s="185">
        <v>2414.9</v>
      </c>
      <c r="D2186" s="185">
        <f t="shared" si="71"/>
        <v>0.39646099577863886</v>
      </c>
      <c r="E2186" s="185">
        <v>-9.109187148660219E-3</v>
      </c>
      <c r="F2186" s="171"/>
      <c r="G2186" s="171">
        <v>2183</v>
      </c>
      <c r="H2186" s="186">
        <f t="shared" ca="1" si="72"/>
        <v>-1.2566246598713263E-2</v>
      </c>
    </row>
    <row r="2187" spans="2:8">
      <c r="B2187" s="36">
        <v>43803</v>
      </c>
      <c r="C2187" s="185">
        <v>1729.3</v>
      </c>
      <c r="D2187" s="185">
        <f t="shared" si="71"/>
        <v>0.37737953006770208</v>
      </c>
      <c r="E2187" s="185">
        <v>-9.1107036442815096E-3</v>
      </c>
      <c r="F2187" s="171"/>
      <c r="G2187" s="171">
        <v>2184</v>
      </c>
      <c r="H2187" s="186">
        <f t="shared" ca="1" si="72"/>
        <v>6.0477668398399497E-3</v>
      </c>
    </row>
    <row r="2188" spans="2:8">
      <c r="B2188" s="36">
        <v>43390</v>
      </c>
      <c r="C2188" s="185">
        <v>1255.5</v>
      </c>
      <c r="D2188" s="185">
        <f t="shared" si="71"/>
        <v>-0.52507943713118477</v>
      </c>
      <c r="E2188" s="185">
        <v>-9.1156623653367696E-3</v>
      </c>
      <c r="F2188" s="171"/>
      <c r="G2188" s="171">
        <v>2185</v>
      </c>
      <c r="H2188" s="186">
        <f t="shared" ca="1" si="72"/>
        <v>4.254960689133047E-3</v>
      </c>
    </row>
    <row r="2189" spans="2:8">
      <c r="B2189" s="36">
        <v>44726</v>
      </c>
      <c r="C2189" s="185">
        <v>2643.6</v>
      </c>
      <c r="D2189" s="185">
        <f t="shared" si="71"/>
        <v>0.46944220560851557</v>
      </c>
      <c r="E2189" s="185">
        <v>-9.1268576997319707E-3</v>
      </c>
      <c r="F2189" s="171"/>
      <c r="G2189" s="171">
        <v>2186</v>
      </c>
      <c r="H2189" s="186">
        <f t="shared" ca="1" si="72"/>
        <v>1.156731459241103E-2</v>
      </c>
    </row>
    <row r="2190" spans="2:8">
      <c r="B2190" s="36">
        <v>43830</v>
      </c>
      <c r="C2190" s="185">
        <v>1799.05</v>
      </c>
      <c r="D2190" s="185">
        <f t="shared" si="71"/>
        <v>-0.45710362725571857</v>
      </c>
      <c r="E2190" s="185">
        <v>-9.1427312532702532E-3</v>
      </c>
      <c r="F2190" s="171"/>
      <c r="G2190" s="171">
        <v>2187</v>
      </c>
      <c r="H2190" s="186">
        <f t="shared" ca="1" si="72"/>
        <v>-2.3260345154705455E-2</v>
      </c>
    </row>
    <row r="2191" spans="2:8">
      <c r="B2191" s="36">
        <v>44456</v>
      </c>
      <c r="C2191" s="185">
        <v>3313.8</v>
      </c>
      <c r="D2191" s="185">
        <f t="shared" si="71"/>
        <v>0.46476009459190676</v>
      </c>
      <c r="E2191" s="185">
        <v>-9.1496232508072924E-3</v>
      </c>
      <c r="F2191" s="171"/>
      <c r="G2191" s="171">
        <v>2188</v>
      </c>
      <c r="H2191" s="186">
        <f t="shared" ca="1" si="72"/>
        <v>-3.4715924969509638E-3</v>
      </c>
    </row>
    <row r="2192" spans="2:8">
      <c r="B2192" s="36">
        <v>45652</v>
      </c>
      <c r="C2192" s="185">
        <v>2262.35</v>
      </c>
      <c r="D2192" s="185">
        <f t="shared" si="71"/>
        <v>0.34884483529587118</v>
      </c>
      <c r="E2192" s="185">
        <v>-9.1536187452097191E-3</v>
      </c>
      <c r="F2192" s="171"/>
      <c r="G2192" s="171">
        <v>2189</v>
      </c>
      <c r="H2192" s="186">
        <f t="shared" ca="1" si="72"/>
        <v>-1.2358636189985926E-3</v>
      </c>
    </row>
    <row r="2193" spans="2:8">
      <c r="B2193" s="36">
        <v>44027</v>
      </c>
      <c r="C2193" s="185">
        <v>1677.25</v>
      </c>
      <c r="D2193" s="185">
        <f t="shared" si="71"/>
        <v>-1.5293841366758619E-2</v>
      </c>
      <c r="E2193" s="185">
        <v>-9.1859640831757766E-3</v>
      </c>
      <c r="F2193" s="171"/>
      <c r="G2193" s="171">
        <v>2190</v>
      </c>
      <c r="H2193" s="186">
        <f t="shared" ca="1" si="72"/>
        <v>8.7806817538291348E-3</v>
      </c>
    </row>
    <row r="2194" spans="2:8">
      <c r="B2194" s="36">
        <v>44022</v>
      </c>
      <c r="C2194" s="185">
        <v>1703.3</v>
      </c>
      <c r="D2194" s="185">
        <f t="shared" si="71"/>
        <v>-0.21591824521831196</v>
      </c>
      <c r="E2194" s="185">
        <v>-9.1908556802978037E-3</v>
      </c>
      <c r="F2194" s="171"/>
      <c r="G2194" s="171">
        <v>2191</v>
      </c>
      <c r="H2194" s="186">
        <f t="shared" ca="1" si="72"/>
        <v>-1.6943237252425834E-2</v>
      </c>
    </row>
    <row r="2195" spans="2:8">
      <c r="B2195" s="36">
        <v>45719</v>
      </c>
      <c r="C2195" s="185">
        <v>2172.35</v>
      </c>
      <c r="D2195" s="185">
        <f t="shared" si="71"/>
        <v>1.3972081218274111</v>
      </c>
      <c r="E2195" s="185">
        <v>-9.2356106905044245E-3</v>
      </c>
      <c r="F2195" s="171"/>
      <c r="G2195" s="171">
        <v>2192</v>
      </c>
      <c r="H2195" s="186">
        <f t="shared" ca="1" si="72"/>
        <v>-1.1159168646099277E-3</v>
      </c>
    </row>
    <row r="2196" spans="2:8">
      <c r="B2196" s="36">
        <v>42719</v>
      </c>
      <c r="C2196" s="185">
        <v>906.2</v>
      </c>
      <c r="D2196" s="185">
        <f t="shared" si="71"/>
        <v>-0.31672007540056546</v>
      </c>
      <c r="E2196" s="185">
        <v>-9.2385065325533613E-3</v>
      </c>
      <c r="F2196" s="171"/>
      <c r="G2196" s="171">
        <v>2193</v>
      </c>
      <c r="H2196" s="186">
        <f t="shared" ca="1" si="72"/>
        <v>2.0338149517103502E-2</v>
      </c>
    </row>
    <row r="2197" spans="2:8">
      <c r="B2197" s="36">
        <v>43599</v>
      </c>
      <c r="C2197" s="185">
        <v>1326.25</v>
      </c>
      <c r="D2197" s="185">
        <f t="shared" si="71"/>
        <v>9.7453271917468907E-3</v>
      </c>
      <c r="E2197" s="185">
        <v>-9.3000672294016925E-3</v>
      </c>
      <c r="F2197" s="171"/>
      <c r="G2197" s="171">
        <v>2194</v>
      </c>
      <c r="H2197" s="186">
        <f t="shared" ca="1" si="72"/>
        <v>2.0662586216138899E-2</v>
      </c>
    </row>
    <row r="2198" spans="2:8">
      <c r="B2198" s="36">
        <v>43426</v>
      </c>
      <c r="C2198" s="185">
        <v>1313.45</v>
      </c>
      <c r="D2198" s="185">
        <f t="shared" si="71"/>
        <v>-0.45701647408999768</v>
      </c>
      <c r="E2198" s="185">
        <v>-9.3151304872529112E-3</v>
      </c>
      <c r="F2198" s="171"/>
      <c r="G2198" s="171">
        <v>2195</v>
      </c>
      <c r="H2198" s="186">
        <f t="shared" ca="1" si="72"/>
        <v>-1.4338774206699286E-2</v>
      </c>
    </row>
    <row r="2199" spans="2:8">
      <c r="B2199" s="36">
        <v>44225</v>
      </c>
      <c r="C2199" s="185">
        <v>2418.9499999999998</v>
      </c>
      <c r="D2199" s="185">
        <f t="shared" si="71"/>
        <v>1.0301720520352495</v>
      </c>
      <c r="E2199" s="185">
        <v>-9.3375652708099447E-3</v>
      </c>
      <c r="F2199" s="171"/>
      <c r="G2199" s="171">
        <v>2196</v>
      </c>
      <c r="H2199" s="186">
        <f t="shared" ca="1" si="72"/>
        <v>-1.5513736823876714E-2</v>
      </c>
    </row>
    <row r="2200" spans="2:8">
      <c r="B2200" s="36">
        <v>43034</v>
      </c>
      <c r="C2200" s="185">
        <v>1191.5</v>
      </c>
      <c r="D2200" s="185">
        <f t="shared" si="71"/>
        <v>-0.12780909157455525</v>
      </c>
      <c r="E2200" s="185">
        <v>-9.3535647474537516E-3</v>
      </c>
      <c r="F2200" s="171"/>
      <c r="G2200" s="171">
        <v>2197</v>
      </c>
      <c r="H2200" s="186">
        <f t="shared" ca="1" si="72"/>
        <v>-1.9511026614698026E-2</v>
      </c>
    </row>
    <row r="2201" spans="2:8">
      <c r="B2201" s="36">
        <v>43641</v>
      </c>
      <c r="C2201" s="185">
        <v>1366.1</v>
      </c>
      <c r="D2201" s="185">
        <f t="shared" si="71"/>
        <v>-0.51035842293906808</v>
      </c>
      <c r="E2201" s="185">
        <v>-9.3905224611145685E-3</v>
      </c>
      <c r="F2201" s="171"/>
      <c r="G2201" s="171">
        <v>2198</v>
      </c>
      <c r="H2201" s="186">
        <f t="shared" ca="1" si="72"/>
        <v>1.5874200545126213E-2</v>
      </c>
    </row>
    <row r="2202" spans="2:8">
      <c r="B2202" s="36">
        <v>45026</v>
      </c>
      <c r="C2202" s="185">
        <v>2790</v>
      </c>
      <c r="D2202" s="185">
        <f t="shared" si="71"/>
        <v>-7.4519430116265592E-2</v>
      </c>
      <c r="E2202" s="185">
        <v>-9.3912549486054493E-3</v>
      </c>
      <c r="F2202" s="171"/>
      <c r="G2202" s="171">
        <v>2199</v>
      </c>
      <c r="H2202" s="186">
        <f t="shared" ca="1" si="72"/>
        <v>-1.6083976095350196E-2</v>
      </c>
    </row>
    <row r="2203" spans="2:8">
      <c r="B2203" s="36">
        <v>44372</v>
      </c>
      <c r="C2203" s="185">
        <v>3014.65</v>
      </c>
      <c r="D2203" s="185">
        <f t="shared" si="71"/>
        <v>0.45920762845180202</v>
      </c>
      <c r="E2203" s="185">
        <v>-9.3978476957200067E-3</v>
      </c>
      <c r="F2203" s="171"/>
      <c r="G2203" s="171">
        <v>2200</v>
      </c>
      <c r="H2203" s="186">
        <f t="shared" ca="1" si="72"/>
        <v>1.7277277401887951E-2</v>
      </c>
    </row>
    <row r="2204" spans="2:8">
      <c r="B2204" s="36">
        <v>44120</v>
      </c>
      <c r="C2204" s="185">
        <v>2065.9499999999998</v>
      </c>
      <c r="D2204" s="185">
        <f t="shared" si="71"/>
        <v>1.037928483353884</v>
      </c>
      <c r="E2204" s="185">
        <v>-9.398000527438978E-3</v>
      </c>
      <c r="F2204" s="171"/>
      <c r="G2204" s="171">
        <v>2201</v>
      </c>
      <c r="H2204" s="186">
        <f t="shared" ca="1" si="72"/>
        <v>2.6128201840820188E-2</v>
      </c>
    </row>
    <row r="2205" spans="2:8">
      <c r="B2205" s="36">
        <v>42564</v>
      </c>
      <c r="C2205" s="185">
        <v>1013.75</v>
      </c>
      <c r="D2205" s="185">
        <f t="shared" si="71"/>
        <v>-0.65264690765804356</v>
      </c>
      <c r="E2205" s="185">
        <v>-9.4293531366034574E-3</v>
      </c>
      <c r="F2205" s="171"/>
      <c r="G2205" s="171">
        <v>2202</v>
      </c>
      <c r="H2205" s="186">
        <f t="shared" ca="1" si="72"/>
        <v>1.9619281152482007E-3</v>
      </c>
    </row>
    <row r="2206" spans="2:8">
      <c r="B2206" s="36">
        <v>45419</v>
      </c>
      <c r="C2206" s="185">
        <v>2918.5</v>
      </c>
      <c r="D2206" s="185">
        <f t="shared" si="71"/>
        <v>-0.11104003898813608</v>
      </c>
      <c r="E2206" s="185">
        <v>-9.4523732754085259E-3</v>
      </c>
      <c r="F2206" s="171"/>
      <c r="G2206" s="171">
        <v>2203</v>
      </c>
      <c r="H2206" s="186">
        <f t="shared" ca="1" si="72"/>
        <v>-1.3091458992599636E-3</v>
      </c>
    </row>
    <row r="2207" spans="2:8">
      <c r="B2207" s="36">
        <v>45300</v>
      </c>
      <c r="C2207" s="185">
        <v>3283.05</v>
      </c>
      <c r="D2207" s="185">
        <f t="shared" si="71"/>
        <v>1.4344134658164025</v>
      </c>
      <c r="E2207" s="185">
        <v>-9.4587255611875178E-3</v>
      </c>
      <c r="F2207" s="171"/>
      <c r="G2207" s="171">
        <v>2204</v>
      </c>
      <c r="H2207" s="186">
        <f t="shared" ca="1" si="72"/>
        <v>-7.1534537541527712E-3</v>
      </c>
    </row>
    <row r="2208" spans="2:8">
      <c r="B2208" s="36">
        <v>43595</v>
      </c>
      <c r="C2208" s="185">
        <v>1348.6</v>
      </c>
      <c r="D2208" s="185">
        <f t="shared" si="71"/>
        <v>-0.20333175803402651</v>
      </c>
      <c r="E2208" s="185">
        <v>-9.47484392214476E-3</v>
      </c>
      <c r="F2208" s="171"/>
      <c r="G2208" s="171">
        <v>2205</v>
      </c>
      <c r="H2208" s="186">
        <f t="shared" ca="1" si="72"/>
        <v>-2.3904313788530217E-2</v>
      </c>
    </row>
    <row r="2209" spans="2:8">
      <c r="B2209" s="36">
        <v>44026</v>
      </c>
      <c r="C2209" s="185">
        <v>1692.8</v>
      </c>
      <c r="D2209" s="185">
        <f t="shared" si="71"/>
        <v>0.59705646492759079</v>
      </c>
      <c r="E2209" s="185">
        <v>-9.4792276184903716E-3</v>
      </c>
      <c r="F2209" s="171"/>
      <c r="G2209" s="171">
        <v>2206</v>
      </c>
      <c r="H2209" s="186">
        <f t="shared" ca="1" si="72"/>
        <v>1.9159945673349464E-2</v>
      </c>
    </row>
    <row r="2210" spans="2:8">
      <c r="B2210" s="36">
        <v>42577</v>
      </c>
      <c r="C2210" s="185">
        <v>1059.95</v>
      </c>
      <c r="D2210" s="185">
        <f t="shared" si="71"/>
        <v>7.5545408422120791E-2</v>
      </c>
      <c r="E2210" s="185">
        <v>-9.4850948509483824E-3</v>
      </c>
      <c r="F2210" s="171"/>
      <c r="G2210" s="171">
        <v>2207</v>
      </c>
      <c r="H2210" s="186">
        <f t="shared" ca="1" si="72"/>
        <v>1.1510262405347197E-2</v>
      </c>
    </row>
    <row r="2211" spans="2:8">
      <c r="B2211" s="36">
        <v>42535</v>
      </c>
      <c r="C2211" s="185">
        <v>985.5</v>
      </c>
      <c r="D2211" s="185">
        <f t="shared" si="71"/>
        <v>-0.55053361306211801</v>
      </c>
      <c r="E2211" s="185">
        <v>-9.4979647218453641E-3</v>
      </c>
      <c r="F2211" s="171"/>
      <c r="G2211" s="171">
        <v>2208</v>
      </c>
      <c r="H2211" s="186">
        <f t="shared" ca="1" si="72"/>
        <v>-4.4798400580179905E-4</v>
      </c>
    </row>
    <row r="2212" spans="2:8">
      <c r="B2212" s="36">
        <v>45716</v>
      </c>
      <c r="C2212" s="185">
        <v>2192.6</v>
      </c>
      <c r="D2212" s="185">
        <f t="shared" si="71"/>
        <v>0.96170707703319303</v>
      </c>
      <c r="E2212" s="185">
        <v>-9.5091816682854931E-3</v>
      </c>
      <c r="F2212" s="171"/>
      <c r="G2212" s="171">
        <v>2209</v>
      </c>
      <c r="H2212" s="186">
        <f t="shared" ca="1" si="72"/>
        <v>-3.5207288690013794E-3</v>
      </c>
    </row>
    <row r="2213" spans="2:8">
      <c r="B2213" s="36">
        <v>42611</v>
      </c>
      <c r="C2213" s="185">
        <v>1117.7</v>
      </c>
      <c r="D2213" s="185">
        <f t="shared" si="71"/>
        <v>-0.59734130701059152</v>
      </c>
      <c r="E2213" s="185">
        <v>-9.5263414418006991E-3</v>
      </c>
      <c r="F2213" s="171"/>
      <c r="G2213" s="171">
        <v>2210</v>
      </c>
      <c r="H2213" s="186">
        <f t="shared" ca="1" si="72"/>
        <v>2.1874168974550395E-2</v>
      </c>
    </row>
    <row r="2214" spans="2:8">
      <c r="B2214" s="36">
        <v>44747</v>
      </c>
      <c r="C2214" s="185">
        <v>2775.8</v>
      </c>
      <c r="D2214" s="185">
        <f t="shared" si="71"/>
        <v>0.55869388213493576</v>
      </c>
      <c r="E2214" s="185">
        <v>-9.5448787711191595E-3</v>
      </c>
      <c r="F2214" s="171"/>
      <c r="G2214" s="171">
        <v>2211</v>
      </c>
      <c r="H2214" s="186">
        <f t="shared" ca="1" si="72"/>
        <v>1.0462882749948719E-2</v>
      </c>
    </row>
    <row r="2215" spans="2:8">
      <c r="B2215" s="36">
        <v>43780</v>
      </c>
      <c r="C2215" s="185">
        <v>1780.85</v>
      </c>
      <c r="D2215" s="185">
        <f t="shared" si="71"/>
        <v>0.60033249460819549</v>
      </c>
      <c r="E2215" s="185">
        <v>-9.5934597630832549E-3</v>
      </c>
      <c r="F2215" s="171"/>
      <c r="G2215" s="171">
        <v>2212</v>
      </c>
      <c r="H2215" s="186">
        <f t="shared" ca="1" si="72"/>
        <v>-2.1337463555023552E-2</v>
      </c>
    </row>
    <row r="2216" spans="2:8">
      <c r="B2216" s="36">
        <v>42920</v>
      </c>
      <c r="C2216" s="185">
        <v>1112.8</v>
      </c>
      <c r="D2216" s="185">
        <f t="shared" si="71"/>
        <v>-0.51594240723824447</v>
      </c>
      <c r="E2216" s="185">
        <v>-9.611961552153752E-3</v>
      </c>
      <c r="F2216" s="171"/>
      <c r="G2216" s="171">
        <v>2213</v>
      </c>
      <c r="H2216" s="186">
        <f t="shared" ca="1" si="72"/>
        <v>4.9717694400814747E-3</v>
      </c>
    </row>
    <row r="2217" spans="2:8">
      <c r="B2217" s="36">
        <v>45785</v>
      </c>
      <c r="C2217" s="185">
        <v>2298.9</v>
      </c>
      <c r="D2217" s="185">
        <f t="shared" si="71"/>
        <v>0.444531716359295</v>
      </c>
      <c r="E2217" s="185">
        <v>-9.7350850743053666E-3</v>
      </c>
      <c r="F2217" s="171"/>
      <c r="G2217" s="171">
        <v>2214</v>
      </c>
      <c r="H2217" s="186">
        <f t="shared" ca="1" si="72"/>
        <v>9.148368928879754E-5</v>
      </c>
    </row>
    <row r="2218" spans="2:8">
      <c r="B2218" s="36">
        <v>43909</v>
      </c>
      <c r="C2218" s="185">
        <v>1591.45</v>
      </c>
      <c r="D2218" s="185">
        <f t="shared" si="71"/>
        <v>0.24268925936048094</v>
      </c>
      <c r="E2218" s="185">
        <v>-9.7380374587765946E-3</v>
      </c>
      <c r="F2218" s="171"/>
      <c r="G2218" s="171">
        <v>2215</v>
      </c>
      <c r="H2218" s="186">
        <f t="shared" ca="1" si="72"/>
        <v>3.3092469837246235E-3</v>
      </c>
    </row>
    <row r="2219" spans="2:8">
      <c r="B2219" s="36">
        <v>43255</v>
      </c>
      <c r="C2219" s="185">
        <v>1280.6500000000001</v>
      </c>
      <c r="D2219" s="185">
        <f t="shared" si="71"/>
        <v>-0.16491147989957933</v>
      </c>
      <c r="E2219" s="185">
        <v>-9.7428958051420135E-3</v>
      </c>
      <c r="F2219" s="171"/>
      <c r="G2219" s="171">
        <v>2216</v>
      </c>
      <c r="H2219" s="186">
        <f t="shared" ca="1" si="72"/>
        <v>-2.6989186656762314E-3</v>
      </c>
    </row>
    <row r="2220" spans="2:8">
      <c r="B2220" s="36">
        <v>43682</v>
      </c>
      <c r="C2220" s="185">
        <v>1533.55</v>
      </c>
      <c r="D2220" s="185">
        <f t="shared" si="71"/>
        <v>-0.51355252097508375</v>
      </c>
      <c r="E2220" s="185">
        <v>-9.7823981403758579E-3</v>
      </c>
      <c r="F2220" s="171"/>
      <c r="G2220" s="171">
        <v>2217</v>
      </c>
      <c r="H2220" s="186">
        <f t="shared" ca="1" si="72"/>
        <v>3.9493549198592196E-3</v>
      </c>
    </row>
    <row r="2221" spans="2:8">
      <c r="B2221" s="36">
        <v>45527</v>
      </c>
      <c r="C2221" s="185">
        <v>3152.55</v>
      </c>
      <c r="D2221" s="185">
        <f t="shared" si="71"/>
        <v>0.31257806645016234</v>
      </c>
      <c r="E2221" s="185">
        <v>-9.7997644287396365E-3</v>
      </c>
      <c r="F2221" s="171"/>
      <c r="G2221" s="171">
        <v>2218</v>
      </c>
      <c r="H2221" s="186">
        <f t="shared" ca="1" si="72"/>
        <v>-1.1494474381993245E-2</v>
      </c>
    </row>
    <row r="2222" spans="2:8">
      <c r="B2222" s="36">
        <v>46063</v>
      </c>
      <c r="C2222" s="185">
        <v>2401.8000000000002</v>
      </c>
      <c r="D2222" s="185">
        <f t="shared" si="71"/>
        <v>0.88450372695174595</v>
      </c>
      <c r="E2222" s="185">
        <v>-9.8120052770447434E-3</v>
      </c>
      <c r="F2222" s="171"/>
      <c r="G2222" s="171">
        <v>2219</v>
      </c>
      <c r="H2222" s="186">
        <f t="shared" ca="1" si="72"/>
        <v>-9.173133351028739E-3</v>
      </c>
    </row>
    <row r="2223" spans="2:8">
      <c r="B2223" s="36">
        <v>43259</v>
      </c>
      <c r="C2223" s="185">
        <v>1274.5</v>
      </c>
      <c r="D2223" s="185">
        <f t="shared" si="71"/>
        <v>-0.48907596712768092</v>
      </c>
      <c r="E2223" s="185">
        <v>-9.8279143844929411E-3</v>
      </c>
      <c r="F2223" s="171"/>
      <c r="G2223" s="171">
        <v>2220</v>
      </c>
      <c r="H2223" s="186">
        <f t="shared" ca="1" si="72"/>
        <v>6.5540488873295074E-3</v>
      </c>
    </row>
    <row r="2224" spans="2:8">
      <c r="B2224" s="36">
        <v>45965</v>
      </c>
      <c r="C2224" s="185">
        <v>2494.5</v>
      </c>
      <c r="D2224" s="185">
        <f t="shared" si="71"/>
        <v>1.9283324528966368</v>
      </c>
      <c r="E2224" s="185">
        <v>-9.9226036912085733E-3</v>
      </c>
      <c r="F2224" s="171"/>
      <c r="G2224" s="171">
        <v>2221</v>
      </c>
      <c r="H2224" s="186">
        <f t="shared" ca="1" si="72"/>
        <v>-7.0255971160375951E-3</v>
      </c>
    </row>
    <row r="2225" spans="2:8">
      <c r="B2225" s="36">
        <v>42247</v>
      </c>
      <c r="C2225" s="185">
        <v>851.85</v>
      </c>
      <c r="D2225" s="185">
        <f t="shared" si="71"/>
        <v>-0.72801724137931034</v>
      </c>
      <c r="E2225" s="185">
        <v>-9.9372384937237972E-3</v>
      </c>
      <c r="F2225" s="171"/>
      <c r="G2225" s="171">
        <v>2222</v>
      </c>
      <c r="H2225" s="186">
        <f t="shared" ca="1" si="72"/>
        <v>-1.2314249749508159E-3</v>
      </c>
    </row>
    <row r="2226" spans="2:8">
      <c r="B2226" s="36">
        <v>44663</v>
      </c>
      <c r="C2226" s="185">
        <v>3132</v>
      </c>
      <c r="D2226" s="185">
        <f t="shared" si="71"/>
        <v>-3.6292866044092931E-2</v>
      </c>
      <c r="E2226" s="185">
        <v>-9.9416775988240124E-3</v>
      </c>
      <c r="F2226" s="171"/>
      <c r="G2226" s="171">
        <v>2223</v>
      </c>
      <c r="H2226" s="186">
        <f t="shared" ca="1" si="72"/>
        <v>1.8250752035159863E-2</v>
      </c>
    </row>
    <row r="2227" spans="2:8">
      <c r="B2227" s="36">
        <v>45559</v>
      </c>
      <c r="C2227" s="185">
        <v>3249.95</v>
      </c>
      <c r="D2227" s="185">
        <f t="shared" si="71"/>
        <v>0.13634615384615378</v>
      </c>
      <c r="E2227" s="185">
        <v>-9.9614640610483206E-3</v>
      </c>
      <c r="F2227" s="171"/>
      <c r="G2227" s="171">
        <v>2224</v>
      </c>
      <c r="H2227" s="186">
        <f t="shared" ca="1" si="72"/>
        <v>-3.4250996116590153E-2</v>
      </c>
    </row>
    <row r="2228" spans="2:8">
      <c r="B2228" s="36">
        <v>45981</v>
      </c>
      <c r="C2228" s="185">
        <v>2860</v>
      </c>
      <c r="D2228" s="185">
        <f t="shared" si="71"/>
        <v>0.94010107519587549</v>
      </c>
      <c r="E2228" s="185">
        <v>-1.0038075458636206E-2</v>
      </c>
      <c r="F2228" s="171"/>
      <c r="G2228" s="171">
        <v>2225</v>
      </c>
      <c r="H2228" s="186">
        <f t="shared" ca="1" si="72"/>
        <v>-1.5418360787539328E-2</v>
      </c>
    </row>
    <row r="2229" spans="2:8">
      <c r="B2229" s="36">
        <v>43551</v>
      </c>
      <c r="C2229" s="185">
        <v>1474.15</v>
      </c>
      <c r="D2229" s="185">
        <f t="shared" si="71"/>
        <v>-0.36516515223289259</v>
      </c>
      <c r="E2229" s="185">
        <v>-1.0039621247733409E-2</v>
      </c>
      <c r="F2229" s="171"/>
      <c r="G2229" s="171">
        <v>2226</v>
      </c>
      <c r="H2229" s="186">
        <f t="shared" ca="1" si="72"/>
        <v>1.3687419372191379E-2</v>
      </c>
    </row>
    <row r="2230" spans="2:8">
      <c r="B2230" s="36">
        <v>45748</v>
      </c>
      <c r="C2230" s="185">
        <v>2322.1</v>
      </c>
      <c r="D2230" s="185">
        <f t="shared" si="71"/>
        <v>-0.30712538043802595</v>
      </c>
      <c r="E2230" s="185">
        <v>-1.0039861019333737E-2</v>
      </c>
      <c r="F2230" s="171"/>
      <c r="G2230" s="171">
        <v>2227</v>
      </c>
      <c r="H2230" s="186">
        <f t="shared" ca="1" si="72"/>
        <v>3.1774680941377233E-2</v>
      </c>
    </row>
    <row r="2231" spans="2:8">
      <c r="B2231" s="36">
        <v>45141</v>
      </c>
      <c r="C2231" s="185">
        <v>3351.4</v>
      </c>
      <c r="D2231" s="185">
        <f t="shared" si="71"/>
        <v>0.64381008436335108</v>
      </c>
      <c r="E2231" s="185">
        <v>-1.0043126366160572E-2</v>
      </c>
      <c r="F2231" s="171"/>
      <c r="G2231" s="171">
        <v>2228</v>
      </c>
      <c r="H2231" s="186">
        <f t="shared" ca="1" si="72"/>
        <v>-6.0564685148117407E-3</v>
      </c>
    </row>
    <row r="2232" spans="2:8">
      <c r="B2232" s="36">
        <v>44085</v>
      </c>
      <c r="C2232" s="185">
        <v>2038.8</v>
      </c>
      <c r="D2232" s="185">
        <f t="shared" si="71"/>
        <v>0.17996353850160607</v>
      </c>
      <c r="E2232" s="185">
        <v>-1.0075016387074956E-2</v>
      </c>
      <c r="F2232" s="171"/>
      <c r="G2232" s="171">
        <v>2229</v>
      </c>
      <c r="H2232" s="186">
        <f t="shared" ca="1" si="72"/>
        <v>-1.4931861061500901E-2</v>
      </c>
    </row>
    <row r="2233" spans="2:8">
      <c r="B2233" s="36">
        <v>43788</v>
      </c>
      <c r="C2233" s="185">
        <v>1727.85</v>
      </c>
      <c r="D2233" s="185">
        <f t="shared" si="71"/>
        <v>-0.40068677268864578</v>
      </c>
      <c r="E2233" s="185">
        <v>-1.0083359592082348E-2</v>
      </c>
      <c r="F2233" s="171"/>
      <c r="G2233" s="171">
        <v>2230</v>
      </c>
      <c r="H2233" s="186">
        <f t="shared" ca="1" si="72"/>
        <v>1.9017910846206611E-2</v>
      </c>
    </row>
    <row r="2234" spans="2:8">
      <c r="B2234" s="36">
        <v>45601</v>
      </c>
      <c r="C2234" s="185">
        <v>2883.05</v>
      </c>
      <c r="D2234" s="185">
        <f t="shared" si="71"/>
        <v>-8.8060858150532079E-2</v>
      </c>
      <c r="E2234" s="185">
        <v>-1.0111587982832555E-2</v>
      </c>
      <c r="F2234" s="171"/>
      <c r="G2234" s="171">
        <v>2231</v>
      </c>
      <c r="H2234" s="186">
        <f t="shared" ca="1" si="72"/>
        <v>1.6581594731182477E-2</v>
      </c>
    </row>
    <row r="2235" spans="2:8">
      <c r="B2235" s="36">
        <v>44909</v>
      </c>
      <c r="C2235" s="185">
        <v>3161.45</v>
      </c>
      <c r="D2235" s="185">
        <f t="shared" si="71"/>
        <v>2.4764130195733447</v>
      </c>
      <c r="E2235" s="185">
        <v>-1.01135029354208E-2</v>
      </c>
      <c r="F2235" s="171"/>
      <c r="G2235" s="171">
        <v>2232</v>
      </c>
      <c r="H2235" s="186">
        <f t="shared" ca="1" si="72"/>
        <v>-1.1622398397179027E-3</v>
      </c>
    </row>
    <row r="2236" spans="2:8">
      <c r="B2236" s="36">
        <v>42692</v>
      </c>
      <c r="C2236" s="185">
        <v>909.4</v>
      </c>
      <c r="D2236" s="185">
        <f t="shared" si="71"/>
        <v>-0.43087802741097697</v>
      </c>
      <c r="E2236" s="185">
        <v>-1.0122999891150612E-2</v>
      </c>
      <c r="F2236" s="171"/>
      <c r="G2236" s="171">
        <v>2233</v>
      </c>
      <c r="H2236" s="186">
        <f t="shared" ca="1" si="72"/>
        <v>-6.9204357544111654E-3</v>
      </c>
    </row>
    <row r="2237" spans="2:8">
      <c r="B2237" s="36">
        <v>43958</v>
      </c>
      <c r="C2237" s="185">
        <v>1597.9</v>
      </c>
      <c r="D2237" s="185">
        <f t="shared" si="71"/>
        <v>0.49595094321958522</v>
      </c>
      <c r="E2237" s="185">
        <v>-1.0128542666873104E-2</v>
      </c>
      <c r="F2237" s="171"/>
      <c r="G2237" s="171">
        <v>2234</v>
      </c>
      <c r="H2237" s="186">
        <f t="shared" ca="1" si="72"/>
        <v>1.1561759042890229E-2</v>
      </c>
    </row>
    <row r="2238" spans="2:8">
      <c r="B2238" s="36">
        <v>42676</v>
      </c>
      <c r="C2238" s="185">
        <v>1068.1500000000001</v>
      </c>
      <c r="D2238" s="185">
        <f t="shared" si="71"/>
        <v>-0.61821106246090607</v>
      </c>
      <c r="E2238" s="185">
        <v>-1.0147345009730163E-2</v>
      </c>
      <c r="F2238" s="171"/>
      <c r="G2238" s="171">
        <v>2235</v>
      </c>
      <c r="H2238" s="186">
        <f t="shared" ca="1" si="72"/>
        <v>-4.3604679542337899E-3</v>
      </c>
    </row>
    <row r="2239" spans="2:8">
      <c r="B2239" s="36">
        <v>45400</v>
      </c>
      <c r="C2239" s="185">
        <v>2797.75</v>
      </c>
      <c r="D2239" s="185">
        <f t="shared" si="71"/>
        <v>1.0488081725312146</v>
      </c>
      <c r="E2239" s="185">
        <v>-1.0171590306032196E-2</v>
      </c>
      <c r="F2239" s="171"/>
      <c r="G2239" s="171">
        <v>2236</v>
      </c>
      <c r="H2239" s="186">
        <f t="shared" ca="1" si="72"/>
        <v>-3.5669403017527995E-2</v>
      </c>
    </row>
    <row r="2240" spans="2:8">
      <c r="B2240" s="36">
        <v>43346</v>
      </c>
      <c r="C2240" s="185">
        <v>1365.55</v>
      </c>
      <c r="D2240" s="185">
        <f t="shared" si="71"/>
        <v>-0.54877988335784034</v>
      </c>
      <c r="E2240" s="185">
        <v>-1.0184111336619278E-2</v>
      </c>
      <c r="F2240" s="171"/>
      <c r="G2240" s="171">
        <v>2237</v>
      </c>
      <c r="H2240" s="186">
        <f t="shared" ca="1" si="72"/>
        <v>2.0051551752327108E-2</v>
      </c>
    </row>
    <row r="2241" spans="2:8">
      <c r="B2241" s="36">
        <v>45517</v>
      </c>
      <c r="C2241" s="185">
        <v>3026.35</v>
      </c>
      <c r="D2241" s="185">
        <f t="shared" si="71"/>
        <v>1.3358675517134919</v>
      </c>
      <c r="E2241" s="185">
        <v>-1.0188062142273129E-2</v>
      </c>
      <c r="F2241" s="171"/>
      <c r="G2241" s="171">
        <v>2238</v>
      </c>
      <c r="H2241" s="186">
        <f t="shared" ca="1" si="72"/>
        <v>5.4469365998204688E-3</v>
      </c>
    </row>
    <row r="2242" spans="2:8">
      <c r="B2242" s="36">
        <v>43361</v>
      </c>
      <c r="C2242" s="185">
        <v>1295.5999999999999</v>
      </c>
      <c r="D2242" s="185">
        <f t="shared" si="71"/>
        <v>-0.27614045869765624</v>
      </c>
      <c r="E2242" s="185">
        <v>-1.0199014477252863E-2</v>
      </c>
      <c r="F2242" s="171"/>
      <c r="G2242" s="171">
        <v>2239</v>
      </c>
      <c r="H2242" s="186">
        <f t="shared" ca="1" si="72"/>
        <v>-1.1520987059099095E-2</v>
      </c>
    </row>
    <row r="2243" spans="2:8">
      <c r="B2243" s="36">
        <v>44053</v>
      </c>
      <c r="C2243" s="185">
        <v>1789.85</v>
      </c>
      <c r="D2243" s="185">
        <f t="shared" si="71"/>
        <v>-0.44405963658953257</v>
      </c>
      <c r="E2243" s="185">
        <v>-1.0202953049825828E-2</v>
      </c>
      <c r="F2243" s="171"/>
      <c r="G2243" s="171">
        <v>2240</v>
      </c>
      <c r="H2243" s="186">
        <f t="shared" ca="1" si="72"/>
        <v>-2.1564853045924981E-2</v>
      </c>
    </row>
    <row r="2244" spans="2:8">
      <c r="B2244" s="36">
        <v>44847</v>
      </c>
      <c r="C2244" s="185">
        <v>3219.5</v>
      </c>
      <c r="D2244" s="185">
        <f t="shared" ref="D2244:D2307" si="73">(C2244-C2245)/C2245</f>
        <v>2.5768247972447504</v>
      </c>
      <c r="E2244" s="185">
        <v>-1.0206905032741975E-2</v>
      </c>
      <c r="F2244" s="171"/>
      <c r="G2244" s="171">
        <v>2241</v>
      </c>
      <c r="H2244" s="186">
        <f t="shared" ca="1" si="72"/>
        <v>-3.5917037596441739E-3</v>
      </c>
    </row>
    <row r="2245" spans="2:8">
      <c r="B2245" s="36">
        <v>42695</v>
      </c>
      <c r="C2245" s="185">
        <v>900.1</v>
      </c>
      <c r="D2245" s="185">
        <f t="shared" si="73"/>
        <v>-0.67671144314345233</v>
      </c>
      <c r="E2245" s="185">
        <v>-1.0226522982186006E-2</v>
      </c>
      <c r="F2245" s="171"/>
      <c r="G2245" s="171">
        <v>2242</v>
      </c>
      <c r="H2245" s="186">
        <f t="shared" ref="H2245:H2308" ca="1" si="74">_xlfn.NORM.INV(RAND(),N$6,N$7)</f>
        <v>2.1092898556396313E-2</v>
      </c>
    </row>
    <row r="2246" spans="2:8">
      <c r="B2246" s="36">
        <v>45013</v>
      </c>
      <c r="C2246" s="185">
        <v>2784.2</v>
      </c>
      <c r="D2246" s="185">
        <f t="shared" si="73"/>
        <v>0.84335275423728795</v>
      </c>
      <c r="E2246" s="185">
        <v>-1.0308545428693304E-2</v>
      </c>
      <c r="F2246" s="171"/>
      <c r="G2246" s="171">
        <v>2243</v>
      </c>
      <c r="H2246" s="186">
        <f t="shared" ca="1" si="74"/>
        <v>-1.761950002674733E-2</v>
      </c>
    </row>
    <row r="2247" spans="2:8">
      <c r="B2247" s="36">
        <v>43558</v>
      </c>
      <c r="C2247" s="185">
        <v>1510.4</v>
      </c>
      <c r="D2247" s="185">
        <f t="shared" si="73"/>
        <v>0.59224119755429061</v>
      </c>
      <c r="E2247" s="185">
        <v>-1.0320086492153458E-2</v>
      </c>
      <c r="F2247" s="171"/>
      <c r="G2247" s="171">
        <v>2244</v>
      </c>
      <c r="H2247" s="186">
        <f t="shared" ca="1" si="74"/>
        <v>-2.7909599166888389E-2</v>
      </c>
    </row>
    <row r="2248" spans="2:8">
      <c r="B2248" s="36">
        <v>42513</v>
      </c>
      <c r="C2248" s="185">
        <v>948.6</v>
      </c>
      <c r="D2248" s="185">
        <f t="shared" si="73"/>
        <v>-0.33777793291214353</v>
      </c>
      <c r="E2248" s="185">
        <v>-1.0328638497652559E-2</v>
      </c>
      <c r="F2248" s="171"/>
      <c r="G2248" s="171">
        <v>2245</v>
      </c>
      <c r="H2248" s="186">
        <f t="shared" ca="1" si="74"/>
        <v>-6.3520157533816304E-3</v>
      </c>
    </row>
    <row r="2249" spans="2:8">
      <c r="B2249" s="36">
        <v>43307</v>
      </c>
      <c r="C2249" s="185">
        <v>1432.45</v>
      </c>
      <c r="D2249" s="185">
        <f t="shared" si="73"/>
        <v>-0.54043215322671201</v>
      </c>
      <c r="E2249" s="185">
        <v>-1.0328865552024349E-2</v>
      </c>
      <c r="F2249" s="171"/>
      <c r="G2249" s="171">
        <v>2246</v>
      </c>
      <c r="H2249" s="186">
        <f t="shared" ca="1" si="74"/>
        <v>-4.5480285496785836E-4</v>
      </c>
    </row>
    <row r="2250" spans="2:8">
      <c r="B2250" s="36">
        <v>44588</v>
      </c>
      <c r="C2250" s="185">
        <v>3116.95</v>
      </c>
      <c r="D2250" s="185">
        <f t="shared" si="73"/>
        <v>0.41060801484397969</v>
      </c>
      <c r="E2250" s="185">
        <v>-1.035068501849482E-2</v>
      </c>
      <c r="F2250" s="171"/>
      <c r="G2250" s="171">
        <v>2247</v>
      </c>
      <c r="H2250" s="186">
        <f t="shared" ca="1" si="74"/>
        <v>-1.7497407609406816E-3</v>
      </c>
    </row>
    <row r="2251" spans="2:8">
      <c r="B2251" s="36">
        <v>44145</v>
      </c>
      <c r="C2251" s="185">
        <v>2209.65</v>
      </c>
      <c r="D2251" s="185">
        <f t="shared" si="73"/>
        <v>0.5827304634338516</v>
      </c>
      <c r="E2251" s="185">
        <v>-1.0368147617341495E-2</v>
      </c>
      <c r="F2251" s="171"/>
      <c r="G2251" s="171">
        <v>2248</v>
      </c>
      <c r="H2251" s="186">
        <f t="shared" ca="1" si="74"/>
        <v>2.629754308539887E-3</v>
      </c>
    </row>
    <row r="2252" spans="2:8">
      <c r="B2252" s="36">
        <v>43341</v>
      </c>
      <c r="C2252" s="185">
        <v>1396.1</v>
      </c>
      <c r="D2252" s="185">
        <f t="shared" si="73"/>
        <v>0.260871528561752</v>
      </c>
      <c r="E2252" s="185">
        <v>-1.0419620073717073E-2</v>
      </c>
      <c r="F2252" s="171"/>
      <c r="G2252" s="171">
        <v>2249</v>
      </c>
      <c r="H2252" s="186">
        <f t="shared" ca="1" si="74"/>
        <v>-4.5856423854237945E-3</v>
      </c>
    </row>
    <row r="2253" spans="2:8">
      <c r="B2253" s="36">
        <v>43164</v>
      </c>
      <c r="C2253" s="185">
        <v>1107.25</v>
      </c>
      <c r="D2253" s="185">
        <f t="shared" si="73"/>
        <v>3.0911037661189002E-2</v>
      </c>
      <c r="E2253" s="185">
        <v>-1.0456231288261357E-2</v>
      </c>
      <c r="F2253" s="171"/>
      <c r="G2253" s="171">
        <v>2250</v>
      </c>
      <c r="H2253" s="186">
        <f t="shared" ca="1" si="74"/>
        <v>-1.9308690342593898E-2</v>
      </c>
    </row>
    <row r="2254" spans="2:8">
      <c r="B2254" s="36">
        <v>42671</v>
      </c>
      <c r="C2254" s="185">
        <v>1074.05</v>
      </c>
      <c r="D2254" s="185">
        <f t="shared" si="73"/>
        <v>-0.42901570931128891</v>
      </c>
      <c r="E2254" s="185">
        <v>-1.045697438732277E-2</v>
      </c>
      <c r="F2254" s="171"/>
      <c r="G2254" s="171">
        <v>2251</v>
      </c>
      <c r="H2254" s="186">
        <f t="shared" ca="1" si="74"/>
        <v>1.8217250102123297E-2</v>
      </c>
    </row>
    <row r="2255" spans="2:8">
      <c r="B2255" s="36">
        <v>43874</v>
      </c>
      <c r="C2255" s="185">
        <v>1881.05</v>
      </c>
      <c r="D2255" s="185">
        <f t="shared" si="73"/>
        <v>0.55035852633314108</v>
      </c>
      <c r="E2255" s="185">
        <v>-1.0468449985533597E-2</v>
      </c>
      <c r="F2255" s="171"/>
      <c r="G2255" s="171">
        <v>2252</v>
      </c>
      <c r="H2255" s="186">
        <f t="shared" ca="1" si="74"/>
        <v>-7.4453375104515116E-3</v>
      </c>
    </row>
    <row r="2256" spans="2:8">
      <c r="B2256" s="36">
        <v>43230</v>
      </c>
      <c r="C2256" s="185">
        <v>1213.3</v>
      </c>
      <c r="D2256" s="185">
        <f t="shared" si="73"/>
        <v>-0.14278649145117997</v>
      </c>
      <c r="E2256" s="185">
        <v>-1.0520306638395115E-2</v>
      </c>
      <c r="F2256" s="171"/>
      <c r="G2256" s="171">
        <v>2253</v>
      </c>
      <c r="H2256" s="186">
        <f t="shared" ca="1" si="74"/>
        <v>-2.5845454632251914E-3</v>
      </c>
    </row>
    <row r="2257" spans="2:8">
      <c r="B2257" s="36">
        <v>43630</v>
      </c>
      <c r="C2257" s="185">
        <v>1415.4</v>
      </c>
      <c r="D2257" s="185">
        <f t="shared" si="73"/>
        <v>-0.56831109416698433</v>
      </c>
      <c r="E2257" s="185">
        <v>-1.0521164668460942E-2</v>
      </c>
      <c r="F2257" s="171"/>
      <c r="G2257" s="171">
        <v>2254</v>
      </c>
      <c r="H2257" s="186">
        <f t="shared" ca="1" si="74"/>
        <v>-1.422181985391343E-3</v>
      </c>
    </row>
    <row r="2258" spans="2:8">
      <c r="B2258" s="36">
        <v>44459</v>
      </c>
      <c r="C2258" s="185">
        <v>3278.75</v>
      </c>
      <c r="D2258" s="185">
        <f t="shared" si="73"/>
        <v>2.4064935064935065</v>
      </c>
      <c r="E2258" s="185">
        <v>-1.0576981109300556E-2</v>
      </c>
      <c r="F2258" s="171"/>
      <c r="G2258" s="171">
        <v>2255</v>
      </c>
      <c r="H2258" s="186">
        <f t="shared" ca="1" si="74"/>
        <v>-7.1201949936740691E-3</v>
      </c>
    </row>
    <row r="2259" spans="2:8">
      <c r="B2259" s="36">
        <v>42783</v>
      </c>
      <c r="C2259" s="185">
        <v>962.5</v>
      </c>
      <c r="D2259" s="185">
        <f t="shared" si="73"/>
        <v>-0.68520032706459522</v>
      </c>
      <c r="E2259" s="185">
        <v>-1.0587993421052586E-2</v>
      </c>
      <c r="F2259" s="171"/>
      <c r="G2259" s="171">
        <v>2256</v>
      </c>
      <c r="H2259" s="186">
        <f t="shared" ca="1" si="74"/>
        <v>-2.9025686651367847E-2</v>
      </c>
    </row>
    <row r="2260" spans="2:8">
      <c r="B2260" s="36">
        <v>44918</v>
      </c>
      <c r="C2260" s="185">
        <v>3057.5</v>
      </c>
      <c r="D2260" s="185">
        <f t="shared" si="73"/>
        <v>2.284892278870607E-2</v>
      </c>
      <c r="E2260" s="185">
        <v>-1.0597848070544454E-2</v>
      </c>
      <c r="F2260" s="171"/>
      <c r="G2260" s="171">
        <v>2257</v>
      </c>
      <c r="H2260" s="186">
        <f t="shared" ca="1" si="74"/>
        <v>2.1693564554327551E-2</v>
      </c>
    </row>
    <row r="2261" spans="2:8">
      <c r="B2261" s="36">
        <v>45485</v>
      </c>
      <c r="C2261" s="185">
        <v>2989.2</v>
      </c>
      <c r="D2261" s="185">
        <f t="shared" si="73"/>
        <v>1.1268632822227753</v>
      </c>
      <c r="E2261" s="185">
        <v>-1.0624565584351226E-2</v>
      </c>
      <c r="F2261" s="171"/>
      <c r="G2261" s="171">
        <v>2258</v>
      </c>
      <c r="H2261" s="186">
        <f t="shared" ca="1" si="74"/>
        <v>3.0071558741851644E-2</v>
      </c>
    </row>
    <row r="2262" spans="2:8">
      <c r="B2262" s="36">
        <v>43318</v>
      </c>
      <c r="C2262" s="185">
        <v>1405.45</v>
      </c>
      <c r="D2262" s="185">
        <f t="shared" si="73"/>
        <v>-0.54211666585218843</v>
      </c>
      <c r="E2262" s="185">
        <v>-1.0664507954385376E-2</v>
      </c>
      <c r="F2262" s="171"/>
      <c r="G2262" s="171">
        <v>2259</v>
      </c>
      <c r="H2262" s="186">
        <f t="shared" ca="1" si="74"/>
        <v>-1.0255617818017274E-2</v>
      </c>
    </row>
    <row r="2263" spans="2:8">
      <c r="B2263" s="36">
        <v>45222</v>
      </c>
      <c r="C2263" s="185">
        <v>3069.45</v>
      </c>
      <c r="D2263" s="185">
        <f t="shared" si="73"/>
        <v>6.7096594760903197E-2</v>
      </c>
      <c r="E2263" s="185">
        <v>-1.0668643535156681E-2</v>
      </c>
      <c r="F2263" s="171"/>
      <c r="G2263" s="171">
        <v>2260</v>
      </c>
      <c r="H2263" s="186">
        <f t="shared" ca="1" si="74"/>
        <v>-5.5138069380203467E-3</v>
      </c>
    </row>
    <row r="2264" spans="2:8">
      <c r="B2264" s="36">
        <v>45436</v>
      </c>
      <c r="C2264" s="185">
        <v>2876.45</v>
      </c>
      <c r="D2264" s="185">
        <f t="shared" si="73"/>
        <v>0.88354123694463516</v>
      </c>
      <c r="E2264" s="185">
        <v>-1.067927773000866E-2</v>
      </c>
      <c r="F2264" s="171"/>
      <c r="G2264" s="171">
        <v>2261</v>
      </c>
      <c r="H2264" s="186">
        <f t="shared" ca="1" si="74"/>
        <v>1.5370007322751563E-3</v>
      </c>
    </row>
    <row r="2265" spans="2:8">
      <c r="B2265" s="36">
        <v>43713</v>
      </c>
      <c r="C2265" s="185">
        <v>1527.15</v>
      </c>
      <c r="D2265" s="185">
        <f t="shared" si="73"/>
        <v>0.9138417194059778</v>
      </c>
      <c r="E2265" s="185">
        <v>-1.0720995011984164E-2</v>
      </c>
      <c r="F2265" s="171"/>
      <c r="G2265" s="171">
        <v>2262</v>
      </c>
      <c r="H2265" s="186">
        <f t="shared" ca="1" si="74"/>
        <v>-9.1585793094094202E-4</v>
      </c>
    </row>
    <row r="2266" spans="2:8">
      <c r="B2266" s="36">
        <v>42275</v>
      </c>
      <c r="C2266" s="185">
        <v>797.95</v>
      </c>
      <c r="D2266" s="185">
        <f t="shared" si="73"/>
        <v>-0.76557427618725848</v>
      </c>
      <c r="E2266" s="185">
        <v>-1.0724026779072622E-2</v>
      </c>
      <c r="F2266" s="171"/>
      <c r="G2266" s="171">
        <v>2263</v>
      </c>
      <c r="H2266" s="186">
        <f t="shared" ca="1" si="74"/>
        <v>-3.844708033230558E-2</v>
      </c>
    </row>
    <row r="2267" spans="2:8">
      <c r="B2267" s="36">
        <v>44827</v>
      </c>
      <c r="C2267" s="185">
        <v>3403.85</v>
      </c>
      <c r="D2267" s="185">
        <f t="shared" si="73"/>
        <v>1.6324194733382316</v>
      </c>
      <c r="E2267" s="185">
        <v>-1.0724406016130231E-2</v>
      </c>
      <c r="F2267" s="171"/>
      <c r="G2267" s="171">
        <v>2264</v>
      </c>
      <c r="H2267" s="186">
        <f t="shared" ca="1" si="74"/>
        <v>3.2451316582222537E-3</v>
      </c>
    </row>
    <row r="2268" spans="2:8">
      <c r="B2268" s="36">
        <v>43242</v>
      </c>
      <c r="C2268" s="185">
        <v>1293.05</v>
      </c>
      <c r="D2268" s="185">
        <f t="shared" si="73"/>
        <v>0.49572006940427987</v>
      </c>
      <c r="E2268" s="185">
        <v>-1.0748986305561897E-2</v>
      </c>
      <c r="F2268" s="171"/>
      <c r="G2268" s="171">
        <v>2265</v>
      </c>
      <c r="H2268" s="186">
        <f t="shared" ca="1" si="74"/>
        <v>6.0519036598525233E-3</v>
      </c>
    </row>
    <row r="2269" spans="2:8">
      <c r="B2269" s="36">
        <v>42485</v>
      </c>
      <c r="C2269" s="185">
        <v>864.5</v>
      </c>
      <c r="D2269" s="185">
        <f t="shared" si="73"/>
        <v>-0.71539094650205759</v>
      </c>
      <c r="E2269" s="185">
        <v>-1.0756379448449453E-2</v>
      </c>
      <c r="F2269" s="171"/>
      <c r="G2269" s="171">
        <v>2266</v>
      </c>
      <c r="H2269" s="186">
        <f t="shared" ca="1" si="74"/>
        <v>-3.1424051056400371E-3</v>
      </c>
    </row>
    <row r="2270" spans="2:8">
      <c r="B2270" s="36">
        <v>45576</v>
      </c>
      <c r="C2270" s="185">
        <v>3037.5</v>
      </c>
      <c r="D2270" s="185">
        <f t="shared" si="73"/>
        <v>1.6257780082987552</v>
      </c>
      <c r="E2270" s="185">
        <v>-1.0763543990490362E-2</v>
      </c>
      <c r="F2270" s="171"/>
      <c r="G2270" s="171">
        <v>2267</v>
      </c>
      <c r="H2270" s="186">
        <f t="shared" ca="1" si="74"/>
        <v>1.9066730251944927E-2</v>
      </c>
    </row>
    <row r="2271" spans="2:8">
      <c r="B2271" s="36">
        <v>42664</v>
      </c>
      <c r="C2271" s="185">
        <v>1156.8</v>
      </c>
      <c r="D2271" s="185">
        <f t="shared" si="73"/>
        <v>0.66135286514433433</v>
      </c>
      <c r="E2271" s="185">
        <v>-1.0774756285274616E-2</v>
      </c>
      <c r="F2271" s="171"/>
      <c r="G2271" s="171">
        <v>2268</v>
      </c>
      <c r="H2271" s="186">
        <f t="shared" ca="1" si="74"/>
        <v>3.5522514656243704E-3</v>
      </c>
    </row>
    <row r="2272" spans="2:8">
      <c r="B2272" s="36">
        <v>42170</v>
      </c>
      <c r="C2272" s="185">
        <v>696.3</v>
      </c>
      <c r="D2272" s="185">
        <f t="shared" si="73"/>
        <v>-0.74779963055525378</v>
      </c>
      <c r="E2272" s="185">
        <v>-1.0796988208552384E-2</v>
      </c>
      <c r="F2272" s="171"/>
      <c r="G2272" s="171">
        <v>2269</v>
      </c>
      <c r="H2272" s="186">
        <f t="shared" ca="1" si="74"/>
        <v>1.313603748137521E-2</v>
      </c>
    </row>
    <row r="2273" spans="2:8">
      <c r="B2273" s="36">
        <v>44999</v>
      </c>
      <c r="C2273" s="185">
        <v>2760.9</v>
      </c>
      <c r="D2273" s="185">
        <f t="shared" si="73"/>
        <v>0.15550254253248799</v>
      </c>
      <c r="E2273" s="185">
        <v>-1.080238619874244E-2</v>
      </c>
      <c r="F2273" s="171"/>
      <c r="G2273" s="171">
        <v>2270</v>
      </c>
      <c r="H2273" s="186">
        <f t="shared" ca="1" si="74"/>
        <v>-6.8168363827490561E-3</v>
      </c>
    </row>
    <row r="2274" spans="2:8">
      <c r="B2274" s="36">
        <v>44232</v>
      </c>
      <c r="C2274" s="185">
        <v>2389.35</v>
      </c>
      <c r="D2274" s="185">
        <f t="shared" si="73"/>
        <v>-0.13424642643621937</v>
      </c>
      <c r="E2274" s="185">
        <v>-1.080543998012789E-2</v>
      </c>
      <c r="F2274" s="171"/>
      <c r="G2274" s="171">
        <v>2271</v>
      </c>
      <c r="H2274" s="186">
        <f t="shared" ca="1" si="74"/>
        <v>4.1614675134854215E-2</v>
      </c>
    </row>
    <row r="2275" spans="2:8">
      <c r="B2275" s="36">
        <v>45027</v>
      </c>
      <c r="C2275" s="185">
        <v>2759.85</v>
      </c>
      <c r="D2275" s="185">
        <f t="shared" si="73"/>
        <v>-0.17827368546418151</v>
      </c>
      <c r="E2275" s="185">
        <v>-1.0806451612903258E-2</v>
      </c>
      <c r="F2275" s="171"/>
      <c r="G2275" s="171">
        <v>2272</v>
      </c>
      <c r="H2275" s="186">
        <f t="shared" ca="1" si="74"/>
        <v>9.8832061604957975E-3</v>
      </c>
    </row>
    <row r="2276" spans="2:8">
      <c r="B2276" s="36">
        <v>44825</v>
      </c>
      <c r="C2276" s="185">
        <v>3358.6</v>
      </c>
      <c r="D2276" s="185">
        <f t="shared" si="73"/>
        <v>1.7837546622461664</v>
      </c>
      <c r="E2276" s="185">
        <v>-1.0809059582363936E-2</v>
      </c>
      <c r="F2276" s="171"/>
      <c r="G2276" s="171">
        <v>2273</v>
      </c>
      <c r="H2276" s="186">
        <f t="shared" ca="1" si="74"/>
        <v>-2.5944836116520695E-2</v>
      </c>
    </row>
    <row r="2277" spans="2:8">
      <c r="B2277" s="36">
        <v>43223</v>
      </c>
      <c r="C2277" s="185">
        <v>1206.5</v>
      </c>
      <c r="D2277" s="185">
        <f t="shared" si="73"/>
        <v>-0.25414193867457957</v>
      </c>
      <c r="E2277" s="185">
        <v>-1.0822333360662495E-2</v>
      </c>
      <c r="F2277" s="171"/>
      <c r="G2277" s="171">
        <v>2274</v>
      </c>
      <c r="H2277" s="186">
        <f t="shared" ca="1" si="74"/>
        <v>3.7561634605885644E-2</v>
      </c>
    </row>
    <row r="2278" spans="2:8">
      <c r="B2278" s="36">
        <v>43997</v>
      </c>
      <c r="C2278" s="185">
        <v>1617.6</v>
      </c>
      <c r="D2278" s="185">
        <f t="shared" si="73"/>
        <v>-0.47394266573440219</v>
      </c>
      <c r="E2278" s="185">
        <v>-1.0823702073014155E-2</v>
      </c>
      <c r="F2278" s="171"/>
      <c r="G2278" s="171">
        <v>2275</v>
      </c>
      <c r="H2278" s="186">
        <f t="shared" ca="1" si="74"/>
        <v>1.5845753148194048E-2</v>
      </c>
    </row>
    <row r="2279" spans="2:8">
      <c r="B2279" s="36">
        <v>44431</v>
      </c>
      <c r="C2279" s="185">
        <v>3074.95</v>
      </c>
      <c r="D2279" s="185">
        <f t="shared" si="73"/>
        <v>0.25211743627331201</v>
      </c>
      <c r="E2279" s="185">
        <v>-1.0824808595509262E-2</v>
      </c>
      <c r="F2279" s="171"/>
      <c r="G2279" s="171">
        <v>2276</v>
      </c>
      <c r="H2279" s="186">
        <f t="shared" ca="1" si="74"/>
        <v>-3.8074868405149585E-3</v>
      </c>
    </row>
    <row r="2280" spans="2:8">
      <c r="B2280" s="36">
        <v>45923</v>
      </c>
      <c r="C2280" s="185">
        <v>2455.8000000000002</v>
      </c>
      <c r="D2280" s="185">
        <f t="shared" si="73"/>
        <v>1.840717177559283</v>
      </c>
      <c r="E2280" s="185">
        <v>-1.0834978048092657E-2</v>
      </c>
      <c r="F2280" s="171"/>
      <c r="G2280" s="171">
        <v>2277</v>
      </c>
      <c r="H2280" s="186">
        <f t="shared" ca="1" si="74"/>
        <v>1.6334462378890538E-2</v>
      </c>
    </row>
    <row r="2281" spans="2:8">
      <c r="B2281" s="36">
        <v>42346</v>
      </c>
      <c r="C2281" s="185">
        <v>864.5</v>
      </c>
      <c r="D2281" s="185">
        <f t="shared" si="73"/>
        <v>-0.19360104472739142</v>
      </c>
      <c r="E2281" s="185">
        <v>-1.0869565217391304E-2</v>
      </c>
      <c r="F2281" s="171"/>
      <c r="G2281" s="171">
        <v>2278</v>
      </c>
      <c r="H2281" s="186">
        <f t="shared" ca="1" si="74"/>
        <v>2.7222114963406725E-2</v>
      </c>
    </row>
    <row r="2282" spans="2:8">
      <c r="B2282" s="36">
        <v>42815</v>
      </c>
      <c r="C2282" s="185">
        <v>1072.05</v>
      </c>
      <c r="D2282" s="185">
        <f t="shared" si="73"/>
        <v>-0.51662646256509681</v>
      </c>
      <c r="E2282" s="185">
        <v>-1.0887115375743835E-2</v>
      </c>
      <c r="F2282" s="171"/>
      <c r="G2282" s="171">
        <v>2279</v>
      </c>
      <c r="H2282" s="186">
        <f t="shared" ca="1" si="74"/>
        <v>2.3220456254902889E-3</v>
      </c>
    </row>
    <row r="2283" spans="2:8">
      <c r="B2283" s="36">
        <v>44141</v>
      </c>
      <c r="C2283" s="185">
        <v>2217.85</v>
      </c>
      <c r="D2283" s="185">
        <f t="shared" si="73"/>
        <v>-0.30692187500000001</v>
      </c>
      <c r="E2283" s="185">
        <v>-1.0903982517950439E-2</v>
      </c>
      <c r="F2283" s="171"/>
      <c r="G2283" s="171">
        <v>2280</v>
      </c>
      <c r="H2283" s="186">
        <f t="shared" ca="1" si="74"/>
        <v>1.9957329963390794E-2</v>
      </c>
    </row>
    <row r="2284" spans="2:8">
      <c r="B2284" s="36">
        <v>45082</v>
      </c>
      <c r="C2284" s="185">
        <v>3200</v>
      </c>
      <c r="D2284" s="185">
        <f t="shared" si="73"/>
        <v>0.25384479752365646</v>
      </c>
      <c r="E2284" s="185">
        <v>-1.0926174911524228E-2</v>
      </c>
      <c r="F2284" s="171"/>
      <c r="G2284" s="171">
        <v>2281</v>
      </c>
      <c r="H2284" s="186">
        <f t="shared" ca="1" si="74"/>
        <v>-6.2154608603011158E-3</v>
      </c>
    </row>
    <row r="2285" spans="2:8">
      <c r="B2285" s="36">
        <v>44306</v>
      </c>
      <c r="C2285" s="185">
        <v>2552.15</v>
      </c>
      <c r="D2285" s="185">
        <f t="shared" si="73"/>
        <v>-0.20369734789391572</v>
      </c>
      <c r="E2285" s="185">
        <v>-1.0928749975778409E-2</v>
      </c>
      <c r="F2285" s="171"/>
      <c r="G2285" s="171">
        <v>2282</v>
      </c>
      <c r="H2285" s="186">
        <f t="shared" ca="1" si="74"/>
        <v>-3.5328800349806672E-3</v>
      </c>
    </row>
    <row r="2286" spans="2:8">
      <c r="B2286" s="36">
        <v>45184</v>
      </c>
      <c r="C2286" s="185">
        <v>3205</v>
      </c>
      <c r="D2286" s="185">
        <f t="shared" si="73"/>
        <v>1.7231403203194697</v>
      </c>
      <c r="E2286" s="185">
        <v>-1.0939838602663154E-2</v>
      </c>
      <c r="F2286" s="171"/>
      <c r="G2286" s="171">
        <v>2283</v>
      </c>
      <c r="H2286" s="186">
        <f t="shared" ca="1" si="74"/>
        <v>-4.0445164816374302E-3</v>
      </c>
    </row>
    <row r="2287" spans="2:8">
      <c r="B2287" s="36">
        <v>42622</v>
      </c>
      <c r="C2287" s="185">
        <v>1176.95</v>
      </c>
      <c r="D2287" s="185">
        <f t="shared" si="73"/>
        <v>6.2660827953591347E-2</v>
      </c>
      <c r="E2287" s="185">
        <v>-1.096638655462181E-2</v>
      </c>
      <c r="F2287" s="171"/>
      <c r="G2287" s="171">
        <v>2284</v>
      </c>
      <c r="H2287" s="186">
        <f t="shared" ca="1" si="74"/>
        <v>-6.4148932231624777E-3</v>
      </c>
    </row>
    <row r="2288" spans="2:8">
      <c r="B2288" s="36">
        <v>43075</v>
      </c>
      <c r="C2288" s="185">
        <v>1107.55</v>
      </c>
      <c r="D2288" s="185">
        <f t="shared" si="73"/>
        <v>-0.61848088184636585</v>
      </c>
      <c r="E2288" s="185">
        <v>-1.0983613876858467E-2</v>
      </c>
      <c r="F2288" s="171"/>
      <c r="G2288" s="171">
        <v>2285</v>
      </c>
      <c r="H2288" s="186">
        <f t="shared" ca="1" si="74"/>
        <v>1.9404295914138472E-2</v>
      </c>
    </row>
    <row r="2289" spans="2:8">
      <c r="B2289" s="36">
        <v>44754</v>
      </c>
      <c r="C2289" s="185">
        <v>2903</v>
      </c>
      <c r="D2289" s="185">
        <f t="shared" si="73"/>
        <v>0.17986547176329543</v>
      </c>
      <c r="E2289" s="185">
        <v>-1.0987139085256793E-2</v>
      </c>
      <c r="F2289" s="171"/>
      <c r="G2289" s="171">
        <v>2286</v>
      </c>
      <c r="H2289" s="186">
        <f t="shared" ca="1" si="74"/>
        <v>-6.2989034198321558E-3</v>
      </c>
    </row>
    <row r="2290" spans="2:8">
      <c r="B2290" s="36">
        <v>44242</v>
      </c>
      <c r="C2290" s="185">
        <v>2460.4499999999998</v>
      </c>
      <c r="D2290" s="185">
        <f t="shared" si="73"/>
        <v>-0.17643219360345444</v>
      </c>
      <c r="E2290" s="185">
        <v>-1.0993649007155061E-2</v>
      </c>
      <c r="F2290" s="171"/>
      <c r="G2290" s="171">
        <v>2287</v>
      </c>
      <c r="H2290" s="186">
        <f t="shared" ca="1" si="74"/>
        <v>-4.1964303858296496E-3</v>
      </c>
    </row>
    <row r="2291" spans="2:8">
      <c r="B2291" s="36">
        <v>44932</v>
      </c>
      <c r="C2291" s="185">
        <v>2987.55</v>
      </c>
      <c r="D2291" s="185">
        <f t="shared" si="73"/>
        <v>0.27000085019554498</v>
      </c>
      <c r="E2291" s="185">
        <v>-1.1007018008474576E-2</v>
      </c>
      <c r="F2291" s="171"/>
      <c r="G2291" s="171">
        <v>2288</v>
      </c>
      <c r="H2291" s="186">
        <f t="shared" ca="1" si="74"/>
        <v>-2.4371179932572512E-2</v>
      </c>
    </row>
    <row r="2292" spans="2:8">
      <c r="B2292" s="36">
        <v>45862</v>
      </c>
      <c r="C2292" s="185">
        <v>2352.4</v>
      </c>
      <c r="D2292" s="185">
        <f t="shared" si="73"/>
        <v>0.79353461421165006</v>
      </c>
      <c r="E2292" s="185">
        <v>-1.1014882704111587E-2</v>
      </c>
      <c r="F2292" s="171"/>
      <c r="G2292" s="171">
        <v>2289</v>
      </c>
      <c r="H2292" s="186">
        <f t="shared" ca="1" si="74"/>
        <v>2.2398031111874422E-2</v>
      </c>
    </row>
    <row r="2293" spans="2:8">
      <c r="B2293" s="36">
        <v>43600</v>
      </c>
      <c r="C2293" s="185">
        <v>1311.6</v>
      </c>
      <c r="D2293" s="185">
        <f t="shared" si="73"/>
        <v>0.2371250707413694</v>
      </c>
      <c r="E2293" s="185">
        <v>-1.1046182846371416E-2</v>
      </c>
      <c r="F2293" s="171"/>
      <c r="G2293" s="171">
        <v>2290</v>
      </c>
      <c r="H2293" s="186">
        <f t="shared" ca="1" si="74"/>
        <v>1.5666773843142301E-2</v>
      </c>
    </row>
    <row r="2294" spans="2:8">
      <c r="B2294" s="36">
        <v>42816</v>
      </c>
      <c r="C2294" s="185">
        <v>1060.2</v>
      </c>
      <c r="D2294" s="185">
        <f t="shared" si="73"/>
        <v>-0.32907226933299583</v>
      </c>
      <c r="E2294" s="185">
        <v>-1.1053588918427228E-2</v>
      </c>
      <c r="F2294" s="171"/>
      <c r="G2294" s="171">
        <v>2291</v>
      </c>
      <c r="H2294" s="186">
        <f t="shared" ca="1" si="74"/>
        <v>1.3496047279464371E-2</v>
      </c>
    </row>
    <row r="2295" spans="2:8">
      <c r="B2295" s="36">
        <v>43959</v>
      </c>
      <c r="C2295" s="185">
        <v>1580.2</v>
      </c>
      <c r="D2295" s="185">
        <f t="shared" si="73"/>
        <v>0.12047082181096228</v>
      </c>
      <c r="E2295" s="185">
        <v>-1.1077038613179825E-2</v>
      </c>
      <c r="F2295" s="171"/>
      <c r="G2295" s="171">
        <v>2292</v>
      </c>
      <c r="H2295" s="186">
        <f t="shared" ca="1" si="74"/>
        <v>1.1859223366828199E-3</v>
      </c>
    </row>
    <row r="2296" spans="2:8">
      <c r="B2296" s="36">
        <v>43487</v>
      </c>
      <c r="C2296" s="185">
        <v>1410.3</v>
      </c>
      <c r="D2296" s="185">
        <f t="shared" si="73"/>
        <v>-0.50451463303235788</v>
      </c>
      <c r="E2296" s="185">
        <v>-1.107916695883876E-2</v>
      </c>
      <c r="F2296" s="171"/>
      <c r="G2296" s="171">
        <v>2293</v>
      </c>
      <c r="H2296" s="186">
        <f t="shared" ca="1" si="74"/>
        <v>1.5100997716046062E-2</v>
      </c>
    </row>
    <row r="2297" spans="2:8">
      <c r="B2297" s="36">
        <v>45369</v>
      </c>
      <c r="C2297" s="185">
        <v>2846.3</v>
      </c>
      <c r="D2297" s="185">
        <f t="shared" si="73"/>
        <v>-6.1571685267305186E-2</v>
      </c>
      <c r="E2297" s="185">
        <v>-1.1134851564264154E-2</v>
      </c>
      <c r="F2297" s="171"/>
      <c r="G2297" s="171">
        <v>2294</v>
      </c>
      <c r="H2297" s="186">
        <f t="shared" ca="1" si="74"/>
        <v>-2.8847612073822941E-3</v>
      </c>
    </row>
    <row r="2298" spans="2:8">
      <c r="B2298" s="36">
        <v>44404</v>
      </c>
      <c r="C2298" s="185">
        <v>3033.05</v>
      </c>
      <c r="D2298" s="185">
        <f t="shared" si="73"/>
        <v>0.73040278411684179</v>
      </c>
      <c r="E2298" s="185">
        <v>-1.1214526724151864E-2</v>
      </c>
      <c r="F2298" s="171"/>
      <c r="G2298" s="171">
        <v>2295</v>
      </c>
      <c r="H2298" s="186">
        <f t="shared" ca="1" si="74"/>
        <v>-1.5811793167195928E-2</v>
      </c>
    </row>
    <row r="2299" spans="2:8">
      <c r="B2299" s="36">
        <v>43741</v>
      </c>
      <c r="C2299" s="185">
        <v>1752.8</v>
      </c>
      <c r="D2299" s="185">
        <f t="shared" si="73"/>
        <v>1.0159871182931737</v>
      </c>
      <c r="E2299" s="185">
        <v>-1.12258137304677E-2</v>
      </c>
      <c r="F2299" s="171"/>
      <c r="G2299" s="171">
        <v>2296</v>
      </c>
      <c r="H2299" s="186">
        <f t="shared" ca="1" si="74"/>
        <v>2.3797263770305593E-2</v>
      </c>
    </row>
    <row r="2300" spans="2:8">
      <c r="B2300" s="36">
        <v>42354</v>
      </c>
      <c r="C2300" s="185">
        <v>869.45</v>
      </c>
      <c r="D2300" s="185">
        <f t="shared" si="73"/>
        <v>-0.61052254350796242</v>
      </c>
      <c r="E2300" s="185">
        <v>-1.1258315801444223E-2</v>
      </c>
      <c r="F2300" s="171"/>
      <c r="G2300" s="171">
        <v>2297</v>
      </c>
      <c r="H2300" s="186">
        <f t="shared" ca="1" si="74"/>
        <v>3.0116271004999768E-2</v>
      </c>
    </row>
    <row r="2301" spans="2:8">
      <c r="B2301" s="36">
        <v>45729</v>
      </c>
      <c r="C2301" s="185">
        <v>2232.35</v>
      </c>
      <c r="D2301" s="185">
        <f t="shared" si="73"/>
        <v>1.5093862410071941</v>
      </c>
      <c r="E2301" s="185">
        <v>-1.1272034724067797E-2</v>
      </c>
      <c r="F2301" s="171"/>
      <c r="G2301" s="171">
        <v>2298</v>
      </c>
      <c r="H2301" s="186">
        <f t="shared" ca="1" si="74"/>
        <v>-2.3244732553422437E-2</v>
      </c>
    </row>
    <row r="2302" spans="2:8">
      <c r="B2302" s="36">
        <v>42408</v>
      </c>
      <c r="C2302" s="185">
        <v>889.6</v>
      </c>
      <c r="D2302" s="185">
        <f t="shared" si="73"/>
        <v>-9.6669374492282634E-2</v>
      </c>
      <c r="E2302" s="185">
        <v>-1.1390787353447797E-2</v>
      </c>
      <c r="F2302" s="171"/>
      <c r="G2302" s="171">
        <v>2299</v>
      </c>
      <c r="H2302" s="186">
        <f t="shared" ca="1" si="74"/>
        <v>-7.0221081737457669E-3</v>
      </c>
    </row>
    <row r="2303" spans="2:8">
      <c r="B2303" s="36">
        <v>42542</v>
      </c>
      <c r="C2303" s="185">
        <v>984.8</v>
      </c>
      <c r="D2303" s="185">
        <f t="shared" si="73"/>
        <v>-0.62636111848844711</v>
      </c>
      <c r="E2303" s="185">
        <v>-1.1393866385584523E-2</v>
      </c>
      <c r="F2303" s="171"/>
      <c r="G2303" s="171">
        <v>2300</v>
      </c>
      <c r="H2303" s="186">
        <f t="shared" ca="1" si="74"/>
        <v>-2.9872101155823494E-3</v>
      </c>
    </row>
    <row r="2304" spans="2:8">
      <c r="B2304" s="36">
        <v>46203</v>
      </c>
      <c r="C2304" s="185">
        <v>2635.7</v>
      </c>
      <c r="D2304" s="185">
        <f t="shared" si="73"/>
        <v>1.2888281012548304</v>
      </c>
      <c r="E2304" s="185">
        <v>-1.1402423014890698E-2</v>
      </c>
      <c r="F2304" s="171"/>
      <c r="G2304" s="171">
        <v>2301</v>
      </c>
      <c r="H2304" s="186">
        <f t="shared" ca="1" si="74"/>
        <v>4.2082320310980132E-3</v>
      </c>
    </row>
    <row r="2305" spans="2:8">
      <c r="B2305" s="36">
        <v>43101</v>
      </c>
      <c r="C2305" s="185">
        <v>1151.55</v>
      </c>
      <c r="D2305" s="185">
        <f t="shared" si="73"/>
        <v>-0.64463268990417988</v>
      </c>
      <c r="E2305" s="185">
        <v>-1.1417779113190502E-2</v>
      </c>
      <c r="F2305" s="171"/>
      <c r="G2305" s="171">
        <v>2302</v>
      </c>
      <c r="H2305" s="186">
        <f t="shared" ca="1" si="74"/>
        <v>1.1302655961789105E-2</v>
      </c>
    </row>
    <row r="2306" spans="2:8">
      <c r="B2306" s="36">
        <v>45183</v>
      </c>
      <c r="C2306" s="185">
        <v>3240.45</v>
      </c>
      <c r="D2306" s="185">
        <f t="shared" si="73"/>
        <v>3.028424265547501E-2</v>
      </c>
      <c r="E2306" s="185">
        <v>-1.1424997711949807E-2</v>
      </c>
      <c r="F2306" s="171"/>
      <c r="G2306" s="171">
        <v>2303</v>
      </c>
      <c r="H2306" s="186">
        <f t="shared" ca="1" si="74"/>
        <v>-2.1314355151085415E-2</v>
      </c>
    </row>
    <row r="2307" spans="2:8">
      <c r="B2307" s="36">
        <v>45250</v>
      </c>
      <c r="C2307" s="185">
        <v>3145.2</v>
      </c>
      <c r="D2307" s="185">
        <f t="shared" si="73"/>
        <v>8.8342157168068008E-2</v>
      </c>
      <c r="E2307" s="185">
        <v>-1.1425248699533361E-2</v>
      </c>
      <c r="F2307" s="171"/>
      <c r="G2307" s="171">
        <v>2304</v>
      </c>
      <c r="H2307" s="186">
        <f t="shared" ca="1" si="74"/>
        <v>1.5674320290508026E-2</v>
      </c>
    </row>
    <row r="2308" spans="2:8">
      <c r="B2308" s="36">
        <v>45462</v>
      </c>
      <c r="C2308" s="185">
        <v>2889.9</v>
      </c>
      <c r="D2308" s="185">
        <f t="shared" ref="D2308:D2371" si="75">(C2308-C2309)/C2309</f>
        <v>1.5291209031636983</v>
      </c>
      <c r="E2308" s="185">
        <v>-1.1442352096054122E-2</v>
      </c>
      <c r="F2308" s="171"/>
      <c r="G2308" s="171">
        <v>2305</v>
      </c>
      <c r="H2308" s="186">
        <f t="shared" ca="1" si="74"/>
        <v>4.1549947673847273E-3</v>
      </c>
    </row>
    <row r="2309" spans="2:8">
      <c r="B2309" s="36">
        <v>42963</v>
      </c>
      <c r="C2309" s="185">
        <v>1142.6500000000001</v>
      </c>
      <c r="D2309" s="185">
        <f t="shared" si="75"/>
        <v>-0.63463260216153994</v>
      </c>
      <c r="E2309" s="185">
        <v>-1.1462929319145254E-2</v>
      </c>
      <c r="F2309" s="171"/>
      <c r="G2309" s="171">
        <v>2306</v>
      </c>
      <c r="H2309" s="186">
        <f t="shared" ref="H2309:H2372" ca="1" si="76">_xlfn.NORM.INV(RAND(),N$6,N$7)</f>
        <v>2.2398501241768483E-3</v>
      </c>
    </row>
    <row r="2310" spans="2:8">
      <c r="B2310" s="36">
        <v>45532</v>
      </c>
      <c r="C2310" s="185">
        <v>3127.4</v>
      </c>
      <c r="D2310" s="185">
        <f t="shared" si="75"/>
        <v>2.9335890824476456</v>
      </c>
      <c r="E2310" s="185">
        <v>-1.1489529830106648E-2</v>
      </c>
      <c r="F2310" s="171"/>
      <c r="G2310" s="171">
        <v>2307</v>
      </c>
      <c r="H2310" s="186">
        <f t="shared" ca="1" si="76"/>
        <v>-1.3904145122106387E-2</v>
      </c>
    </row>
    <row r="2311" spans="2:8">
      <c r="B2311" s="36">
        <v>42270</v>
      </c>
      <c r="C2311" s="185">
        <v>795.05</v>
      </c>
      <c r="D2311" s="185">
        <f t="shared" si="75"/>
        <v>-0.27840805953893627</v>
      </c>
      <c r="E2311" s="185">
        <v>-1.1500683824443617E-2</v>
      </c>
      <c r="F2311" s="171"/>
      <c r="G2311" s="171">
        <v>2308</v>
      </c>
      <c r="H2311" s="186">
        <f t="shared" ca="1" si="76"/>
        <v>-3.1039497441874515E-2</v>
      </c>
    </row>
    <row r="2312" spans="2:8">
      <c r="B2312" s="36">
        <v>42878</v>
      </c>
      <c r="C2312" s="185">
        <v>1101.8</v>
      </c>
      <c r="D2312" s="185">
        <f t="shared" si="75"/>
        <v>0.2393003768067038</v>
      </c>
      <c r="E2312" s="185">
        <v>-1.1616954474097371E-2</v>
      </c>
      <c r="F2312" s="171"/>
      <c r="G2312" s="171">
        <v>2309</v>
      </c>
      <c r="H2312" s="186">
        <f t="shared" ca="1" si="76"/>
        <v>-1.1460941772966041E-2</v>
      </c>
    </row>
    <row r="2313" spans="2:8">
      <c r="B2313" s="36">
        <v>42444</v>
      </c>
      <c r="C2313" s="185">
        <v>889.05</v>
      </c>
      <c r="D2313" s="185">
        <f t="shared" si="75"/>
        <v>-0.12769819466248045</v>
      </c>
      <c r="E2313" s="185">
        <v>-1.1617565314063419E-2</v>
      </c>
      <c r="F2313" s="171"/>
      <c r="G2313" s="171">
        <v>2310</v>
      </c>
      <c r="H2313" s="186">
        <f t="shared" ca="1" si="76"/>
        <v>-1.7904830841810569E-2</v>
      </c>
    </row>
    <row r="2314" spans="2:8">
      <c r="B2314" s="36">
        <v>42797</v>
      </c>
      <c r="C2314" s="185">
        <v>1019.2</v>
      </c>
      <c r="D2314" s="185">
        <f t="shared" si="75"/>
        <v>-0.27077594533681537</v>
      </c>
      <c r="E2314" s="185">
        <v>-1.1636927851047323E-2</v>
      </c>
      <c r="F2314" s="171"/>
      <c r="G2314" s="171">
        <v>2311</v>
      </c>
      <c r="H2314" s="186">
        <f t="shared" ca="1" si="76"/>
        <v>5.3213523503598432E-3</v>
      </c>
    </row>
    <row r="2315" spans="2:8">
      <c r="B2315" s="36">
        <v>43481</v>
      </c>
      <c r="C2315" s="185">
        <v>1397.65</v>
      </c>
      <c r="D2315" s="185">
        <f t="shared" si="75"/>
        <v>-3.4371977338676245E-2</v>
      </c>
      <c r="E2315" s="185">
        <v>-1.1667786302726019E-2</v>
      </c>
      <c r="F2315" s="171"/>
      <c r="G2315" s="171">
        <v>2312</v>
      </c>
      <c r="H2315" s="186">
        <f t="shared" ca="1" si="76"/>
        <v>1.045750268184051E-2</v>
      </c>
    </row>
    <row r="2316" spans="2:8">
      <c r="B2316" s="36">
        <v>43306</v>
      </c>
      <c r="C2316" s="185">
        <v>1447.4</v>
      </c>
      <c r="D2316" s="185">
        <f t="shared" si="75"/>
        <v>-0.49888344556580744</v>
      </c>
      <c r="E2316" s="185">
        <v>-1.1676340047797822E-2</v>
      </c>
      <c r="F2316" s="171"/>
      <c r="G2316" s="171">
        <v>2313</v>
      </c>
      <c r="H2316" s="186">
        <f t="shared" ca="1" si="76"/>
        <v>-3.7646763062890921E-2</v>
      </c>
    </row>
    <row r="2317" spans="2:8">
      <c r="B2317" s="36">
        <v>45387</v>
      </c>
      <c r="C2317" s="185">
        <v>2888.35</v>
      </c>
      <c r="D2317" s="185">
        <f t="shared" si="75"/>
        <v>1.5443534178999294</v>
      </c>
      <c r="E2317" s="185">
        <v>-1.1685201026518422E-2</v>
      </c>
      <c r="F2317" s="171"/>
      <c r="G2317" s="171">
        <v>2314</v>
      </c>
      <c r="H2317" s="186">
        <f t="shared" ca="1" si="76"/>
        <v>-1.7411914984604794E-2</v>
      </c>
    </row>
    <row r="2318" spans="2:8">
      <c r="B2318" s="36">
        <v>42592</v>
      </c>
      <c r="C2318" s="185">
        <v>1135.2</v>
      </c>
      <c r="D2318" s="185">
        <f t="shared" si="75"/>
        <v>-0.54358314570601474</v>
      </c>
      <c r="E2318" s="185">
        <v>-1.1709397988943581E-2</v>
      </c>
      <c r="F2318" s="171"/>
      <c r="G2318" s="171">
        <v>2315</v>
      </c>
      <c r="H2318" s="186">
        <f t="shared" ca="1" si="76"/>
        <v>1.2579826531841569E-3</v>
      </c>
    </row>
    <row r="2319" spans="2:8">
      <c r="B2319" s="36">
        <v>46136</v>
      </c>
      <c r="C2319" s="185">
        <v>2487.1999999999998</v>
      </c>
      <c r="D2319" s="185">
        <f t="shared" si="75"/>
        <v>0.55231705414261179</v>
      </c>
      <c r="E2319" s="185">
        <v>-1.1760966306420996E-2</v>
      </c>
      <c r="F2319" s="171"/>
      <c r="G2319" s="171">
        <v>2316</v>
      </c>
      <c r="H2319" s="186">
        <f t="shared" ca="1" si="76"/>
        <v>2.7924193896910404E-2</v>
      </c>
    </row>
    <row r="2320" spans="2:8">
      <c r="B2320" s="36">
        <v>43920</v>
      </c>
      <c r="C2320" s="185">
        <v>1602.25</v>
      </c>
      <c r="D2320" s="185">
        <f t="shared" si="75"/>
        <v>0.92960799662792792</v>
      </c>
      <c r="E2320" s="185">
        <v>-1.1780306534677836E-2</v>
      </c>
      <c r="F2320" s="171"/>
      <c r="G2320" s="171">
        <v>2317</v>
      </c>
      <c r="H2320" s="186">
        <f t="shared" ca="1" si="76"/>
        <v>8.4573894380703795E-3</v>
      </c>
    </row>
    <row r="2321" spans="2:8">
      <c r="B2321" s="36">
        <v>42262</v>
      </c>
      <c r="C2321" s="185">
        <v>830.35</v>
      </c>
      <c r="D2321" s="185">
        <f t="shared" si="75"/>
        <v>-0.51503913094264686</v>
      </c>
      <c r="E2321" s="185">
        <v>-1.1782207676286792E-2</v>
      </c>
      <c r="F2321" s="171"/>
      <c r="G2321" s="171">
        <v>2318</v>
      </c>
      <c r="H2321" s="186">
        <f t="shared" ca="1" si="76"/>
        <v>-6.8530384474824726E-3</v>
      </c>
    </row>
    <row r="2322" spans="2:8">
      <c r="B2322" s="36">
        <v>44036</v>
      </c>
      <c r="C2322" s="185">
        <v>1712.2</v>
      </c>
      <c r="D2322" s="185">
        <f t="shared" si="75"/>
        <v>-0.40697895921724825</v>
      </c>
      <c r="E2322" s="185">
        <v>-1.1802729922373269E-2</v>
      </c>
      <c r="F2322" s="171"/>
      <c r="G2322" s="171">
        <v>2319</v>
      </c>
      <c r="H2322" s="186">
        <f t="shared" ca="1" si="76"/>
        <v>3.7649177886743953E-3</v>
      </c>
    </row>
    <row r="2323" spans="2:8">
      <c r="B2323" s="36">
        <v>45464</v>
      </c>
      <c r="C2323" s="185">
        <v>2887.25</v>
      </c>
      <c r="D2323" s="185">
        <f t="shared" si="75"/>
        <v>1.9679790296052633</v>
      </c>
      <c r="E2323" s="185">
        <v>-1.1824902457389342E-2</v>
      </c>
      <c r="F2323" s="171"/>
      <c r="G2323" s="171">
        <v>2320</v>
      </c>
      <c r="H2323" s="186">
        <f t="shared" ca="1" si="76"/>
        <v>-1.5652557148438502E-2</v>
      </c>
    </row>
    <row r="2324" spans="2:8">
      <c r="B2324" s="36">
        <v>42782</v>
      </c>
      <c r="C2324" s="185">
        <v>972.8</v>
      </c>
      <c r="D2324" s="185">
        <f t="shared" si="75"/>
        <v>-0.61921164911731319</v>
      </c>
      <c r="E2324" s="185">
        <v>-1.1834018995378223E-2</v>
      </c>
      <c r="F2324" s="171"/>
      <c r="G2324" s="171">
        <v>2321</v>
      </c>
      <c r="H2324" s="186">
        <f t="shared" ca="1" si="76"/>
        <v>3.7289067160633615E-3</v>
      </c>
    </row>
    <row r="2325" spans="2:8">
      <c r="B2325" s="36">
        <v>45902</v>
      </c>
      <c r="C2325" s="185">
        <v>2554.6999999999998</v>
      </c>
      <c r="D2325" s="185">
        <f t="shared" si="75"/>
        <v>-9.1694517528265698E-2</v>
      </c>
      <c r="E2325" s="185">
        <v>-1.1836150543457378E-2</v>
      </c>
      <c r="F2325" s="171"/>
      <c r="G2325" s="171">
        <v>2322</v>
      </c>
      <c r="H2325" s="186">
        <f t="shared" ca="1" si="76"/>
        <v>-7.3099761701816294E-3</v>
      </c>
    </row>
    <row r="2326" spans="2:8">
      <c r="B2326" s="36">
        <v>45370</v>
      </c>
      <c r="C2326" s="185">
        <v>2812.6</v>
      </c>
      <c r="D2326" s="185">
        <f t="shared" si="75"/>
        <v>2.3247353294284605E-2</v>
      </c>
      <c r="E2326" s="185">
        <v>-1.1839932544004592E-2</v>
      </c>
      <c r="F2326" s="171"/>
      <c r="G2326" s="171">
        <v>2323</v>
      </c>
      <c r="H2326" s="186">
        <f t="shared" ca="1" si="76"/>
        <v>-3.1209396669783307E-3</v>
      </c>
    </row>
    <row r="2327" spans="2:8">
      <c r="B2327" s="36">
        <v>44957</v>
      </c>
      <c r="C2327" s="185">
        <v>2748.7</v>
      </c>
      <c r="D2327" s="185">
        <f t="shared" si="75"/>
        <v>-8.5838765464946232E-2</v>
      </c>
      <c r="E2327" s="185">
        <v>-1.1863249092281699E-2</v>
      </c>
      <c r="F2327" s="171"/>
      <c r="G2327" s="171">
        <v>2324</v>
      </c>
      <c r="H2327" s="186">
        <f t="shared" ca="1" si="76"/>
        <v>-6.6884276550983012E-4</v>
      </c>
    </row>
    <row r="2328" spans="2:8">
      <c r="B2328" s="36">
        <v>45315</v>
      </c>
      <c r="C2328" s="185">
        <v>3006.8</v>
      </c>
      <c r="D2328" s="185">
        <f t="shared" si="75"/>
        <v>-6.4904369460426006E-2</v>
      </c>
      <c r="E2328" s="185">
        <v>-1.1863682671136057E-2</v>
      </c>
      <c r="F2328" s="171"/>
      <c r="G2328" s="171">
        <v>2325</v>
      </c>
      <c r="H2328" s="186">
        <f t="shared" ca="1" si="76"/>
        <v>4.6215062387517502E-3</v>
      </c>
    </row>
    <row r="2329" spans="2:8">
      <c r="B2329" s="36">
        <v>44475</v>
      </c>
      <c r="C2329" s="185">
        <v>3215.5</v>
      </c>
      <c r="D2329" s="185">
        <f t="shared" si="75"/>
        <v>0.12548127406370319</v>
      </c>
      <c r="E2329" s="185">
        <v>-1.1877141496243287E-2</v>
      </c>
      <c r="F2329" s="171"/>
      <c r="G2329" s="171">
        <v>2326</v>
      </c>
      <c r="H2329" s="186">
        <f t="shared" ca="1" si="76"/>
        <v>3.5414325546944511E-3</v>
      </c>
    </row>
    <row r="2330" spans="2:8">
      <c r="B2330" s="36">
        <v>45468</v>
      </c>
      <c r="C2330" s="185">
        <v>2857</v>
      </c>
      <c r="D2330" s="185">
        <f t="shared" si="75"/>
        <v>0.28560500382486603</v>
      </c>
      <c r="E2330" s="185">
        <v>-1.1880263544710917E-2</v>
      </c>
      <c r="F2330" s="171"/>
      <c r="G2330" s="171">
        <v>2327</v>
      </c>
      <c r="H2330" s="186">
        <f t="shared" ca="1" si="76"/>
        <v>6.2264434027016376E-3</v>
      </c>
    </row>
    <row r="2331" spans="2:8">
      <c r="B2331" s="36">
        <v>45686</v>
      </c>
      <c r="C2331" s="185">
        <v>2222.3000000000002</v>
      </c>
      <c r="D2331" s="185">
        <f t="shared" si="75"/>
        <v>0.76850230781473849</v>
      </c>
      <c r="E2331" s="185">
        <v>-1.1893910762321868E-2</v>
      </c>
      <c r="F2331" s="171"/>
      <c r="G2331" s="171">
        <v>2328</v>
      </c>
      <c r="H2331" s="186">
        <f t="shared" ca="1" si="76"/>
        <v>-2.660516820797711E-2</v>
      </c>
    </row>
    <row r="2332" spans="2:8">
      <c r="B2332" s="36">
        <v>43276</v>
      </c>
      <c r="C2332" s="185">
        <v>1256.5999999999999</v>
      </c>
      <c r="D2332" s="185">
        <f t="shared" si="75"/>
        <v>-0.45594665973936011</v>
      </c>
      <c r="E2332" s="185">
        <v>-1.1912718694712082E-2</v>
      </c>
      <c r="F2332" s="171"/>
      <c r="G2332" s="171">
        <v>2329</v>
      </c>
      <c r="H2332" s="186">
        <f t="shared" ca="1" si="76"/>
        <v>1.7188521059020131E-2</v>
      </c>
    </row>
    <row r="2333" spans="2:8">
      <c r="B2333" s="36">
        <v>45805</v>
      </c>
      <c r="C2333" s="185">
        <v>2309.6999999999998</v>
      </c>
      <c r="D2333" s="185">
        <f t="shared" si="75"/>
        <v>1.0388400935693163</v>
      </c>
      <c r="E2333" s="185">
        <v>-1.1935318275154044E-2</v>
      </c>
      <c r="F2333" s="171"/>
      <c r="G2333" s="171">
        <v>2330</v>
      </c>
      <c r="H2333" s="186">
        <f t="shared" ca="1" si="76"/>
        <v>-7.7922807835483629E-3</v>
      </c>
    </row>
    <row r="2334" spans="2:8">
      <c r="B2334" s="36">
        <v>42586</v>
      </c>
      <c r="C2334" s="185">
        <v>1132.8499999999999</v>
      </c>
      <c r="D2334" s="185">
        <f t="shared" si="75"/>
        <v>-4.7985209462582577E-2</v>
      </c>
      <c r="E2334" s="185">
        <v>-1.1948890148707031E-2</v>
      </c>
      <c r="F2334" s="171"/>
      <c r="G2334" s="171">
        <v>2331</v>
      </c>
      <c r="H2334" s="186">
        <f t="shared" ca="1" si="76"/>
        <v>-1.8950492278026001E-2</v>
      </c>
    </row>
    <row r="2335" spans="2:8">
      <c r="B2335" s="36">
        <v>43116</v>
      </c>
      <c r="C2335" s="185">
        <v>1189.95</v>
      </c>
      <c r="D2335" s="185">
        <f t="shared" si="75"/>
        <v>-4.1445142580957016E-2</v>
      </c>
      <c r="E2335" s="185">
        <v>-1.1956657117947328E-2</v>
      </c>
      <c r="F2335" s="171"/>
      <c r="G2335" s="171">
        <v>2332</v>
      </c>
      <c r="H2335" s="186">
        <f t="shared" ca="1" si="76"/>
        <v>-9.7961021193919608E-3</v>
      </c>
    </row>
    <row r="2336" spans="2:8">
      <c r="B2336" s="36">
        <v>42998</v>
      </c>
      <c r="C2336" s="185">
        <v>1241.4000000000001</v>
      </c>
      <c r="D2336" s="185">
        <f t="shared" si="75"/>
        <v>-0.44202979976178164</v>
      </c>
      <c r="E2336" s="185">
        <v>-1.1978192526562898E-2</v>
      </c>
      <c r="F2336" s="171"/>
      <c r="G2336" s="171">
        <v>2333</v>
      </c>
      <c r="H2336" s="186">
        <f t="shared" ca="1" si="76"/>
        <v>1.6049634263098904E-2</v>
      </c>
    </row>
    <row r="2337" spans="2:8">
      <c r="B2337" s="36">
        <v>45713</v>
      </c>
      <c r="C2337" s="185">
        <v>2224.85</v>
      </c>
      <c r="D2337" s="185">
        <f t="shared" si="75"/>
        <v>-0.2536564911103657</v>
      </c>
      <c r="E2337" s="185">
        <v>-1.1990141439261052E-2</v>
      </c>
      <c r="F2337" s="171"/>
      <c r="G2337" s="171">
        <v>2334</v>
      </c>
      <c r="H2337" s="186">
        <f t="shared" ca="1" si="76"/>
        <v>1.0123307533079605E-2</v>
      </c>
    </row>
    <row r="2338" spans="2:8">
      <c r="B2338" s="36">
        <v>45345</v>
      </c>
      <c r="C2338" s="185">
        <v>2981</v>
      </c>
      <c r="D2338" s="185">
        <f t="shared" si="75"/>
        <v>0.5151977228829927</v>
      </c>
      <c r="E2338" s="185">
        <v>-1.2014251387853177E-2</v>
      </c>
      <c r="F2338" s="171"/>
      <c r="G2338" s="171">
        <v>2335</v>
      </c>
      <c r="H2338" s="186">
        <f t="shared" ca="1" si="76"/>
        <v>-8.2959747934029469E-3</v>
      </c>
    </row>
    <row r="2339" spans="2:8">
      <c r="B2339" s="36">
        <v>44082</v>
      </c>
      <c r="C2339" s="185">
        <v>1967.4</v>
      </c>
      <c r="D2339" s="185">
        <f t="shared" si="75"/>
        <v>0.25164614944174074</v>
      </c>
      <c r="E2339" s="185">
        <v>-1.2027016847866934E-2</v>
      </c>
      <c r="F2339" s="171"/>
      <c r="G2339" s="171">
        <v>2336</v>
      </c>
      <c r="H2339" s="186">
        <f t="shared" ca="1" si="76"/>
        <v>1.8897935731163551E-2</v>
      </c>
    </row>
    <row r="2340" spans="2:8">
      <c r="B2340" s="36">
        <v>43699</v>
      </c>
      <c r="C2340" s="185">
        <v>1571.85</v>
      </c>
      <c r="D2340" s="185">
        <f t="shared" si="75"/>
        <v>0.38409721304979511</v>
      </c>
      <c r="E2340" s="185">
        <v>-1.206750259262754E-2</v>
      </c>
      <c r="F2340" s="171"/>
      <c r="G2340" s="171">
        <v>2337</v>
      </c>
      <c r="H2340" s="186">
        <f t="shared" ca="1" si="76"/>
        <v>1.4796058433006808E-2</v>
      </c>
    </row>
    <row r="2341" spans="2:8">
      <c r="B2341" s="36">
        <v>42942</v>
      </c>
      <c r="C2341" s="185">
        <v>1135.6500000000001</v>
      </c>
      <c r="D2341" s="185">
        <f t="shared" si="75"/>
        <v>2.6205213933944788E-2</v>
      </c>
      <c r="E2341" s="185">
        <v>-1.2134655532358924E-2</v>
      </c>
      <c r="F2341" s="171"/>
      <c r="G2341" s="171">
        <v>2338</v>
      </c>
      <c r="H2341" s="186">
        <f t="shared" ca="1" si="76"/>
        <v>2.4220197278442736E-3</v>
      </c>
    </row>
    <row r="2342" spans="2:8">
      <c r="B2342" s="36">
        <v>42607</v>
      </c>
      <c r="C2342" s="185">
        <v>1106.6500000000001</v>
      </c>
      <c r="D2342" s="185">
        <f t="shared" si="75"/>
        <v>-0.64311973943048795</v>
      </c>
      <c r="E2342" s="185">
        <v>-1.2140147288551581E-2</v>
      </c>
      <c r="F2342" s="171"/>
      <c r="G2342" s="171">
        <v>2339</v>
      </c>
      <c r="H2342" s="186">
        <f t="shared" ca="1" si="76"/>
        <v>-2.6460557978645635E-3</v>
      </c>
    </row>
    <row r="2343" spans="2:8">
      <c r="B2343" s="36">
        <v>45063</v>
      </c>
      <c r="C2343" s="185">
        <v>3100.9</v>
      </c>
      <c r="D2343" s="185">
        <f t="shared" si="75"/>
        <v>-3.2133214726032686E-2</v>
      </c>
      <c r="E2343" s="185">
        <v>-1.2169093052148647E-2</v>
      </c>
      <c r="F2343" s="171"/>
      <c r="G2343" s="171">
        <v>2340</v>
      </c>
      <c r="H2343" s="186">
        <f t="shared" ca="1" si="76"/>
        <v>-1.0961325309080221E-2</v>
      </c>
    </row>
    <row r="2344" spans="2:8">
      <c r="B2344" s="36">
        <v>44683</v>
      </c>
      <c r="C2344" s="185">
        <v>3203.85</v>
      </c>
      <c r="D2344" s="185">
        <f t="shared" si="75"/>
        <v>1.7131727145700133</v>
      </c>
      <c r="E2344" s="185">
        <v>-1.2209221662119013E-2</v>
      </c>
      <c r="F2344" s="171"/>
      <c r="G2344" s="171">
        <v>2341</v>
      </c>
      <c r="H2344" s="186">
        <f t="shared" ca="1" si="76"/>
        <v>-7.3661434592184301E-3</v>
      </c>
    </row>
    <row r="2345" spans="2:8">
      <c r="B2345" s="36">
        <v>43110</v>
      </c>
      <c r="C2345" s="185">
        <v>1180.8499999999999</v>
      </c>
      <c r="D2345" s="185">
        <f t="shared" si="75"/>
        <v>-0.63981454650825853</v>
      </c>
      <c r="E2345" s="185">
        <v>-1.2254286909243071E-2</v>
      </c>
      <c r="F2345" s="171"/>
      <c r="G2345" s="171">
        <v>2342</v>
      </c>
      <c r="H2345" s="186">
        <f t="shared" ca="1" si="76"/>
        <v>1.4673251738733959E-2</v>
      </c>
    </row>
    <row r="2346" spans="2:8">
      <c r="B2346" s="36">
        <v>44582</v>
      </c>
      <c r="C2346" s="185">
        <v>3278.45</v>
      </c>
      <c r="D2346" s="185">
        <f t="shared" si="75"/>
        <v>0.8936895306859205</v>
      </c>
      <c r="E2346" s="185">
        <v>-1.2262175556995096E-2</v>
      </c>
      <c r="F2346" s="171"/>
      <c r="G2346" s="171">
        <v>2343</v>
      </c>
      <c r="H2346" s="186">
        <f t="shared" ca="1" si="76"/>
        <v>1.3378856290817032E-2</v>
      </c>
    </row>
    <row r="2347" spans="2:8">
      <c r="B2347" s="36">
        <v>43742</v>
      </c>
      <c r="C2347" s="185">
        <v>1731.25</v>
      </c>
      <c r="D2347" s="185">
        <f t="shared" si="75"/>
        <v>0.54651837956139171</v>
      </c>
      <c r="E2347" s="185">
        <v>-1.229461433135552E-2</v>
      </c>
      <c r="F2347" s="171"/>
      <c r="G2347" s="171">
        <v>2344</v>
      </c>
      <c r="H2347" s="186">
        <f t="shared" ca="1" si="76"/>
        <v>-4.376169972462869E-3</v>
      </c>
    </row>
    <row r="2348" spans="2:8">
      <c r="B2348" s="36">
        <v>42923</v>
      </c>
      <c r="C2348" s="185">
        <v>1119.45</v>
      </c>
      <c r="D2348" s="185">
        <f t="shared" si="75"/>
        <v>-0.35864676730928985</v>
      </c>
      <c r="E2348" s="185">
        <v>-1.2308099523557476E-2</v>
      </c>
      <c r="F2348" s="171"/>
      <c r="G2348" s="171">
        <v>2345</v>
      </c>
      <c r="H2348" s="186">
        <f t="shared" ca="1" si="76"/>
        <v>7.1208307747970892E-3</v>
      </c>
    </row>
    <row r="2349" spans="2:8">
      <c r="B2349" s="36">
        <v>43787</v>
      </c>
      <c r="C2349" s="185">
        <v>1745.45</v>
      </c>
      <c r="D2349" s="185">
        <f t="shared" si="75"/>
        <v>-0.35900919924349539</v>
      </c>
      <c r="E2349" s="185">
        <v>-1.2335549582684936E-2</v>
      </c>
      <c r="F2349" s="171"/>
      <c r="G2349" s="171">
        <v>2346</v>
      </c>
      <c r="H2349" s="186">
        <f t="shared" ca="1" si="76"/>
        <v>4.2923433471558194E-3</v>
      </c>
    </row>
    <row r="2350" spans="2:8">
      <c r="B2350" s="36">
        <v>44959</v>
      </c>
      <c r="C2350" s="185">
        <v>2723.05</v>
      </c>
      <c r="D2350" s="185">
        <f t="shared" si="75"/>
        <v>-0.12719958973044004</v>
      </c>
      <c r="E2350" s="185">
        <v>-1.2349932900511309E-2</v>
      </c>
      <c r="F2350" s="171"/>
      <c r="G2350" s="171">
        <v>2347</v>
      </c>
      <c r="H2350" s="186">
        <f t="shared" ca="1" si="76"/>
        <v>-4.6148862269772533E-3</v>
      </c>
    </row>
    <row r="2351" spans="2:8">
      <c r="B2351" s="36">
        <v>45260</v>
      </c>
      <c r="C2351" s="185">
        <v>3119.9</v>
      </c>
      <c r="D2351" s="185">
        <f t="shared" si="75"/>
        <v>-5.4561432748980968E-2</v>
      </c>
      <c r="E2351" s="185">
        <v>-1.2361702464426385E-2</v>
      </c>
      <c r="F2351" s="171"/>
      <c r="G2351" s="171">
        <v>2348</v>
      </c>
      <c r="H2351" s="186">
        <f t="shared" ca="1" si="76"/>
        <v>1.1840688820008681E-2</v>
      </c>
    </row>
    <row r="2352" spans="2:8">
      <c r="B2352" s="36">
        <v>45280</v>
      </c>
      <c r="C2352" s="185">
        <v>3299.95</v>
      </c>
      <c r="D2352" s="185">
        <f t="shared" si="75"/>
        <v>5.7269639882096636E-2</v>
      </c>
      <c r="E2352" s="185">
        <v>-1.2419757889538974E-2</v>
      </c>
      <c r="F2352" s="171"/>
      <c r="G2352" s="171">
        <v>2349</v>
      </c>
      <c r="H2352" s="186">
        <f t="shared" ca="1" si="76"/>
        <v>-1.762857737745004E-3</v>
      </c>
    </row>
    <row r="2353" spans="2:8">
      <c r="B2353" s="36">
        <v>44510</v>
      </c>
      <c r="C2353" s="185">
        <v>3121.2</v>
      </c>
      <c r="D2353" s="185">
        <f t="shared" si="75"/>
        <v>1.7714437932871601</v>
      </c>
      <c r="E2353" s="185">
        <v>-1.2434741338395882E-2</v>
      </c>
      <c r="F2353" s="171"/>
      <c r="G2353" s="171">
        <v>2350</v>
      </c>
      <c r="H2353" s="186">
        <f t="shared" ca="1" si="76"/>
        <v>-1.0828647365717349E-2</v>
      </c>
    </row>
    <row r="2354" spans="2:8">
      <c r="B2354" s="36">
        <v>43073</v>
      </c>
      <c r="C2354" s="185">
        <v>1126.2</v>
      </c>
      <c r="D2354" s="185">
        <f t="shared" si="75"/>
        <v>-0.57342524904359682</v>
      </c>
      <c r="E2354" s="185">
        <v>-1.2451771308312912E-2</v>
      </c>
      <c r="F2354" s="171"/>
      <c r="G2354" s="171">
        <v>2351</v>
      </c>
      <c r="H2354" s="186">
        <f t="shared" ca="1" si="76"/>
        <v>-1.0112977601673856E-3</v>
      </c>
    </row>
    <row r="2355" spans="2:8">
      <c r="B2355" s="36">
        <v>46181</v>
      </c>
      <c r="C2355" s="185">
        <v>2640.1</v>
      </c>
      <c r="D2355" s="185">
        <f t="shared" si="75"/>
        <v>0.93067388204321899</v>
      </c>
      <c r="E2355" s="185">
        <v>-1.2456048477594142E-2</v>
      </c>
      <c r="F2355" s="171"/>
      <c r="G2355" s="171">
        <v>2352</v>
      </c>
      <c r="H2355" s="186">
        <f t="shared" ca="1" si="76"/>
        <v>-2.7247010060351115E-2</v>
      </c>
    </row>
    <row r="2356" spans="2:8">
      <c r="B2356" s="36">
        <v>43665</v>
      </c>
      <c r="C2356" s="185">
        <v>1367.45</v>
      </c>
      <c r="D2356" s="185">
        <f t="shared" si="75"/>
        <v>-0.58715374745263793</v>
      </c>
      <c r="E2356" s="185">
        <v>-1.2493229824878105E-2</v>
      </c>
      <c r="F2356" s="171"/>
      <c r="G2356" s="171">
        <v>2353</v>
      </c>
      <c r="H2356" s="186">
        <f t="shared" ca="1" si="76"/>
        <v>-4.5514223259149949E-3</v>
      </c>
    </row>
    <row r="2357" spans="2:8">
      <c r="B2357" s="36">
        <v>44837</v>
      </c>
      <c r="C2357" s="185">
        <v>3312.25</v>
      </c>
      <c r="D2357" s="185">
        <f t="shared" si="75"/>
        <v>1.1466995041965067</v>
      </c>
      <c r="E2357" s="185">
        <v>-1.2506708007870676E-2</v>
      </c>
      <c r="F2357" s="171"/>
      <c r="G2357" s="171">
        <v>2354</v>
      </c>
      <c r="H2357" s="186">
        <f t="shared" ca="1" si="76"/>
        <v>-1.345257881888017E-2</v>
      </c>
    </row>
    <row r="2358" spans="2:8">
      <c r="B2358" s="36">
        <v>43720</v>
      </c>
      <c r="C2358" s="185">
        <v>1542.95</v>
      </c>
      <c r="D2358" s="185">
        <f t="shared" si="75"/>
        <v>-0.42870630924170616</v>
      </c>
      <c r="E2358" s="185">
        <v>-1.2511999999999971E-2</v>
      </c>
      <c r="F2358" s="171"/>
      <c r="G2358" s="171">
        <v>2355</v>
      </c>
      <c r="H2358" s="186">
        <f t="shared" ca="1" si="76"/>
        <v>1.9509272180930327E-2</v>
      </c>
    </row>
    <row r="2359" spans="2:8">
      <c r="B2359" s="36">
        <v>44720</v>
      </c>
      <c r="C2359" s="185">
        <v>2700.8</v>
      </c>
      <c r="D2359" s="185">
        <f t="shared" si="75"/>
        <v>0.36718216102660162</v>
      </c>
      <c r="E2359" s="185">
        <v>-1.2558726212456321E-2</v>
      </c>
      <c r="F2359" s="171"/>
      <c r="G2359" s="171">
        <v>2356</v>
      </c>
      <c r="H2359" s="186">
        <f t="shared" ca="1" si="76"/>
        <v>-1.2867833340372638E-2</v>
      </c>
    </row>
    <row r="2360" spans="2:8">
      <c r="B2360" s="36">
        <v>44069</v>
      </c>
      <c r="C2360" s="185">
        <v>1975.45</v>
      </c>
      <c r="D2360" s="185">
        <f t="shared" si="75"/>
        <v>0.40586414261822573</v>
      </c>
      <c r="E2360" s="185">
        <v>-1.2571228631410509E-2</v>
      </c>
      <c r="F2360" s="171"/>
      <c r="G2360" s="171">
        <v>2357</v>
      </c>
      <c r="H2360" s="186">
        <f t="shared" ca="1" si="76"/>
        <v>-2.1456682620976631E-4</v>
      </c>
    </row>
    <row r="2361" spans="2:8">
      <c r="B2361" s="36">
        <v>43325</v>
      </c>
      <c r="C2361" s="185">
        <v>1405.15</v>
      </c>
      <c r="D2361" s="185">
        <f t="shared" si="75"/>
        <v>0.37827366356056902</v>
      </c>
      <c r="E2361" s="185">
        <v>-1.2613308973367873E-2</v>
      </c>
      <c r="F2361" s="171"/>
      <c r="G2361" s="171">
        <v>2358</v>
      </c>
      <c r="H2361" s="186">
        <f t="shared" ca="1" si="76"/>
        <v>-6.6840741580693455E-4</v>
      </c>
    </row>
    <row r="2362" spans="2:8">
      <c r="B2362" s="36">
        <v>42529</v>
      </c>
      <c r="C2362" s="185">
        <v>1019.5</v>
      </c>
      <c r="D2362" s="185">
        <f t="shared" si="75"/>
        <v>-0.65963342570026373</v>
      </c>
      <c r="E2362" s="185">
        <v>-1.2686422622506207E-2</v>
      </c>
      <c r="F2362" s="171"/>
      <c r="G2362" s="171">
        <v>2359</v>
      </c>
      <c r="H2362" s="186">
        <f t="shared" ca="1" si="76"/>
        <v>-1.4025861581029198E-2</v>
      </c>
    </row>
    <row r="2363" spans="2:8">
      <c r="B2363" s="36">
        <v>44670</v>
      </c>
      <c r="C2363" s="185">
        <v>2995.3</v>
      </c>
      <c r="D2363" s="185">
        <f t="shared" si="75"/>
        <v>0.2516662836129625</v>
      </c>
      <c r="E2363" s="185">
        <v>-1.2706626893221395E-2</v>
      </c>
      <c r="F2363" s="171"/>
      <c r="G2363" s="171">
        <v>2360</v>
      </c>
      <c r="H2363" s="186">
        <f t="shared" ca="1" si="76"/>
        <v>-2.8737858702875395E-2</v>
      </c>
    </row>
    <row r="2364" spans="2:8">
      <c r="B2364" s="36">
        <v>44260</v>
      </c>
      <c r="C2364" s="185">
        <v>2393.0500000000002</v>
      </c>
      <c r="D2364" s="185">
        <f t="shared" si="75"/>
        <v>-0.29656520524993008</v>
      </c>
      <c r="E2364" s="185">
        <v>-1.2707056954844453E-2</v>
      </c>
      <c r="F2364" s="171"/>
      <c r="G2364" s="171">
        <v>2361</v>
      </c>
      <c r="H2364" s="186">
        <f t="shared" ca="1" si="76"/>
        <v>-2.6058553214953397E-3</v>
      </c>
    </row>
    <row r="2365" spans="2:8">
      <c r="B2365" s="36">
        <v>44819</v>
      </c>
      <c r="C2365" s="185">
        <v>3401.95</v>
      </c>
      <c r="D2365" s="185">
        <f t="shared" si="75"/>
        <v>2.4807898910318715</v>
      </c>
      <c r="E2365" s="185">
        <v>-1.2754287704228292E-2</v>
      </c>
      <c r="F2365" s="171"/>
      <c r="G2365" s="171">
        <v>2362</v>
      </c>
      <c r="H2365" s="186">
        <f t="shared" ca="1" si="76"/>
        <v>2.6101272237094353E-2</v>
      </c>
    </row>
    <row r="2366" spans="2:8">
      <c r="B2366" s="36">
        <v>42548</v>
      </c>
      <c r="C2366" s="185">
        <v>977.35</v>
      </c>
      <c r="D2366" s="185">
        <f t="shared" si="75"/>
        <v>-0.66654725349709998</v>
      </c>
      <c r="E2366" s="185">
        <v>-1.2777777777777754E-2</v>
      </c>
      <c r="F2366" s="171"/>
      <c r="G2366" s="171">
        <v>2363</v>
      </c>
      <c r="H2366" s="186">
        <f t="shared" ca="1" si="76"/>
        <v>-2.0547213438427494E-2</v>
      </c>
    </row>
    <row r="2367" spans="2:8">
      <c r="B2367" s="36">
        <v>44348</v>
      </c>
      <c r="C2367" s="185">
        <v>2931</v>
      </c>
      <c r="D2367" s="185">
        <f t="shared" si="75"/>
        <v>0.94434309595674815</v>
      </c>
      <c r="E2367" s="185">
        <v>-1.2782296771585855E-2</v>
      </c>
      <c r="F2367" s="171"/>
      <c r="G2367" s="171">
        <v>2364</v>
      </c>
      <c r="H2367" s="186">
        <f t="shared" ca="1" si="76"/>
        <v>7.9084878977267563E-3</v>
      </c>
    </row>
    <row r="2368" spans="2:8">
      <c r="B2368" s="36">
        <v>43563</v>
      </c>
      <c r="C2368" s="185">
        <v>1507.45</v>
      </c>
      <c r="D2368" s="185">
        <f t="shared" si="75"/>
        <v>-0.45676498675651811</v>
      </c>
      <c r="E2368" s="185">
        <v>-1.2802881466928588E-2</v>
      </c>
      <c r="F2368" s="171"/>
      <c r="G2368" s="171">
        <v>2365</v>
      </c>
      <c r="H2368" s="186">
        <f t="shared" ca="1" si="76"/>
        <v>-1.1965618359234988E-2</v>
      </c>
    </row>
    <row r="2369" spans="2:8">
      <c r="B2369" s="36">
        <v>44951</v>
      </c>
      <c r="C2369" s="185">
        <v>2774.95</v>
      </c>
      <c r="D2369" s="185">
        <f t="shared" si="75"/>
        <v>2.3362590352559342E-2</v>
      </c>
      <c r="E2369" s="185">
        <v>-1.2842176410949774E-2</v>
      </c>
      <c r="F2369" s="171"/>
      <c r="G2369" s="171">
        <v>2366</v>
      </c>
      <c r="H2369" s="186">
        <f t="shared" ca="1" si="76"/>
        <v>2.3728395884974766E-2</v>
      </c>
    </row>
    <row r="2370" spans="2:8">
      <c r="B2370" s="36">
        <v>44627</v>
      </c>
      <c r="C2370" s="185">
        <v>2711.6</v>
      </c>
      <c r="D2370" s="185">
        <f t="shared" si="75"/>
        <v>0.90021023125437971</v>
      </c>
      <c r="E2370" s="185">
        <v>-1.2850850049146377E-2</v>
      </c>
      <c r="F2370" s="171"/>
      <c r="G2370" s="171">
        <v>2367</v>
      </c>
      <c r="H2370" s="186">
        <f t="shared" ca="1" si="76"/>
        <v>-7.342537697457731E-3</v>
      </c>
    </row>
    <row r="2371" spans="2:8">
      <c r="B2371" s="36">
        <v>43314</v>
      </c>
      <c r="C2371" s="185">
        <v>1427</v>
      </c>
      <c r="D2371" s="185">
        <f t="shared" si="75"/>
        <v>0.76379704591805209</v>
      </c>
      <c r="E2371" s="185">
        <v>-1.2866629773104531E-2</v>
      </c>
      <c r="F2371" s="171"/>
      <c r="G2371" s="171">
        <v>2368</v>
      </c>
      <c r="H2371" s="186">
        <f t="shared" ca="1" si="76"/>
        <v>5.0615576973480148E-3</v>
      </c>
    </row>
    <row r="2372" spans="2:8">
      <c r="B2372" s="36">
        <v>42249</v>
      </c>
      <c r="C2372" s="185">
        <v>809.05</v>
      </c>
      <c r="D2372" s="185">
        <f t="shared" ref="D2372:D2435" si="77">(C2372-C2373)/C2373</f>
        <v>-0.33520953163516848</v>
      </c>
      <c r="E2372" s="185">
        <v>-1.2932349173427711E-2</v>
      </c>
      <c r="F2372" s="171"/>
      <c r="G2372" s="171">
        <v>2369</v>
      </c>
      <c r="H2372" s="186">
        <f t="shared" ca="1" si="76"/>
        <v>1.4180620824052826E-2</v>
      </c>
    </row>
    <row r="2373" spans="2:8">
      <c r="B2373" s="36">
        <v>43000</v>
      </c>
      <c r="C2373" s="185">
        <v>1217</v>
      </c>
      <c r="D2373" s="185">
        <f t="shared" si="77"/>
        <v>-0.29404257787574689</v>
      </c>
      <c r="E2373" s="185">
        <v>-1.2936453221947398E-2</v>
      </c>
      <c r="F2373" s="171"/>
      <c r="G2373" s="171">
        <v>2370</v>
      </c>
      <c r="H2373" s="186">
        <f t="shared" ref="H2373:H2436" ca="1" si="78">_xlfn.NORM.INV(RAND(),N$6,N$7)</f>
        <v>1.346472853160467E-2</v>
      </c>
    </row>
    <row r="2374" spans="2:8">
      <c r="B2374" s="36">
        <v>44043</v>
      </c>
      <c r="C2374" s="185">
        <v>1723.9</v>
      </c>
      <c r="D2374" s="185">
        <f t="shared" si="77"/>
        <v>-0.43768144306357432</v>
      </c>
      <c r="E2374" s="185">
        <v>-1.294016604637842E-2</v>
      </c>
      <c r="F2374" s="171"/>
      <c r="G2374" s="171">
        <v>2371</v>
      </c>
      <c r="H2374" s="186">
        <f t="shared" ca="1" si="78"/>
        <v>7.1917025216876266E-3</v>
      </c>
    </row>
    <row r="2375" spans="2:8">
      <c r="B2375" s="36">
        <v>44875</v>
      </c>
      <c r="C2375" s="185">
        <v>3065.7</v>
      </c>
      <c r="D2375" s="185">
        <f t="shared" si="77"/>
        <v>2.4723071695548757</v>
      </c>
      <c r="E2375" s="185">
        <v>-1.2943108277793963E-2</v>
      </c>
      <c r="F2375" s="171"/>
      <c r="G2375" s="171">
        <v>2372</v>
      </c>
      <c r="H2375" s="186">
        <f t="shared" ca="1" si="78"/>
        <v>-6.7519097828515394E-4</v>
      </c>
    </row>
    <row r="2376" spans="2:8">
      <c r="B2376" s="36">
        <v>42384</v>
      </c>
      <c r="C2376" s="185">
        <v>882.9</v>
      </c>
      <c r="D2376" s="185">
        <f t="shared" si="77"/>
        <v>-0.62168994772474073</v>
      </c>
      <c r="E2376" s="185">
        <v>-1.2968138624930153E-2</v>
      </c>
      <c r="F2376" s="171"/>
      <c r="G2376" s="171">
        <v>2373</v>
      </c>
      <c r="H2376" s="186">
        <f t="shared" ca="1" si="78"/>
        <v>-2.6417226317064176E-3</v>
      </c>
    </row>
    <row r="2377" spans="2:8">
      <c r="B2377" s="36">
        <v>45938</v>
      </c>
      <c r="C2377" s="185">
        <v>2333.8000000000002</v>
      </c>
      <c r="D2377" s="185">
        <f t="shared" si="77"/>
        <v>-0.22447080716445683</v>
      </c>
      <c r="E2377" s="185">
        <v>-1.2983717487840904E-2</v>
      </c>
      <c r="F2377" s="171"/>
      <c r="G2377" s="171">
        <v>2374</v>
      </c>
      <c r="H2377" s="186">
        <f t="shared" ca="1" si="78"/>
        <v>2.2797203328944794E-2</v>
      </c>
    </row>
    <row r="2378" spans="2:8">
      <c r="B2378" s="36">
        <v>45587</v>
      </c>
      <c r="C2378" s="185">
        <v>3009.3</v>
      </c>
      <c r="D2378" s="185">
        <f t="shared" si="77"/>
        <v>-4.2684137383361912E-3</v>
      </c>
      <c r="E2378" s="185">
        <v>-1.2988290858998297E-2</v>
      </c>
      <c r="F2378" s="171"/>
      <c r="G2378" s="171">
        <v>2375</v>
      </c>
      <c r="H2378" s="186">
        <f t="shared" ca="1" si="78"/>
        <v>-5.8519412820346563E-3</v>
      </c>
    </row>
    <row r="2379" spans="2:8">
      <c r="B2379" s="36">
        <v>44643</v>
      </c>
      <c r="C2379" s="185">
        <v>3022.2</v>
      </c>
      <c r="D2379" s="185">
        <f t="shared" si="77"/>
        <v>0.2658959537572253</v>
      </c>
      <c r="E2379" s="185">
        <v>-1.3014157182279964E-2</v>
      </c>
      <c r="F2379" s="171"/>
      <c r="G2379" s="171">
        <v>2376</v>
      </c>
      <c r="H2379" s="186">
        <f t="shared" ca="1" si="78"/>
        <v>-7.9906597920005006E-3</v>
      </c>
    </row>
    <row r="2380" spans="2:8">
      <c r="B2380" s="36">
        <v>44249</v>
      </c>
      <c r="C2380" s="185">
        <v>2387.4</v>
      </c>
      <c r="D2380" s="185">
        <f t="shared" si="77"/>
        <v>1.032521709518134</v>
      </c>
      <c r="E2380" s="185">
        <v>-1.3022448220265409E-2</v>
      </c>
      <c r="F2380" s="171"/>
      <c r="G2380" s="171">
        <v>2377</v>
      </c>
      <c r="H2380" s="186">
        <f t="shared" ca="1" si="78"/>
        <v>-1.5683379982153497E-3</v>
      </c>
    </row>
    <row r="2381" spans="2:8">
      <c r="B2381" s="36">
        <v>43122</v>
      </c>
      <c r="C2381" s="185">
        <v>1174.5999999999999</v>
      </c>
      <c r="D2381" s="185">
        <f t="shared" si="77"/>
        <v>-0.54290384091528199</v>
      </c>
      <c r="E2381" s="185">
        <v>-1.3065579968911634E-2</v>
      </c>
      <c r="F2381" s="171"/>
      <c r="G2381" s="171">
        <v>2378</v>
      </c>
      <c r="H2381" s="186">
        <f t="shared" ca="1" si="78"/>
        <v>-3.4597794406073828E-2</v>
      </c>
    </row>
    <row r="2382" spans="2:8">
      <c r="B2382" s="36">
        <v>46153</v>
      </c>
      <c r="C2382" s="185">
        <v>2569.6999999999998</v>
      </c>
      <c r="D2382" s="185">
        <f t="shared" si="77"/>
        <v>0.18819068756646787</v>
      </c>
      <c r="E2382" s="185">
        <v>-1.3096243951148461E-2</v>
      </c>
      <c r="F2382" s="171"/>
      <c r="G2382" s="171">
        <v>2379</v>
      </c>
      <c r="H2382" s="186">
        <f t="shared" ca="1" si="78"/>
        <v>9.8464777959424176E-4</v>
      </c>
    </row>
    <row r="2383" spans="2:8">
      <c r="B2383" s="36">
        <v>44132</v>
      </c>
      <c r="C2383" s="185">
        <v>2162.6999999999998</v>
      </c>
      <c r="D2383" s="185">
        <f t="shared" si="77"/>
        <v>0.59232808128405223</v>
      </c>
      <c r="E2383" s="185">
        <v>-1.3096650543031975E-2</v>
      </c>
      <c r="F2383" s="171"/>
      <c r="G2383" s="171">
        <v>2380</v>
      </c>
      <c r="H2383" s="186">
        <f t="shared" ca="1" si="78"/>
        <v>9.7692541508750275E-3</v>
      </c>
    </row>
    <row r="2384" spans="2:8">
      <c r="B2384" s="36">
        <v>43606</v>
      </c>
      <c r="C2384" s="185">
        <v>1358.2</v>
      </c>
      <c r="D2384" s="185">
        <f t="shared" si="77"/>
        <v>-0.58564302820446323</v>
      </c>
      <c r="E2384" s="185">
        <v>-1.3115349682107142E-2</v>
      </c>
      <c r="F2384" s="171"/>
      <c r="G2384" s="171">
        <v>2381</v>
      </c>
      <c r="H2384" s="186">
        <f t="shared" ca="1" si="78"/>
        <v>7.6244012377705093E-3</v>
      </c>
    </row>
    <row r="2385" spans="2:8">
      <c r="B2385" s="36">
        <v>45553</v>
      </c>
      <c r="C2385" s="185">
        <v>3277.85</v>
      </c>
      <c r="D2385" s="185">
        <f t="shared" si="77"/>
        <v>0.89657466874963831</v>
      </c>
      <c r="E2385" s="185">
        <v>-1.3126797031416976E-2</v>
      </c>
      <c r="F2385" s="171"/>
      <c r="G2385" s="171">
        <v>2382</v>
      </c>
      <c r="H2385" s="186">
        <f t="shared" ca="1" si="78"/>
        <v>-1.3491918385056876E-2</v>
      </c>
    </row>
    <row r="2386" spans="2:8">
      <c r="B2386" s="36">
        <v>44033</v>
      </c>
      <c r="C2386" s="185">
        <v>1728.3</v>
      </c>
      <c r="D2386" s="185">
        <f t="shared" si="77"/>
        <v>-0.28171560376535132</v>
      </c>
      <c r="E2386" s="185">
        <v>-1.3133101124878662E-2</v>
      </c>
      <c r="F2386" s="171"/>
      <c r="G2386" s="171">
        <v>2383</v>
      </c>
      <c r="H2386" s="186">
        <f t="shared" ca="1" si="78"/>
        <v>-1.0451651589913971E-2</v>
      </c>
    </row>
    <row r="2387" spans="2:8">
      <c r="B2387" s="36">
        <v>44267</v>
      </c>
      <c r="C2387" s="185">
        <v>2406.15</v>
      </c>
      <c r="D2387" s="185">
        <f t="shared" si="77"/>
        <v>0.81815777542693058</v>
      </c>
      <c r="E2387" s="185">
        <v>-1.3144942990730756E-2</v>
      </c>
      <c r="F2387" s="171"/>
      <c r="G2387" s="171">
        <v>2384</v>
      </c>
      <c r="H2387" s="186">
        <f t="shared" ca="1" si="78"/>
        <v>-1.1739361495178326E-2</v>
      </c>
    </row>
    <row r="2388" spans="2:8">
      <c r="B2388" s="36">
        <v>43432</v>
      </c>
      <c r="C2388" s="185">
        <v>1323.4</v>
      </c>
      <c r="D2388" s="185">
        <f t="shared" si="77"/>
        <v>-0.48198453860456009</v>
      </c>
      <c r="E2388" s="185">
        <v>-1.3161328809514832E-2</v>
      </c>
      <c r="F2388" s="171"/>
      <c r="G2388" s="171">
        <v>2385</v>
      </c>
      <c r="H2388" s="186">
        <f t="shared" ca="1" si="78"/>
        <v>-2.2311727206512262E-2</v>
      </c>
    </row>
    <row r="2389" spans="2:8">
      <c r="B2389" s="36">
        <v>44286</v>
      </c>
      <c r="C2389" s="185">
        <v>2554.75</v>
      </c>
      <c r="D2389" s="185">
        <f t="shared" si="77"/>
        <v>-0.13118517258969564</v>
      </c>
      <c r="E2389" s="185">
        <v>-1.3171871680475853E-2</v>
      </c>
      <c r="F2389" s="171"/>
      <c r="G2389" s="171">
        <v>2386</v>
      </c>
      <c r="H2389" s="186">
        <f t="shared" ca="1" si="78"/>
        <v>-8.9807888499899013E-3</v>
      </c>
    </row>
    <row r="2390" spans="2:8">
      <c r="B2390" s="36">
        <v>45323</v>
      </c>
      <c r="C2390" s="185">
        <v>2940.5</v>
      </c>
      <c r="D2390" s="185">
        <f t="shared" si="77"/>
        <v>0.18611592916784322</v>
      </c>
      <c r="E2390" s="185">
        <v>-1.3188804617759642E-2</v>
      </c>
      <c r="F2390" s="171"/>
      <c r="G2390" s="171">
        <v>2387</v>
      </c>
      <c r="H2390" s="186">
        <f t="shared" ca="1" si="78"/>
        <v>-2.0770134818240655E-2</v>
      </c>
    </row>
    <row r="2391" spans="2:8">
      <c r="B2391" s="36">
        <v>45877</v>
      </c>
      <c r="C2391" s="185">
        <v>2479.1</v>
      </c>
      <c r="D2391" s="185">
        <f t="shared" si="77"/>
        <v>-0.21694909900661727</v>
      </c>
      <c r="E2391" s="185">
        <v>-1.3214982287147342E-2</v>
      </c>
      <c r="F2391" s="171"/>
      <c r="G2391" s="171">
        <v>2388</v>
      </c>
      <c r="H2391" s="186">
        <f t="shared" ca="1" si="78"/>
        <v>3.0502189030461875E-2</v>
      </c>
    </row>
    <row r="2392" spans="2:8">
      <c r="B2392" s="36">
        <v>45208</v>
      </c>
      <c r="C2392" s="185">
        <v>3165.95</v>
      </c>
      <c r="D2392" s="185">
        <f t="shared" si="77"/>
        <v>0.31280063028694638</v>
      </c>
      <c r="E2392" s="185">
        <v>-1.3215515763554503E-2</v>
      </c>
      <c r="F2392" s="171"/>
      <c r="G2392" s="171">
        <v>2389</v>
      </c>
      <c r="H2392" s="186">
        <f t="shared" ca="1" si="78"/>
        <v>2.8724998514007224E-2</v>
      </c>
    </row>
    <row r="2393" spans="2:8">
      <c r="B2393" s="36">
        <v>45852</v>
      </c>
      <c r="C2393" s="185">
        <v>2411.6</v>
      </c>
      <c r="D2393" s="185">
        <f t="shared" si="77"/>
        <v>1.440149752099565</v>
      </c>
      <c r="E2393" s="185">
        <v>-1.3216580056467196E-2</v>
      </c>
      <c r="F2393" s="171"/>
      <c r="G2393" s="171">
        <v>2390</v>
      </c>
      <c r="H2393" s="186">
        <f t="shared" ca="1" si="78"/>
        <v>-6.2468783460146735E-3</v>
      </c>
    </row>
    <row r="2394" spans="2:8">
      <c r="B2394" s="36">
        <v>42520</v>
      </c>
      <c r="C2394" s="185">
        <v>988.3</v>
      </c>
      <c r="D2394" s="185">
        <f t="shared" si="77"/>
        <v>-0.68744465528146736</v>
      </c>
      <c r="E2394" s="185">
        <v>-1.3229494283860017E-2</v>
      </c>
      <c r="F2394" s="171"/>
      <c r="G2394" s="171">
        <v>2391</v>
      </c>
      <c r="H2394" s="186">
        <f t="shared" ca="1" si="78"/>
        <v>-2.1360269836471688E-4</v>
      </c>
    </row>
    <row r="2395" spans="2:8">
      <c r="B2395" s="36">
        <v>44897</v>
      </c>
      <c r="C2395" s="185">
        <v>3162</v>
      </c>
      <c r="D2395" s="185">
        <f t="shared" si="77"/>
        <v>0.37334954829742872</v>
      </c>
      <c r="E2395" s="185">
        <v>-1.3231806266383751E-2</v>
      </c>
      <c r="F2395" s="171"/>
      <c r="G2395" s="171">
        <v>2392</v>
      </c>
      <c r="H2395" s="186">
        <f t="shared" ca="1" si="78"/>
        <v>1.0186417307651487E-2</v>
      </c>
    </row>
    <row r="2396" spans="2:8">
      <c r="B2396" s="36">
        <v>45797</v>
      </c>
      <c r="C2396" s="185">
        <v>2302.4</v>
      </c>
      <c r="D2396" s="185">
        <f t="shared" si="77"/>
        <v>-0.31548512732083661</v>
      </c>
      <c r="E2396" s="185">
        <v>-1.3243046329233312E-2</v>
      </c>
      <c r="F2396" s="171"/>
      <c r="G2396" s="171">
        <v>2393</v>
      </c>
      <c r="H2396" s="186">
        <f t="shared" ca="1" si="78"/>
        <v>9.505076792790567E-3</v>
      </c>
    </row>
    <row r="2397" spans="2:8">
      <c r="B2397" s="36">
        <v>45114</v>
      </c>
      <c r="C2397" s="185">
        <v>3363.55</v>
      </c>
      <c r="D2397" s="185">
        <f t="shared" si="77"/>
        <v>0.84729239894551855</v>
      </c>
      <c r="E2397" s="185">
        <v>-1.3245518819491195E-2</v>
      </c>
      <c r="F2397" s="171"/>
      <c r="G2397" s="171">
        <v>2394</v>
      </c>
      <c r="H2397" s="186">
        <f t="shared" ca="1" si="78"/>
        <v>2.2484921889151474E-3</v>
      </c>
    </row>
    <row r="2398" spans="2:8">
      <c r="B2398" s="36">
        <v>43885</v>
      </c>
      <c r="C2398" s="185">
        <v>1820.8</v>
      </c>
      <c r="D2398" s="185">
        <f t="shared" si="77"/>
        <v>0.32977907613657109</v>
      </c>
      <c r="E2398" s="185">
        <v>-1.3276973933777705E-2</v>
      </c>
      <c r="F2398" s="171"/>
      <c r="G2398" s="171">
        <v>2395</v>
      </c>
      <c r="H2398" s="186">
        <f t="shared" ca="1" si="78"/>
        <v>-5.6765755616294681E-4</v>
      </c>
    </row>
    <row r="2399" spans="2:8">
      <c r="B2399" s="36">
        <v>43612</v>
      </c>
      <c r="C2399" s="185">
        <v>1369.25</v>
      </c>
      <c r="D2399" s="185">
        <f t="shared" si="77"/>
        <v>-0.36116359903888767</v>
      </c>
      <c r="E2399" s="185">
        <v>-1.3295380846004212E-2</v>
      </c>
      <c r="F2399" s="171"/>
      <c r="G2399" s="171">
        <v>2396</v>
      </c>
      <c r="H2399" s="186">
        <f t="shared" ca="1" si="78"/>
        <v>8.0225574718025116E-3</v>
      </c>
    </row>
    <row r="2400" spans="2:8">
      <c r="B2400" s="36">
        <v>45720</v>
      </c>
      <c r="C2400" s="185">
        <v>2143.35</v>
      </c>
      <c r="D2400" s="185">
        <f t="shared" si="77"/>
        <v>-0.21715548413017283</v>
      </c>
      <c r="E2400" s="185">
        <v>-1.3349598361221718E-2</v>
      </c>
      <c r="F2400" s="171"/>
      <c r="G2400" s="171">
        <v>2397</v>
      </c>
      <c r="H2400" s="186">
        <f t="shared" ca="1" si="78"/>
        <v>-1.9642174165782199E-2</v>
      </c>
    </row>
    <row r="2401" spans="2:8">
      <c r="B2401" s="36">
        <v>44953</v>
      </c>
      <c r="C2401" s="185">
        <v>2737.9</v>
      </c>
      <c r="D2401" s="185">
        <f t="shared" si="77"/>
        <v>0.24631281864530219</v>
      </c>
      <c r="E2401" s="185">
        <v>-1.3351591920575048E-2</v>
      </c>
      <c r="F2401" s="171"/>
      <c r="G2401" s="171">
        <v>2398</v>
      </c>
      <c r="H2401" s="186">
        <f t="shared" ca="1" si="78"/>
        <v>-1.1187523012431996E-2</v>
      </c>
    </row>
    <row r="2402" spans="2:8">
      <c r="B2402" s="36">
        <v>46094</v>
      </c>
      <c r="C2402" s="185">
        <v>2196.8000000000002</v>
      </c>
      <c r="D2402" s="185">
        <f t="shared" si="77"/>
        <v>1.6493005306319344</v>
      </c>
      <c r="E2402" s="185">
        <v>-1.3383634240546002E-2</v>
      </c>
      <c r="F2402" s="171"/>
      <c r="G2402" s="171">
        <v>2399</v>
      </c>
      <c r="H2402" s="186">
        <f t="shared" ca="1" si="78"/>
        <v>-6.1615081897629436E-3</v>
      </c>
    </row>
    <row r="2403" spans="2:8">
      <c r="B2403" s="36">
        <v>42268</v>
      </c>
      <c r="C2403" s="185">
        <v>829.2</v>
      </c>
      <c r="D2403" s="185">
        <f t="shared" si="77"/>
        <v>-0.62010354148531632</v>
      </c>
      <c r="E2403" s="185">
        <v>-1.3385686239514544E-2</v>
      </c>
      <c r="F2403" s="171"/>
      <c r="G2403" s="171">
        <v>2400</v>
      </c>
      <c r="H2403" s="186">
        <f t="shared" ca="1" si="78"/>
        <v>-4.5650286838819784E-5</v>
      </c>
    </row>
    <row r="2404" spans="2:8">
      <c r="B2404" s="36">
        <v>44137</v>
      </c>
      <c r="C2404" s="185">
        <v>2182.6999999999998</v>
      </c>
      <c r="D2404" s="185">
        <f t="shared" si="77"/>
        <v>-9.4352931413634336E-2</v>
      </c>
      <c r="E2404" s="185">
        <v>-1.3424335563189419E-2</v>
      </c>
      <c r="F2404" s="171"/>
      <c r="G2404" s="171">
        <v>2401</v>
      </c>
      <c r="H2404" s="186">
        <f t="shared" ca="1" si="78"/>
        <v>-6.1628470771042344E-3</v>
      </c>
    </row>
    <row r="2405" spans="2:8">
      <c r="B2405" s="36">
        <v>46059</v>
      </c>
      <c r="C2405" s="185">
        <v>2410.1</v>
      </c>
      <c r="D2405" s="185">
        <f t="shared" si="77"/>
        <v>1.0384843102427472</v>
      </c>
      <c r="E2405" s="185">
        <v>-1.3426665029268566E-2</v>
      </c>
      <c r="F2405" s="171"/>
      <c r="G2405" s="171">
        <v>2402</v>
      </c>
      <c r="H2405" s="186">
        <f t="shared" ca="1" si="78"/>
        <v>-5.2297159005973177E-4</v>
      </c>
    </row>
    <row r="2406" spans="2:8">
      <c r="B2406" s="36">
        <v>43026</v>
      </c>
      <c r="C2406" s="185">
        <v>1182.3</v>
      </c>
      <c r="D2406" s="185">
        <f t="shared" si="77"/>
        <v>-0.47289344627730717</v>
      </c>
      <c r="E2406" s="185">
        <v>-1.3434579439252449E-2</v>
      </c>
      <c r="F2406" s="171"/>
      <c r="G2406" s="171">
        <v>2403</v>
      </c>
      <c r="H2406" s="186">
        <f t="shared" ca="1" si="78"/>
        <v>-4.9563421898424021E-3</v>
      </c>
    </row>
    <row r="2407" spans="2:8">
      <c r="B2407" s="36">
        <v>45699</v>
      </c>
      <c r="C2407" s="185">
        <v>2243</v>
      </c>
      <c r="D2407" s="185">
        <f t="shared" si="77"/>
        <v>-0.22713803321618078</v>
      </c>
      <c r="E2407" s="185">
        <v>-1.3437135756856096E-2</v>
      </c>
      <c r="F2407" s="171"/>
      <c r="G2407" s="171">
        <v>2404</v>
      </c>
      <c r="H2407" s="186">
        <f t="shared" ca="1" si="78"/>
        <v>-8.3397265467235211E-3</v>
      </c>
    </row>
    <row r="2408" spans="2:8">
      <c r="B2408" s="36">
        <v>45496</v>
      </c>
      <c r="C2408" s="185">
        <v>2902.2</v>
      </c>
      <c r="D2408" s="185">
        <f t="shared" si="77"/>
        <v>0.25137978613314937</v>
      </c>
      <c r="E2408" s="185">
        <v>-1.346114623699788E-2</v>
      </c>
      <c r="F2408" s="171"/>
      <c r="G2408" s="171">
        <v>2405</v>
      </c>
      <c r="H2408" s="186">
        <f t="shared" ca="1" si="78"/>
        <v>1.1521368697911672E-2</v>
      </c>
    </row>
    <row r="2409" spans="2:8">
      <c r="B2409" s="36">
        <v>45944</v>
      </c>
      <c r="C2409" s="185">
        <v>2319.1999999999998</v>
      </c>
      <c r="D2409" s="185">
        <f t="shared" si="77"/>
        <v>0.96367638965327451</v>
      </c>
      <c r="E2409" s="185">
        <v>-1.3484197541367251E-2</v>
      </c>
      <c r="F2409" s="171"/>
      <c r="G2409" s="171">
        <v>2406</v>
      </c>
      <c r="H2409" s="186">
        <f t="shared" ca="1" si="78"/>
        <v>1.3103215228770984E-2</v>
      </c>
    </row>
    <row r="2410" spans="2:8">
      <c r="B2410" s="36">
        <v>43049</v>
      </c>
      <c r="C2410" s="185">
        <v>1181.05</v>
      </c>
      <c r="D2410" s="185">
        <f t="shared" si="77"/>
        <v>-0.14245779633327285</v>
      </c>
      <c r="E2410" s="185">
        <v>-1.3489809555629879E-2</v>
      </c>
      <c r="F2410" s="171"/>
      <c r="G2410" s="171">
        <v>2407</v>
      </c>
      <c r="H2410" s="186">
        <f t="shared" ca="1" si="78"/>
        <v>2.3871574277786779E-3</v>
      </c>
    </row>
    <row r="2411" spans="2:8">
      <c r="B2411" s="36">
        <v>43342</v>
      </c>
      <c r="C2411" s="185">
        <v>1377.25</v>
      </c>
      <c r="D2411" s="185">
        <f t="shared" si="77"/>
        <v>-0.55423032107716208</v>
      </c>
      <c r="E2411" s="185">
        <v>-1.3501898144831968E-2</v>
      </c>
      <c r="F2411" s="171"/>
      <c r="G2411" s="171">
        <v>2408</v>
      </c>
      <c r="H2411" s="186">
        <f t="shared" ca="1" si="78"/>
        <v>-3.0953353280883354E-2</v>
      </c>
    </row>
    <row r="2412" spans="2:8">
      <c r="B2412" s="36">
        <v>44664</v>
      </c>
      <c r="C2412" s="185">
        <v>3089.6</v>
      </c>
      <c r="D2412" s="185">
        <f t="shared" si="77"/>
        <v>9.8797923038622837E-2</v>
      </c>
      <c r="E2412" s="185">
        <v>-1.3537675606641153E-2</v>
      </c>
      <c r="F2412" s="171"/>
      <c r="G2412" s="171">
        <v>2409</v>
      </c>
      <c r="H2412" s="186">
        <f t="shared" ca="1" si="78"/>
        <v>5.9841390632961178E-3</v>
      </c>
    </row>
    <row r="2413" spans="2:8">
      <c r="B2413" s="36">
        <v>46029</v>
      </c>
      <c r="C2413" s="185">
        <v>2811.8</v>
      </c>
      <c r="D2413" s="185">
        <f t="shared" si="77"/>
        <v>0.21428571428571441</v>
      </c>
      <c r="E2413" s="185">
        <v>-1.3576565514821897E-2</v>
      </c>
      <c r="F2413" s="171"/>
      <c r="G2413" s="171">
        <v>2410</v>
      </c>
      <c r="H2413" s="186">
        <f t="shared" ca="1" si="78"/>
        <v>9.5266922670884796E-3</v>
      </c>
    </row>
    <row r="2414" spans="2:8">
      <c r="B2414" s="36">
        <v>45667</v>
      </c>
      <c r="C2414" s="185">
        <v>2315.6</v>
      </c>
      <c r="D2414" s="185">
        <f t="shared" si="77"/>
        <v>0.44996869129618028</v>
      </c>
      <c r="E2414" s="185">
        <v>-1.3588924387646471E-2</v>
      </c>
      <c r="F2414" s="171"/>
      <c r="G2414" s="171">
        <v>2411</v>
      </c>
      <c r="H2414" s="186">
        <f t="shared" ca="1" si="78"/>
        <v>1.6001361059248459E-2</v>
      </c>
    </row>
    <row r="2415" spans="2:8">
      <c r="B2415" s="36">
        <v>43999</v>
      </c>
      <c r="C2415" s="185">
        <v>1597</v>
      </c>
      <c r="D2415" s="185">
        <f t="shared" si="77"/>
        <v>0.38172694237757404</v>
      </c>
      <c r="E2415" s="185">
        <v>-1.3680017293024174E-2</v>
      </c>
      <c r="F2415" s="171"/>
      <c r="G2415" s="171">
        <v>2412</v>
      </c>
      <c r="H2415" s="186">
        <f t="shared" ca="1" si="78"/>
        <v>-1.9355417306622193E-2</v>
      </c>
    </row>
    <row r="2416" spans="2:8">
      <c r="B2416" s="36">
        <v>43068</v>
      </c>
      <c r="C2416" s="185">
        <v>1155.8</v>
      </c>
      <c r="D2416" s="185">
        <f t="shared" si="77"/>
        <v>-4.7195086764766497E-2</v>
      </c>
      <c r="E2416" s="185">
        <v>-1.3780451384444807E-2</v>
      </c>
      <c r="F2416" s="171"/>
      <c r="G2416" s="171">
        <v>2413</v>
      </c>
      <c r="H2416" s="186">
        <f t="shared" ca="1" si="78"/>
        <v>2.0665809849810021E-2</v>
      </c>
    </row>
    <row r="2417" spans="2:8">
      <c r="B2417" s="36">
        <v>43378</v>
      </c>
      <c r="C2417" s="185">
        <v>1213.05</v>
      </c>
      <c r="D2417" s="185">
        <f t="shared" si="77"/>
        <v>-0.49306281081532871</v>
      </c>
      <c r="E2417" s="185">
        <v>-1.3780487804878085E-2</v>
      </c>
      <c r="F2417" s="171"/>
      <c r="G2417" s="171">
        <v>2414</v>
      </c>
      <c r="H2417" s="186">
        <f t="shared" ca="1" si="78"/>
        <v>-4.3616389655676019E-4</v>
      </c>
    </row>
    <row r="2418" spans="2:8">
      <c r="B2418" s="36">
        <v>45638</v>
      </c>
      <c r="C2418" s="185">
        <v>2392.9</v>
      </c>
      <c r="D2418" s="185">
        <f t="shared" si="77"/>
        <v>1.061778390487679</v>
      </c>
      <c r="E2418" s="185">
        <v>-1.3786139674820128E-2</v>
      </c>
      <c r="F2418" s="171"/>
      <c r="G2418" s="171">
        <v>2415</v>
      </c>
      <c r="H2418" s="186">
        <f t="shared" ca="1" si="78"/>
        <v>3.1214365250439016E-3</v>
      </c>
    </row>
    <row r="2419" spans="2:8">
      <c r="B2419" s="36">
        <v>42629</v>
      </c>
      <c r="C2419" s="185">
        <v>1160.5999999999999</v>
      </c>
      <c r="D2419" s="185">
        <f t="shared" si="77"/>
        <v>-0.52783710664958006</v>
      </c>
      <c r="E2419" s="185">
        <v>-1.3808046904873179E-2</v>
      </c>
      <c r="F2419" s="171"/>
      <c r="G2419" s="171">
        <v>2416</v>
      </c>
      <c r="H2419" s="186">
        <f t="shared" ca="1" si="78"/>
        <v>-2.063707809223625E-2</v>
      </c>
    </row>
    <row r="2420" spans="2:8">
      <c r="B2420" s="36">
        <v>45624</v>
      </c>
      <c r="C2420" s="185">
        <v>2458.0500000000002</v>
      </c>
      <c r="D2420" s="185">
        <f t="shared" si="77"/>
        <v>1.1594992312760819</v>
      </c>
      <c r="E2420" s="185">
        <v>-1.3900589721988061E-2</v>
      </c>
      <c r="F2420" s="171"/>
      <c r="G2420" s="171">
        <v>2417</v>
      </c>
      <c r="H2420" s="186">
        <f t="shared" ca="1" si="78"/>
        <v>-2.040812819941435E-3</v>
      </c>
    </row>
    <row r="2421" spans="2:8">
      <c r="B2421" s="36">
        <v>43133</v>
      </c>
      <c r="C2421" s="185">
        <v>1138.25</v>
      </c>
      <c r="D2421" s="185">
        <f t="shared" si="77"/>
        <v>-0.63449682101342242</v>
      </c>
      <c r="E2421" s="185">
        <v>-1.3904530884518717E-2</v>
      </c>
      <c r="F2421" s="171"/>
      <c r="G2421" s="171">
        <v>2418</v>
      </c>
      <c r="H2421" s="186">
        <f t="shared" ca="1" si="78"/>
        <v>1.9271943958137815E-2</v>
      </c>
    </row>
    <row r="2422" spans="2:8">
      <c r="B2422" s="36">
        <v>45215</v>
      </c>
      <c r="C2422" s="185">
        <v>3114.2</v>
      </c>
      <c r="D2422" s="185">
        <f t="shared" si="77"/>
        <v>1.7037680152804306</v>
      </c>
      <c r="E2422" s="185">
        <v>-1.3931986574631119E-2</v>
      </c>
      <c r="F2422" s="171"/>
      <c r="G2422" s="171">
        <v>2419</v>
      </c>
      <c r="H2422" s="186">
        <f t="shared" ca="1" si="78"/>
        <v>-1.1527119063264365E-2</v>
      </c>
    </row>
    <row r="2423" spans="2:8">
      <c r="B2423" s="36">
        <v>43124</v>
      </c>
      <c r="C2423" s="185">
        <v>1151.8</v>
      </c>
      <c r="D2423" s="185">
        <f t="shared" si="77"/>
        <v>0.3254315304948216</v>
      </c>
      <c r="E2423" s="185">
        <v>-1.3996490176775359E-2</v>
      </c>
      <c r="F2423" s="171"/>
      <c r="G2423" s="171">
        <v>2420</v>
      </c>
      <c r="H2423" s="186">
        <f t="shared" ca="1" si="78"/>
        <v>2.3221844972962064E-4</v>
      </c>
    </row>
    <row r="2424" spans="2:8">
      <c r="B2424" s="36">
        <v>42460</v>
      </c>
      <c r="C2424" s="185">
        <v>869</v>
      </c>
      <c r="D2424" s="185">
        <f t="shared" si="77"/>
        <v>-0.65465853319291833</v>
      </c>
      <c r="E2424" s="185">
        <v>-1.4012594315538687E-2</v>
      </c>
      <c r="F2424" s="171"/>
      <c r="G2424" s="171">
        <v>2421</v>
      </c>
      <c r="H2424" s="186">
        <f t="shared" ca="1" si="78"/>
        <v>2.5169455615988053E-2</v>
      </c>
    </row>
    <row r="2425" spans="2:8">
      <c r="B2425" s="36">
        <v>44308</v>
      </c>
      <c r="C2425" s="185">
        <v>2516.35</v>
      </c>
      <c r="D2425" s="185">
        <f t="shared" si="77"/>
        <v>0.82106672456216534</v>
      </c>
      <c r="E2425" s="185">
        <v>-1.4027388672295978E-2</v>
      </c>
      <c r="F2425" s="171"/>
      <c r="G2425" s="171">
        <v>2422</v>
      </c>
      <c r="H2425" s="186">
        <f t="shared" ca="1" si="78"/>
        <v>2.7761286355639892E-2</v>
      </c>
    </row>
    <row r="2426" spans="2:8">
      <c r="B2426" s="36">
        <v>43514</v>
      </c>
      <c r="C2426" s="185">
        <v>1381.8</v>
      </c>
      <c r="D2426" s="185">
        <f t="shared" si="77"/>
        <v>-0.49712497270543715</v>
      </c>
      <c r="E2426" s="185">
        <v>-1.4056368176953297E-2</v>
      </c>
      <c r="F2426" s="171"/>
      <c r="G2426" s="171">
        <v>2423</v>
      </c>
      <c r="H2426" s="186">
        <f t="shared" ca="1" si="78"/>
        <v>-2.2909434679616009E-2</v>
      </c>
    </row>
    <row r="2427" spans="2:8">
      <c r="B2427" s="36">
        <v>46017</v>
      </c>
      <c r="C2427" s="185">
        <v>2747.8</v>
      </c>
      <c r="D2427" s="185">
        <f t="shared" si="77"/>
        <v>2.162389227759236</v>
      </c>
      <c r="E2427" s="185">
        <v>-1.4100678124215036E-2</v>
      </c>
      <c r="F2427" s="171"/>
      <c r="G2427" s="171">
        <v>2424</v>
      </c>
      <c r="H2427" s="186">
        <f t="shared" ca="1" si="78"/>
        <v>-2.5175027128106563E-2</v>
      </c>
    </row>
    <row r="2428" spans="2:8">
      <c r="B2428" s="36">
        <v>42724</v>
      </c>
      <c r="C2428" s="185">
        <v>868.9</v>
      </c>
      <c r="D2428" s="185">
        <f t="shared" si="77"/>
        <v>-0.54778942985765966</v>
      </c>
      <c r="E2428" s="185">
        <v>-1.4126056617688823E-2</v>
      </c>
      <c r="F2428" s="171"/>
      <c r="G2428" s="171">
        <v>2425</v>
      </c>
      <c r="H2428" s="186">
        <f t="shared" ca="1" si="78"/>
        <v>1.5076510226427574E-2</v>
      </c>
    </row>
    <row r="2429" spans="2:8">
      <c r="B2429" s="36">
        <v>44098</v>
      </c>
      <c r="C2429" s="185">
        <v>1921.45</v>
      </c>
      <c r="D2429" s="185">
        <f t="shared" si="77"/>
        <v>-1.7688709388819258E-2</v>
      </c>
      <c r="E2429" s="185">
        <v>-1.4135454079014856E-2</v>
      </c>
      <c r="F2429" s="171"/>
      <c r="G2429" s="171">
        <v>2426</v>
      </c>
      <c r="H2429" s="186">
        <f t="shared" ca="1" si="78"/>
        <v>1.2202859168784752E-2</v>
      </c>
    </row>
    <row r="2430" spans="2:8">
      <c r="B2430" s="36">
        <v>44076</v>
      </c>
      <c r="C2430" s="185">
        <v>1956.05</v>
      </c>
      <c r="D2430" s="185">
        <f t="shared" si="77"/>
        <v>-0.43964764019193586</v>
      </c>
      <c r="E2430" s="185">
        <v>-1.413739226853483E-2</v>
      </c>
      <c r="F2430" s="171"/>
      <c r="G2430" s="171">
        <v>2427</v>
      </c>
      <c r="H2430" s="186">
        <f t="shared" ca="1" si="78"/>
        <v>1.9705079297400872E-2</v>
      </c>
    </row>
    <row r="2431" spans="2:8">
      <c r="B2431" s="36">
        <v>44792</v>
      </c>
      <c r="C2431" s="185">
        <v>3490.75</v>
      </c>
      <c r="D2431" s="185">
        <f t="shared" si="77"/>
        <v>1.6023184732369165</v>
      </c>
      <c r="E2431" s="185">
        <v>-1.4288336368898841E-2</v>
      </c>
      <c r="F2431" s="171"/>
      <c r="G2431" s="171">
        <v>2428</v>
      </c>
      <c r="H2431" s="186">
        <f t="shared" ca="1" si="78"/>
        <v>7.26127311038523E-3</v>
      </c>
    </row>
    <row r="2432" spans="2:8">
      <c r="B2432" s="36">
        <v>43654</v>
      </c>
      <c r="C2432" s="185">
        <v>1341.4</v>
      </c>
      <c r="D2432" s="185">
        <f t="shared" si="77"/>
        <v>-0.56062888961677038</v>
      </c>
      <c r="E2432" s="185">
        <v>-1.4292537752140073E-2</v>
      </c>
      <c r="F2432" s="171"/>
      <c r="G2432" s="171">
        <v>2429</v>
      </c>
      <c r="H2432" s="186">
        <f t="shared" ca="1" si="78"/>
        <v>-1.6709957757122869E-2</v>
      </c>
    </row>
    <row r="2433" spans="2:8">
      <c r="B2433" s="36">
        <v>44692</v>
      </c>
      <c r="C2433" s="185">
        <v>3053</v>
      </c>
      <c r="D2433" s="185">
        <f t="shared" si="77"/>
        <v>8.4373723561064914E-2</v>
      </c>
      <c r="E2433" s="185">
        <v>-1.4302779840506305E-2</v>
      </c>
      <c r="F2433" s="171"/>
      <c r="G2433" s="171">
        <v>2430</v>
      </c>
      <c r="H2433" s="186">
        <f t="shared" ca="1" si="78"/>
        <v>-9.4196408401181174E-3</v>
      </c>
    </row>
    <row r="2434" spans="2:8">
      <c r="B2434" s="36">
        <v>45035</v>
      </c>
      <c r="C2434" s="185">
        <v>2815.45</v>
      </c>
      <c r="D2434" s="185">
        <f t="shared" si="77"/>
        <v>-0.17828269561918114</v>
      </c>
      <c r="E2434" s="185">
        <v>-1.4336227419129068E-2</v>
      </c>
      <c r="F2434" s="171"/>
      <c r="G2434" s="171">
        <v>2431</v>
      </c>
      <c r="H2434" s="186">
        <f t="shared" ca="1" si="78"/>
        <v>-1.027569171348678E-2</v>
      </c>
    </row>
    <row r="2435" spans="2:8">
      <c r="B2435" s="36">
        <v>44783</v>
      </c>
      <c r="C2435" s="185">
        <v>3426.3</v>
      </c>
      <c r="D2435" s="185">
        <f t="shared" si="77"/>
        <v>0.4715887127947429</v>
      </c>
      <c r="E2435" s="185">
        <v>-1.4354755192451423E-2</v>
      </c>
      <c r="F2435" s="171"/>
      <c r="G2435" s="171">
        <v>2432</v>
      </c>
      <c r="H2435" s="186">
        <f t="shared" ca="1" si="78"/>
        <v>7.5797162031905813E-4</v>
      </c>
    </row>
    <row r="2436" spans="2:8">
      <c r="B2436" s="36">
        <v>45790</v>
      </c>
      <c r="C2436" s="185">
        <v>2328.3000000000002</v>
      </c>
      <c r="D2436" s="185">
        <f t="shared" ref="D2436:D2499" si="79">(C2436-C2437)/C2437</f>
        <v>1.0072416914522178</v>
      </c>
      <c r="E2436" s="185">
        <v>-1.4392752825636032E-2</v>
      </c>
      <c r="F2436" s="171"/>
      <c r="G2436" s="171">
        <v>2433</v>
      </c>
      <c r="H2436" s="186">
        <f t="shared" ca="1" si="78"/>
        <v>-1.291336274702949E-2</v>
      </c>
    </row>
    <row r="2437" spans="2:8">
      <c r="B2437" s="36">
        <v>42625</v>
      </c>
      <c r="C2437" s="185">
        <v>1159.95</v>
      </c>
      <c r="D2437" s="185">
        <f t="shared" si="79"/>
        <v>-0.5545849013132631</v>
      </c>
      <c r="E2437" s="185">
        <v>-1.4444114023535409E-2</v>
      </c>
      <c r="F2437" s="171"/>
      <c r="G2437" s="171">
        <v>2434</v>
      </c>
      <c r="H2437" s="186">
        <f t="shared" ref="H2437:H2500" ca="1" si="80">_xlfn.NORM.INV(RAND(),N$6,N$7)</f>
        <v>-1.3480463076445447E-2</v>
      </c>
    </row>
    <row r="2438" spans="2:8">
      <c r="B2438" s="36">
        <v>44298</v>
      </c>
      <c r="C2438" s="185">
        <v>2604.1999999999998</v>
      </c>
      <c r="D2438" s="185">
        <f t="shared" si="79"/>
        <v>0.96996860698210952</v>
      </c>
      <c r="E2438" s="185">
        <v>-1.4493850520340655E-2</v>
      </c>
      <c r="F2438" s="171"/>
      <c r="G2438" s="171">
        <v>2435</v>
      </c>
      <c r="H2438" s="186">
        <f t="shared" ca="1" si="80"/>
        <v>4.8576430231604883E-3</v>
      </c>
    </row>
    <row r="2439" spans="2:8">
      <c r="B2439" s="36">
        <v>43655</v>
      </c>
      <c r="C2439" s="185">
        <v>1321.95</v>
      </c>
      <c r="D2439" s="185">
        <f t="shared" si="79"/>
        <v>-0.39041316978695928</v>
      </c>
      <c r="E2439" s="185">
        <v>-1.4499776353063995E-2</v>
      </c>
      <c r="F2439" s="171"/>
      <c r="G2439" s="171">
        <v>2436</v>
      </c>
      <c r="H2439" s="186">
        <f t="shared" ca="1" si="80"/>
        <v>7.6148084177053684E-3</v>
      </c>
    </row>
    <row r="2440" spans="2:8">
      <c r="B2440" s="36">
        <v>44154</v>
      </c>
      <c r="C2440" s="185">
        <v>2168.6</v>
      </c>
      <c r="D2440" s="185">
        <f t="shared" si="79"/>
        <v>1.1889573029171292</v>
      </c>
      <c r="E2440" s="185">
        <v>-1.4519097498352807E-2</v>
      </c>
      <c r="F2440" s="171"/>
      <c r="G2440" s="171">
        <v>2437</v>
      </c>
      <c r="H2440" s="186">
        <f t="shared" ca="1" si="80"/>
        <v>2.3504542367015453E-2</v>
      </c>
    </row>
    <row r="2441" spans="2:8">
      <c r="B2441" s="36">
        <v>42556</v>
      </c>
      <c r="C2441" s="185">
        <v>990.7</v>
      </c>
      <c r="D2441" s="185">
        <f t="shared" si="79"/>
        <v>0.2283181451862874</v>
      </c>
      <c r="E2441" s="185">
        <v>-1.4523027951855078E-2</v>
      </c>
      <c r="F2441" s="171"/>
      <c r="G2441" s="171">
        <v>2438</v>
      </c>
      <c r="H2441" s="186">
        <f t="shared" ca="1" si="80"/>
        <v>6.9455813885937866E-3</v>
      </c>
    </row>
    <row r="2442" spans="2:8">
      <c r="B2442" s="36">
        <v>42312</v>
      </c>
      <c r="C2442" s="185">
        <v>806.55</v>
      </c>
      <c r="D2442" s="185">
        <f t="shared" si="79"/>
        <v>-0.27812583907634475</v>
      </c>
      <c r="E2442" s="185">
        <v>-1.4539678660883487E-2</v>
      </c>
      <c r="F2442" s="171"/>
      <c r="G2442" s="171">
        <v>2439</v>
      </c>
      <c r="H2442" s="186">
        <f t="shared" ca="1" si="80"/>
        <v>-1.7150130440884231E-3</v>
      </c>
    </row>
    <row r="2443" spans="2:8">
      <c r="B2443" s="36">
        <v>42599</v>
      </c>
      <c r="C2443" s="185">
        <v>1117.3</v>
      </c>
      <c r="D2443" s="185">
        <f t="shared" si="79"/>
        <v>-0.63445714940046793</v>
      </c>
      <c r="E2443" s="185">
        <v>-1.455283118715823E-2</v>
      </c>
      <c r="F2443" s="171"/>
      <c r="G2443" s="171">
        <v>2440</v>
      </c>
      <c r="H2443" s="186">
        <f t="shared" ca="1" si="80"/>
        <v>-6.7623737846109399E-3</v>
      </c>
    </row>
    <row r="2444" spans="2:8">
      <c r="B2444" s="36">
        <v>44928</v>
      </c>
      <c r="C2444" s="185">
        <v>3056.55</v>
      </c>
      <c r="D2444" s="185">
        <f t="shared" si="79"/>
        <v>-6.0808064385008756E-3</v>
      </c>
      <c r="E2444" s="185">
        <v>-1.4683601431288395E-2</v>
      </c>
      <c r="F2444" s="171"/>
      <c r="G2444" s="171">
        <v>2441</v>
      </c>
      <c r="H2444" s="186">
        <f t="shared" ca="1" si="80"/>
        <v>9.3200444326729161E-3</v>
      </c>
    </row>
    <row r="2445" spans="2:8">
      <c r="B2445" s="36">
        <v>44511</v>
      </c>
      <c r="C2445" s="185">
        <v>3075.25</v>
      </c>
      <c r="D2445" s="185">
        <f t="shared" si="79"/>
        <v>0.27439807716215658</v>
      </c>
      <c r="E2445" s="185">
        <v>-1.4721901832628418E-2</v>
      </c>
      <c r="F2445" s="171"/>
      <c r="G2445" s="171">
        <v>2442</v>
      </c>
      <c r="H2445" s="186">
        <f t="shared" ca="1" si="80"/>
        <v>1.4573209247980405E-3</v>
      </c>
    </row>
    <row r="2446" spans="2:8">
      <c r="B2446" s="36">
        <v>45783</v>
      </c>
      <c r="C2446" s="185">
        <v>2413.1</v>
      </c>
      <c r="D2446" s="185">
        <f t="shared" si="79"/>
        <v>-9.8580500560328757E-2</v>
      </c>
      <c r="E2446" s="185">
        <v>-1.4739506777723302E-2</v>
      </c>
      <c r="F2446" s="171"/>
      <c r="G2446" s="171">
        <v>2443</v>
      </c>
      <c r="H2446" s="186">
        <f t="shared" ca="1" si="80"/>
        <v>2.0871731257805611E-2</v>
      </c>
    </row>
    <row r="2447" spans="2:8">
      <c r="B2447" s="36">
        <v>44210</v>
      </c>
      <c r="C2447" s="185">
        <v>2677</v>
      </c>
      <c r="D2447" s="185">
        <f t="shared" si="79"/>
        <v>0.65881769736026774</v>
      </c>
      <c r="E2447" s="185">
        <v>-1.4812770264053731E-2</v>
      </c>
      <c r="F2447" s="171"/>
      <c r="G2447" s="171">
        <v>2444</v>
      </c>
      <c r="H2447" s="186">
        <f t="shared" ca="1" si="80"/>
        <v>1.9915825468326813E-2</v>
      </c>
    </row>
    <row r="2448" spans="2:8">
      <c r="B2448" s="36">
        <v>43929</v>
      </c>
      <c r="C2448" s="185">
        <v>1613.8</v>
      </c>
      <c r="D2448" s="185">
        <f t="shared" si="79"/>
        <v>0.84486996284652749</v>
      </c>
      <c r="E2448" s="185">
        <v>-1.4864328663431393E-2</v>
      </c>
      <c r="F2448" s="171"/>
      <c r="G2448" s="171">
        <v>2445</v>
      </c>
      <c r="H2448" s="186">
        <f t="shared" ca="1" si="80"/>
        <v>3.1847386644621562E-3</v>
      </c>
    </row>
    <row r="2449" spans="2:8">
      <c r="B2449" s="36">
        <v>42228</v>
      </c>
      <c r="C2449" s="185">
        <v>874.75</v>
      </c>
      <c r="D2449" s="185">
        <f t="shared" si="79"/>
        <v>-0.30387553716377519</v>
      </c>
      <c r="E2449" s="185">
        <v>-1.4865701897629421E-2</v>
      </c>
      <c r="F2449" s="171"/>
      <c r="G2449" s="171">
        <v>2446</v>
      </c>
      <c r="H2449" s="186">
        <f t="shared" ca="1" si="80"/>
        <v>-2.7644529298021573E-3</v>
      </c>
    </row>
    <row r="2450" spans="2:8">
      <c r="B2450" s="36">
        <v>43272</v>
      </c>
      <c r="C2450" s="185">
        <v>1256.5999999999999</v>
      </c>
      <c r="D2450" s="185">
        <f t="shared" si="79"/>
        <v>0.71479257641921401</v>
      </c>
      <c r="E2450" s="185">
        <v>-1.4933563281464493E-2</v>
      </c>
      <c r="F2450" s="171"/>
      <c r="G2450" s="171">
        <v>2447</v>
      </c>
      <c r="H2450" s="186">
        <f t="shared" ca="1" si="80"/>
        <v>8.2823057556288219E-3</v>
      </c>
    </row>
    <row r="2451" spans="2:8">
      <c r="B2451" s="36">
        <v>42164</v>
      </c>
      <c r="C2451" s="185">
        <v>732.8</v>
      </c>
      <c r="D2451" s="185">
        <f t="shared" si="79"/>
        <v>-0.34801370167712092</v>
      </c>
      <c r="E2451" s="185">
        <v>-1.5053763440860277E-2</v>
      </c>
      <c r="F2451" s="171"/>
      <c r="G2451" s="171">
        <v>2448</v>
      </c>
      <c r="H2451" s="186">
        <f t="shared" ca="1" si="80"/>
        <v>2.8427232363116327E-3</v>
      </c>
    </row>
    <row r="2452" spans="2:8">
      <c r="B2452" s="36">
        <v>42669</v>
      </c>
      <c r="C2452" s="185">
        <v>1123.95</v>
      </c>
      <c r="D2452" s="185">
        <f t="shared" si="79"/>
        <v>-0.53127736769673461</v>
      </c>
      <c r="E2452" s="185">
        <v>-1.507251456863694E-2</v>
      </c>
      <c r="F2452" s="171"/>
      <c r="G2452" s="171">
        <v>2449</v>
      </c>
      <c r="H2452" s="186">
        <f t="shared" ca="1" si="80"/>
        <v>2.0669494981240839E-2</v>
      </c>
    </row>
    <row r="2453" spans="2:8">
      <c r="B2453" s="36">
        <v>46072</v>
      </c>
      <c r="C2453" s="185">
        <v>2397.9</v>
      </c>
      <c r="D2453" s="185">
        <f t="shared" si="79"/>
        <v>-0.2908663443197444</v>
      </c>
      <c r="E2453" s="185">
        <v>-1.5074344861578831E-2</v>
      </c>
      <c r="F2453" s="171"/>
      <c r="G2453" s="171">
        <v>2450</v>
      </c>
      <c r="H2453" s="186">
        <f t="shared" ca="1" si="80"/>
        <v>-4.1645735114226702E-3</v>
      </c>
    </row>
    <row r="2454" spans="2:8">
      <c r="B2454" s="36">
        <v>44467</v>
      </c>
      <c r="C2454" s="185">
        <v>3381.45</v>
      </c>
      <c r="D2454" s="185">
        <f t="shared" si="79"/>
        <v>0.1533699433794937</v>
      </c>
      <c r="E2454" s="185">
        <v>-1.5102088369790103E-2</v>
      </c>
      <c r="F2454" s="171"/>
      <c r="G2454" s="171">
        <v>2451</v>
      </c>
      <c r="H2454" s="186">
        <f t="shared" ca="1" si="80"/>
        <v>2.0781660474821148E-2</v>
      </c>
    </row>
    <row r="2455" spans="2:8">
      <c r="B2455" s="36">
        <v>45999</v>
      </c>
      <c r="C2455" s="185">
        <v>2931.8</v>
      </c>
      <c r="D2455" s="185">
        <f t="shared" si="79"/>
        <v>-8.4742058846483989E-2</v>
      </c>
      <c r="E2455" s="185">
        <v>-1.511690405804891E-2</v>
      </c>
      <c r="F2455" s="171"/>
      <c r="G2455" s="171">
        <v>2452</v>
      </c>
      <c r="H2455" s="186">
        <f t="shared" ca="1" si="80"/>
        <v>1.002227423714043E-2</v>
      </c>
    </row>
    <row r="2456" spans="2:8">
      <c r="B2456" s="36">
        <v>45149</v>
      </c>
      <c r="C2456" s="185">
        <v>3203.25</v>
      </c>
      <c r="D2456" s="185">
        <f t="shared" si="79"/>
        <v>0.80846859562455897</v>
      </c>
      <c r="E2456" s="185">
        <v>-1.5172477402693202E-2</v>
      </c>
      <c r="F2456" s="171"/>
      <c r="G2456" s="171">
        <v>2453</v>
      </c>
      <c r="H2456" s="186">
        <f t="shared" ca="1" si="80"/>
        <v>1.3549505798486679E-2</v>
      </c>
    </row>
    <row r="2457" spans="2:8">
      <c r="B2457" s="36">
        <v>43732</v>
      </c>
      <c r="C2457" s="185">
        <v>1771.25</v>
      </c>
      <c r="D2457" s="185">
        <f t="shared" si="79"/>
        <v>0.28026743765811346</v>
      </c>
      <c r="E2457" s="185">
        <v>-1.5206271544534588E-2</v>
      </c>
      <c r="F2457" s="171"/>
      <c r="G2457" s="171">
        <v>2454</v>
      </c>
      <c r="H2457" s="186">
        <f t="shared" ca="1" si="80"/>
        <v>-2.4485086554163253E-2</v>
      </c>
    </row>
    <row r="2458" spans="2:8">
      <c r="B2458" s="36">
        <v>43634</v>
      </c>
      <c r="C2458" s="185">
        <v>1383.5</v>
      </c>
      <c r="D2458" s="185">
        <f t="shared" si="79"/>
        <v>0.70760306097259928</v>
      </c>
      <c r="E2458" s="185">
        <v>-1.5232400882625162E-2</v>
      </c>
      <c r="F2458" s="171"/>
      <c r="G2458" s="171">
        <v>2455</v>
      </c>
      <c r="H2458" s="186">
        <f t="shared" ca="1" si="80"/>
        <v>-2.6827541367553762E-2</v>
      </c>
    </row>
    <row r="2459" spans="2:8">
      <c r="B2459" s="36">
        <v>42257</v>
      </c>
      <c r="C2459" s="185">
        <v>810.2</v>
      </c>
      <c r="D2459" s="185">
        <f t="shared" si="79"/>
        <v>-0.30212326112235666</v>
      </c>
      <c r="E2459" s="185">
        <v>-1.5253722272865335E-2</v>
      </c>
      <c r="F2459" s="171"/>
      <c r="G2459" s="171">
        <v>2456</v>
      </c>
      <c r="H2459" s="186">
        <f t="shared" ca="1" si="80"/>
        <v>1.2206072009266168E-2</v>
      </c>
    </row>
    <row r="2460" spans="2:8">
      <c r="B2460" s="36">
        <v>43053</v>
      </c>
      <c r="C2460" s="185">
        <v>1160.95</v>
      </c>
      <c r="D2460" s="185">
        <f t="shared" si="79"/>
        <v>-3.1250000000000035E-2</v>
      </c>
      <c r="E2460" s="185">
        <v>-1.5267823062894948E-2</v>
      </c>
      <c r="F2460" s="171"/>
      <c r="G2460" s="171">
        <v>2457</v>
      </c>
      <c r="H2460" s="186">
        <f t="shared" ca="1" si="80"/>
        <v>-5.6980826403492304E-3</v>
      </c>
    </row>
    <row r="2461" spans="2:8">
      <c r="B2461" s="36">
        <v>43003</v>
      </c>
      <c r="C2461" s="185">
        <v>1198.4000000000001</v>
      </c>
      <c r="D2461" s="185">
        <f t="shared" si="79"/>
        <v>-6.5319970362282098E-2</v>
      </c>
      <c r="E2461" s="185">
        <v>-1.5283483976992531E-2</v>
      </c>
      <c r="F2461" s="171"/>
      <c r="G2461" s="171">
        <v>2458</v>
      </c>
      <c r="H2461" s="186">
        <f t="shared" ca="1" si="80"/>
        <v>3.6228417944710887E-3</v>
      </c>
    </row>
    <row r="2462" spans="2:8">
      <c r="B2462" s="36">
        <v>43416</v>
      </c>
      <c r="C2462" s="185">
        <v>1282.1500000000001</v>
      </c>
      <c r="D2462" s="185">
        <f t="shared" si="79"/>
        <v>0.47704625309602</v>
      </c>
      <c r="E2462" s="185">
        <v>-1.5359213608263256E-2</v>
      </c>
      <c r="F2462" s="171"/>
      <c r="G2462" s="171">
        <v>2459</v>
      </c>
      <c r="H2462" s="186">
        <f t="shared" ca="1" si="80"/>
        <v>7.9684217279878695E-3</v>
      </c>
    </row>
    <row r="2463" spans="2:8">
      <c r="B2463" s="36">
        <v>42433</v>
      </c>
      <c r="C2463" s="185">
        <v>868.05</v>
      </c>
      <c r="D2463" s="185">
        <f t="shared" si="79"/>
        <v>-0.73268973162732698</v>
      </c>
      <c r="E2463" s="185">
        <v>-1.5369782214156157E-2</v>
      </c>
      <c r="F2463" s="171"/>
      <c r="G2463" s="171">
        <v>2460</v>
      </c>
      <c r="H2463" s="186">
        <f t="shared" ca="1" si="80"/>
        <v>1.3548268106891758E-2</v>
      </c>
    </row>
    <row r="2464" spans="2:8">
      <c r="B2464" s="36">
        <v>45308</v>
      </c>
      <c r="C2464" s="185">
        <v>3247.35</v>
      </c>
      <c r="D2464" s="185">
        <f t="shared" si="79"/>
        <v>1.8252566556464238</v>
      </c>
      <c r="E2464" s="185">
        <v>-1.5372720243780497E-2</v>
      </c>
      <c r="F2464" s="171"/>
      <c r="G2464" s="171">
        <v>2461</v>
      </c>
      <c r="H2464" s="186">
        <f t="shared" ca="1" si="80"/>
        <v>1.189860952537105E-2</v>
      </c>
    </row>
    <row r="2465" spans="2:8">
      <c r="B2465" s="36">
        <v>43046</v>
      </c>
      <c r="C2465" s="185">
        <v>1149.4000000000001</v>
      </c>
      <c r="D2465" s="185">
        <f t="shared" si="79"/>
        <v>-0.49092036495703784</v>
      </c>
      <c r="E2465" s="185">
        <v>-1.537670792821332E-2</v>
      </c>
      <c r="F2465" s="171"/>
      <c r="G2465" s="171">
        <v>2462</v>
      </c>
      <c r="H2465" s="186">
        <f t="shared" ca="1" si="80"/>
        <v>4.6028654365768329E-4</v>
      </c>
    </row>
    <row r="2466" spans="2:8">
      <c r="B2466" s="36">
        <v>45728</v>
      </c>
      <c r="C2466" s="185">
        <v>2257.8000000000002</v>
      </c>
      <c r="D2466" s="185">
        <f t="shared" si="79"/>
        <v>1.1215936853974817</v>
      </c>
      <c r="E2466" s="185">
        <v>-1.5394008111290275E-2</v>
      </c>
      <c r="F2466" s="171"/>
      <c r="G2466" s="171">
        <v>2463</v>
      </c>
      <c r="H2466" s="186">
        <f t="shared" ca="1" si="80"/>
        <v>-3.829053600414821E-3</v>
      </c>
    </row>
    <row r="2467" spans="2:8">
      <c r="B2467" s="36">
        <v>42842</v>
      </c>
      <c r="C2467" s="185">
        <v>1064.2</v>
      </c>
      <c r="D2467" s="185">
        <f t="shared" si="79"/>
        <v>0.17792904975372184</v>
      </c>
      <c r="E2467" s="185">
        <v>-1.5495628844997455E-2</v>
      </c>
      <c r="F2467" s="171"/>
      <c r="G2467" s="171">
        <v>2464</v>
      </c>
      <c r="H2467" s="186">
        <f t="shared" ca="1" si="80"/>
        <v>-9.2427599356521561E-3</v>
      </c>
    </row>
    <row r="2468" spans="2:8">
      <c r="B2468" s="36">
        <v>42223</v>
      </c>
      <c r="C2468" s="185">
        <v>903.45</v>
      </c>
      <c r="D2468" s="185">
        <f t="shared" si="79"/>
        <v>-0.66751311068175545</v>
      </c>
      <c r="E2468" s="185">
        <v>-1.5527950310559006E-2</v>
      </c>
      <c r="F2468" s="171"/>
      <c r="G2468" s="171">
        <v>2465</v>
      </c>
      <c r="H2468" s="186">
        <f t="shared" ca="1" si="80"/>
        <v>1.2581053569081103E-2</v>
      </c>
    </row>
    <row r="2469" spans="2:8">
      <c r="B2469" s="36">
        <v>44209</v>
      </c>
      <c r="C2469" s="185">
        <v>2717.25</v>
      </c>
      <c r="D2469" s="185">
        <f t="shared" si="79"/>
        <v>0.12005358615004122</v>
      </c>
      <c r="E2469" s="185">
        <v>-1.5560466632852626E-2</v>
      </c>
      <c r="F2469" s="171"/>
      <c r="G2469" s="171">
        <v>2466</v>
      </c>
      <c r="H2469" s="186">
        <f t="shared" ca="1" si="80"/>
        <v>1.7413200886261571E-2</v>
      </c>
    </row>
    <row r="2470" spans="2:8">
      <c r="B2470" s="36">
        <v>45772</v>
      </c>
      <c r="C2470" s="185">
        <v>2426</v>
      </c>
      <c r="D2470" s="185">
        <f t="shared" si="79"/>
        <v>-0.15097641212290897</v>
      </c>
      <c r="E2470" s="185">
        <v>-1.5581886057458241E-2</v>
      </c>
      <c r="F2470" s="171"/>
      <c r="G2470" s="171">
        <v>2467</v>
      </c>
      <c r="H2470" s="186">
        <f t="shared" ca="1" si="80"/>
        <v>-5.2348732336321051E-3</v>
      </c>
    </row>
    <row r="2471" spans="2:8">
      <c r="B2471" s="36">
        <v>45394</v>
      </c>
      <c r="C2471" s="185">
        <v>2857.4</v>
      </c>
      <c r="D2471" s="185">
        <f t="shared" si="79"/>
        <v>0.6016367254280991</v>
      </c>
      <c r="E2471" s="185">
        <v>-1.5589202969700101E-2</v>
      </c>
      <c r="F2471" s="171"/>
      <c r="G2471" s="171">
        <v>2468</v>
      </c>
      <c r="H2471" s="186">
        <f t="shared" ca="1" si="80"/>
        <v>-2.510804726948744E-3</v>
      </c>
    </row>
    <row r="2472" spans="2:8">
      <c r="B2472" s="36">
        <v>43852</v>
      </c>
      <c r="C2472" s="185">
        <v>1784.05</v>
      </c>
      <c r="D2472" s="185">
        <f t="shared" si="79"/>
        <v>1.0930955593359535</v>
      </c>
      <c r="E2472" s="185">
        <v>-1.5642242330611417E-2</v>
      </c>
      <c r="F2472" s="171"/>
      <c r="G2472" s="171">
        <v>2469</v>
      </c>
      <c r="H2472" s="186">
        <f t="shared" ca="1" si="80"/>
        <v>-3.6393615969592889E-2</v>
      </c>
    </row>
    <row r="2473" spans="2:8">
      <c r="B2473" s="36">
        <v>42429</v>
      </c>
      <c r="C2473" s="185">
        <v>852.35</v>
      </c>
      <c r="D2473" s="185">
        <f t="shared" si="79"/>
        <v>-0.41072971758443083</v>
      </c>
      <c r="E2473" s="185">
        <v>-1.5648458251530148E-2</v>
      </c>
      <c r="F2473" s="171"/>
      <c r="G2473" s="171">
        <v>2470</v>
      </c>
      <c r="H2473" s="186">
        <f t="shared" ca="1" si="80"/>
        <v>1.7000050711490817E-2</v>
      </c>
    </row>
    <row r="2474" spans="2:8">
      <c r="B2474" s="36">
        <v>43577</v>
      </c>
      <c r="C2474" s="185">
        <v>1446.45</v>
      </c>
      <c r="D2474" s="185">
        <f t="shared" si="79"/>
        <v>-0.52459285796453636</v>
      </c>
      <c r="E2474" s="185">
        <v>-1.585303623065144E-2</v>
      </c>
      <c r="F2474" s="171"/>
      <c r="G2474" s="171">
        <v>2471</v>
      </c>
      <c r="H2474" s="186">
        <f t="shared" ca="1" si="80"/>
        <v>1.0065061611552113E-2</v>
      </c>
    </row>
    <row r="2475" spans="2:8">
      <c r="B2475" s="36">
        <v>44700</v>
      </c>
      <c r="C2475" s="185">
        <v>3042.55</v>
      </c>
      <c r="D2475" s="185">
        <f t="shared" si="79"/>
        <v>0.4619912546249581</v>
      </c>
      <c r="E2475" s="185">
        <v>-1.5897402723420655E-2</v>
      </c>
      <c r="F2475" s="171"/>
      <c r="G2475" s="171">
        <v>2472</v>
      </c>
      <c r="H2475" s="186">
        <f t="shared" ca="1" si="80"/>
        <v>-1.7160500001103217E-2</v>
      </c>
    </row>
    <row r="2476" spans="2:8">
      <c r="B2476" s="36">
        <v>44130</v>
      </c>
      <c r="C2476" s="185">
        <v>2081.1</v>
      </c>
      <c r="D2476" s="185">
        <f t="shared" si="79"/>
        <v>-0.32709283150645069</v>
      </c>
      <c r="E2476" s="185">
        <v>-1.5935313031965326E-2</v>
      </c>
      <c r="F2476" s="171"/>
      <c r="G2476" s="171">
        <v>2473</v>
      </c>
      <c r="H2476" s="186">
        <f t="shared" ca="1" si="80"/>
        <v>9.1298164074405993E-3</v>
      </c>
    </row>
    <row r="2477" spans="2:8">
      <c r="B2477" s="36">
        <v>44855</v>
      </c>
      <c r="C2477" s="185">
        <v>3092.7</v>
      </c>
      <c r="D2477" s="185">
        <f t="shared" si="79"/>
        <v>3.1568548387096773</v>
      </c>
      <c r="E2477" s="185">
        <v>-1.598816398606405E-2</v>
      </c>
      <c r="F2477" s="171"/>
      <c r="G2477" s="171">
        <v>2474</v>
      </c>
      <c r="H2477" s="186">
        <f t="shared" ca="1" si="80"/>
        <v>3.7607461796015623E-2</v>
      </c>
    </row>
    <row r="2478" spans="2:8">
      <c r="B2478" s="36">
        <v>42163</v>
      </c>
      <c r="C2478" s="185">
        <v>744</v>
      </c>
      <c r="D2478" s="185">
        <f t="shared" si="79"/>
        <v>-0.53870477725764943</v>
      </c>
      <c r="E2478" s="185">
        <v>-1.6003174183309116E-2</v>
      </c>
      <c r="F2478" s="171"/>
      <c r="G2478" s="171">
        <v>2475</v>
      </c>
      <c r="H2478" s="186">
        <f t="shared" ca="1" si="80"/>
        <v>-7.4049702084619277E-3</v>
      </c>
    </row>
    <row r="2479" spans="2:8">
      <c r="B2479" s="36">
        <v>43993</v>
      </c>
      <c r="C2479" s="185">
        <v>1612.85</v>
      </c>
      <c r="D2479" s="185">
        <f t="shared" si="79"/>
        <v>0.97061518724418083</v>
      </c>
      <c r="E2479" s="185">
        <v>-1.6074914592484221E-2</v>
      </c>
      <c r="F2479" s="171"/>
      <c r="G2479" s="171">
        <v>2476</v>
      </c>
      <c r="H2479" s="186">
        <f t="shared" ca="1" si="80"/>
        <v>-1.9442160589670215E-2</v>
      </c>
    </row>
    <row r="2480" spans="2:8">
      <c r="B2480" s="36">
        <v>42311</v>
      </c>
      <c r="C2480" s="185">
        <v>818.45</v>
      </c>
      <c r="D2480" s="185">
        <f t="shared" si="79"/>
        <v>-0.43481113182791237</v>
      </c>
      <c r="E2480" s="185">
        <v>-1.6108673438720897E-2</v>
      </c>
      <c r="F2480" s="171"/>
      <c r="G2480" s="171">
        <v>2477</v>
      </c>
      <c r="H2480" s="186">
        <f t="shared" ca="1" si="80"/>
        <v>4.6455936213861786E-3</v>
      </c>
    </row>
    <row r="2481" spans="2:8">
      <c r="B2481" s="36">
        <v>43587</v>
      </c>
      <c r="C2481" s="185">
        <v>1448.1</v>
      </c>
      <c r="D2481" s="185">
        <f t="shared" si="79"/>
        <v>-0.18782950084127881</v>
      </c>
      <c r="E2481" s="185">
        <v>-1.6136155178856543E-2</v>
      </c>
      <c r="F2481" s="171"/>
      <c r="G2481" s="171">
        <v>2478</v>
      </c>
      <c r="H2481" s="186">
        <f t="shared" ca="1" si="80"/>
        <v>2.903611013776683E-2</v>
      </c>
    </row>
    <row r="2482" spans="2:8">
      <c r="B2482" s="36">
        <v>43760</v>
      </c>
      <c r="C2482" s="185">
        <v>1783</v>
      </c>
      <c r="D2482" s="185">
        <f t="shared" si="79"/>
        <v>0.56088593189179736</v>
      </c>
      <c r="E2482" s="185">
        <v>-1.6140157263070769E-2</v>
      </c>
      <c r="F2482" s="171"/>
      <c r="G2482" s="171">
        <v>2479</v>
      </c>
      <c r="H2482" s="186">
        <f t="shared" ca="1" si="80"/>
        <v>1.5362714162092164E-2</v>
      </c>
    </row>
    <row r="2483" spans="2:8">
      <c r="B2483" s="36">
        <v>42894</v>
      </c>
      <c r="C2483" s="185">
        <v>1142.3</v>
      </c>
      <c r="D2483" s="185">
        <f t="shared" si="79"/>
        <v>-0.62466937192988214</v>
      </c>
      <c r="E2483" s="185">
        <v>-1.6149175315447226E-2</v>
      </c>
      <c r="F2483" s="171"/>
      <c r="G2483" s="171">
        <v>2480</v>
      </c>
      <c r="H2483" s="186">
        <f t="shared" ca="1" si="80"/>
        <v>-2.5293029355430301E-2</v>
      </c>
    </row>
    <row r="2484" spans="2:8">
      <c r="B2484" s="36">
        <v>44861</v>
      </c>
      <c r="C2484" s="185">
        <v>3043.45</v>
      </c>
      <c r="D2484" s="185">
        <f t="shared" si="79"/>
        <v>-4.6538220551378504E-2</v>
      </c>
      <c r="E2484" s="185">
        <v>-1.6179085178600349E-2</v>
      </c>
      <c r="F2484" s="171"/>
      <c r="G2484" s="171">
        <v>2481</v>
      </c>
      <c r="H2484" s="186">
        <f t="shared" ca="1" si="80"/>
        <v>3.7964774829318307E-3</v>
      </c>
    </row>
    <row r="2485" spans="2:8">
      <c r="B2485" s="36">
        <v>44470</v>
      </c>
      <c r="C2485" s="185">
        <v>3192</v>
      </c>
      <c r="D2485" s="185">
        <f t="shared" si="79"/>
        <v>1.2532898859509055E-4</v>
      </c>
      <c r="E2485" s="185">
        <v>-1.6226711663815847E-2</v>
      </c>
      <c r="F2485" s="171"/>
      <c r="G2485" s="171">
        <v>2482</v>
      </c>
      <c r="H2485" s="186">
        <f t="shared" ca="1" si="80"/>
        <v>3.8070919526269655E-2</v>
      </c>
    </row>
    <row r="2486" spans="2:8">
      <c r="B2486" s="36">
        <v>44488</v>
      </c>
      <c r="C2486" s="185">
        <v>3191.6</v>
      </c>
      <c r="D2486" s="185">
        <f t="shared" si="79"/>
        <v>2.582243672484426</v>
      </c>
      <c r="E2486" s="185">
        <v>-1.6259034937660857E-2</v>
      </c>
      <c r="F2486" s="171"/>
      <c r="G2486" s="171">
        <v>2483</v>
      </c>
      <c r="H2486" s="186">
        <f t="shared" ca="1" si="80"/>
        <v>1.734946988595621E-2</v>
      </c>
    </row>
    <row r="2487" spans="2:8">
      <c r="B2487" s="36">
        <v>42375</v>
      </c>
      <c r="C2487" s="185">
        <v>890.95</v>
      </c>
      <c r="D2487" s="185">
        <f t="shared" si="79"/>
        <v>3.5266093423193146E-2</v>
      </c>
      <c r="E2487" s="185">
        <v>-1.6340049682583443E-2</v>
      </c>
      <c r="F2487" s="171"/>
      <c r="G2487" s="171">
        <v>2484</v>
      </c>
      <c r="H2487" s="186">
        <f t="shared" ca="1" si="80"/>
        <v>4.7484111748179535E-2</v>
      </c>
    </row>
    <row r="2488" spans="2:8">
      <c r="B2488" s="36">
        <v>42450</v>
      </c>
      <c r="C2488" s="185">
        <v>860.6</v>
      </c>
      <c r="D2488" s="185">
        <f t="shared" si="79"/>
        <v>-0.49370514178138603</v>
      </c>
      <c r="E2488" s="185">
        <v>-1.645714285714283E-2</v>
      </c>
      <c r="F2488" s="171"/>
      <c r="G2488" s="171">
        <v>2485</v>
      </c>
      <c r="H2488" s="186">
        <f t="shared" ca="1" si="80"/>
        <v>5.036594354668333E-3</v>
      </c>
    </row>
    <row r="2489" spans="2:8">
      <c r="B2489" s="36">
        <v>44034</v>
      </c>
      <c r="C2489" s="185">
        <v>1699.8</v>
      </c>
      <c r="D2489" s="185">
        <f t="shared" si="79"/>
        <v>0.16772575825232702</v>
      </c>
      <c r="E2489" s="185">
        <v>-1.6490192674882834E-2</v>
      </c>
      <c r="F2489" s="171"/>
      <c r="G2489" s="171">
        <v>2486</v>
      </c>
      <c r="H2489" s="186">
        <f t="shared" ca="1" si="80"/>
        <v>2.4188362357844662E-2</v>
      </c>
    </row>
    <row r="2490" spans="2:8">
      <c r="B2490" s="36">
        <v>43504</v>
      </c>
      <c r="C2490" s="185">
        <v>1455.65</v>
      </c>
      <c r="D2490" s="185">
        <f t="shared" si="79"/>
        <v>-0.39403463491799173</v>
      </c>
      <c r="E2490" s="185">
        <v>-1.6519154111208582E-2</v>
      </c>
      <c r="F2490" s="171"/>
      <c r="G2490" s="171">
        <v>2487</v>
      </c>
      <c r="H2490" s="186">
        <f t="shared" ca="1" si="80"/>
        <v>-2.3005790097845615E-2</v>
      </c>
    </row>
    <row r="2491" spans="2:8">
      <c r="B2491" s="36">
        <v>44280</v>
      </c>
      <c r="C2491" s="185">
        <v>2402.1999999999998</v>
      </c>
      <c r="D2491" s="185">
        <f t="shared" si="79"/>
        <v>1.5128465179175002E-2</v>
      </c>
      <c r="E2491" s="185">
        <v>-1.6519620888006535E-2</v>
      </c>
      <c r="F2491" s="171"/>
      <c r="G2491" s="171">
        <v>2488</v>
      </c>
      <c r="H2491" s="186">
        <f t="shared" ca="1" si="80"/>
        <v>3.9714778198192864E-3</v>
      </c>
    </row>
    <row r="2492" spans="2:8">
      <c r="B2492" s="36">
        <v>44270</v>
      </c>
      <c r="C2492" s="185">
        <v>2366.4</v>
      </c>
      <c r="D2492" s="185">
        <f t="shared" si="79"/>
        <v>1.0800773524370413</v>
      </c>
      <c r="E2492" s="185">
        <v>-1.6520167071878311E-2</v>
      </c>
      <c r="F2492" s="171"/>
      <c r="G2492" s="171">
        <v>2489</v>
      </c>
      <c r="H2492" s="186">
        <f t="shared" ca="1" si="80"/>
        <v>7.7877062820728487E-3</v>
      </c>
    </row>
    <row r="2493" spans="2:8">
      <c r="B2493" s="36">
        <v>43194</v>
      </c>
      <c r="C2493" s="185">
        <v>1137.6500000000001</v>
      </c>
      <c r="D2493" s="185">
        <f t="shared" si="79"/>
        <v>-0.52618646009037717</v>
      </c>
      <c r="E2493" s="185">
        <v>-1.6554287690179689E-2</v>
      </c>
      <c r="F2493" s="171"/>
      <c r="G2493" s="171">
        <v>2490</v>
      </c>
      <c r="H2493" s="186">
        <f t="shared" ca="1" si="80"/>
        <v>1.2750758274091775E-2</v>
      </c>
    </row>
    <row r="2494" spans="2:8">
      <c r="B2494" s="36">
        <v>45635</v>
      </c>
      <c r="C2494" s="185">
        <v>2401.0500000000002</v>
      </c>
      <c r="D2494" s="185">
        <f t="shared" si="79"/>
        <v>-0.18319130479154971</v>
      </c>
      <c r="E2494" s="185">
        <v>-1.6587823308963568E-2</v>
      </c>
      <c r="F2494" s="171"/>
      <c r="G2494" s="171">
        <v>2491</v>
      </c>
      <c r="H2494" s="186">
        <f t="shared" ca="1" si="80"/>
        <v>-9.3502573349336787E-3</v>
      </c>
    </row>
    <row r="2495" spans="2:8">
      <c r="B2495" s="36">
        <v>45488</v>
      </c>
      <c r="C2495" s="185">
        <v>2939.55</v>
      </c>
      <c r="D2495" s="185">
        <f t="shared" si="79"/>
        <v>0.17169563137755101</v>
      </c>
      <c r="E2495" s="185">
        <v>-1.6609795262946488E-2</v>
      </c>
      <c r="F2495" s="171"/>
      <c r="G2495" s="171">
        <v>2492</v>
      </c>
      <c r="H2495" s="186">
        <f t="shared" ca="1" si="80"/>
        <v>1.4691400600915209E-2</v>
      </c>
    </row>
    <row r="2496" spans="2:8">
      <c r="B2496" s="36">
        <v>45915</v>
      </c>
      <c r="C2496" s="185">
        <v>2508.8000000000002</v>
      </c>
      <c r="D2496" s="185">
        <f t="shared" si="79"/>
        <v>2.0856650882479557</v>
      </c>
      <c r="E2496" s="185">
        <v>-1.6658174264100652E-2</v>
      </c>
      <c r="F2496" s="171"/>
      <c r="G2496" s="171">
        <v>2493</v>
      </c>
      <c r="H2496" s="186">
        <f t="shared" ca="1" si="80"/>
        <v>-2.1336822893485968E-3</v>
      </c>
    </row>
    <row r="2497" spans="2:8">
      <c r="B2497" s="36">
        <v>42251</v>
      </c>
      <c r="C2497" s="185">
        <v>813.05</v>
      </c>
      <c r="D2497" s="185">
        <f t="shared" si="79"/>
        <v>-0.67695089001907183</v>
      </c>
      <c r="E2497" s="185">
        <v>-1.6749304631757195E-2</v>
      </c>
      <c r="F2497" s="171"/>
      <c r="G2497" s="171">
        <v>2494</v>
      </c>
      <c r="H2497" s="186">
        <f t="shared" ca="1" si="80"/>
        <v>1.3198969237323893E-3</v>
      </c>
    </row>
    <row r="2498" spans="2:8">
      <c r="B2498" s="36">
        <v>46135</v>
      </c>
      <c r="C2498" s="185">
        <v>2516.8000000000002</v>
      </c>
      <c r="D2498" s="185">
        <f t="shared" si="79"/>
        <v>6.0374973667579601E-2</v>
      </c>
      <c r="E2498" s="185">
        <v>-1.6836595179499161E-2</v>
      </c>
      <c r="F2498" s="171"/>
      <c r="G2498" s="171">
        <v>2495</v>
      </c>
      <c r="H2498" s="186">
        <f t="shared" ca="1" si="80"/>
        <v>-1.0975804229702259E-2</v>
      </c>
    </row>
    <row r="2499" spans="2:8">
      <c r="B2499" s="36">
        <v>46066</v>
      </c>
      <c r="C2499" s="185">
        <v>2373.5</v>
      </c>
      <c r="D2499" s="185">
        <f t="shared" si="79"/>
        <v>0.66813086411076372</v>
      </c>
      <c r="E2499" s="185">
        <v>-1.685858669538556E-2</v>
      </c>
      <c r="F2499" s="171"/>
      <c r="G2499" s="171">
        <v>2496</v>
      </c>
      <c r="H2499" s="186">
        <f t="shared" ca="1" si="80"/>
        <v>4.647295528523861E-3</v>
      </c>
    </row>
    <row r="2500" spans="2:8">
      <c r="B2500" s="36">
        <v>43591</v>
      </c>
      <c r="C2500" s="185">
        <v>1422.85</v>
      </c>
      <c r="D2500" s="185">
        <f t="shared" ref="D2500:D2563" si="81">(C2500-C2501)/C2501</f>
        <v>-0.56143757609382472</v>
      </c>
      <c r="E2500" s="185">
        <v>-1.6859561236828531E-2</v>
      </c>
      <c r="F2500" s="171"/>
      <c r="G2500" s="171">
        <v>2497</v>
      </c>
      <c r="H2500" s="186">
        <f t="shared" ca="1" si="80"/>
        <v>1.5124571623405003E-2</v>
      </c>
    </row>
    <row r="2501" spans="2:8">
      <c r="B2501" s="36">
        <v>44487</v>
      </c>
      <c r="C2501" s="185">
        <v>3244.35</v>
      </c>
      <c r="D2501" s="185">
        <f t="shared" si="81"/>
        <v>1.3063552996374492</v>
      </c>
      <c r="E2501" s="185">
        <v>-1.6967897344221067E-2</v>
      </c>
      <c r="F2501" s="171"/>
      <c r="G2501" s="171">
        <v>2498</v>
      </c>
      <c r="H2501" s="186">
        <f t="shared" ref="H2501:H2564" ca="1" si="82">_xlfn.NORM.INV(RAND(),N$6,N$7)</f>
        <v>1.9394054313168037E-2</v>
      </c>
    </row>
    <row r="2502" spans="2:8">
      <c r="B2502" s="36">
        <v>43510</v>
      </c>
      <c r="C2502" s="185">
        <v>1406.7</v>
      </c>
      <c r="D2502" s="185">
        <f t="shared" si="81"/>
        <v>0.62071547900224666</v>
      </c>
      <c r="E2502" s="185">
        <v>-1.6981132075471667E-2</v>
      </c>
      <c r="F2502" s="171"/>
      <c r="G2502" s="171">
        <v>2499</v>
      </c>
      <c r="H2502" s="186">
        <f t="shared" ca="1" si="82"/>
        <v>-9.5564455818533175E-3</v>
      </c>
    </row>
    <row r="2503" spans="2:8">
      <c r="B2503" s="36">
        <v>42403</v>
      </c>
      <c r="C2503" s="185">
        <v>867.95</v>
      </c>
      <c r="D2503" s="185">
        <f t="shared" si="81"/>
        <v>-0.39346610761705098</v>
      </c>
      <c r="E2503" s="185">
        <v>-1.698850444532533E-2</v>
      </c>
      <c r="F2503" s="171"/>
      <c r="G2503" s="171">
        <v>2500</v>
      </c>
      <c r="H2503" s="186">
        <f t="shared" ca="1" si="82"/>
        <v>-3.6474583749346286E-3</v>
      </c>
    </row>
    <row r="2504" spans="2:8">
      <c r="B2504" s="36">
        <v>43509</v>
      </c>
      <c r="C2504" s="185">
        <v>1431</v>
      </c>
      <c r="D2504" s="185">
        <f t="shared" si="81"/>
        <v>0.63421458345229265</v>
      </c>
      <c r="E2504" s="185">
        <v>-1.7001545595054096E-2</v>
      </c>
      <c r="F2504" s="171"/>
      <c r="G2504" s="171">
        <v>2501</v>
      </c>
      <c r="H2504" s="186">
        <f t="shared" ca="1" si="82"/>
        <v>-1.0733578875498676E-2</v>
      </c>
    </row>
    <row r="2505" spans="2:8">
      <c r="B2505" s="36">
        <v>42376</v>
      </c>
      <c r="C2505" s="185">
        <v>875.65</v>
      </c>
      <c r="D2505" s="185">
        <f t="shared" si="81"/>
        <v>-0.73079287976142893</v>
      </c>
      <c r="E2505" s="185">
        <v>-1.7172680846287747E-2</v>
      </c>
      <c r="F2505" s="171"/>
      <c r="G2505" s="171">
        <v>2502</v>
      </c>
      <c r="H2505" s="186">
        <f t="shared" ca="1" si="82"/>
        <v>-3.0633362526028416E-2</v>
      </c>
    </row>
    <row r="2506" spans="2:8">
      <c r="B2506" s="36">
        <v>44846</v>
      </c>
      <c r="C2506" s="185">
        <v>3252.7</v>
      </c>
      <c r="D2506" s="185">
        <f t="shared" si="81"/>
        <v>-1.8615737388365999E-2</v>
      </c>
      <c r="E2506" s="185">
        <v>-1.7222104722482402E-2</v>
      </c>
      <c r="F2506" s="171"/>
      <c r="G2506" s="171">
        <v>2503</v>
      </c>
      <c r="H2506" s="186">
        <f t="shared" ca="1" si="82"/>
        <v>-1.9642154695730343E-2</v>
      </c>
    </row>
    <row r="2507" spans="2:8">
      <c r="B2507" s="36">
        <v>45299</v>
      </c>
      <c r="C2507" s="185">
        <v>3314.4</v>
      </c>
      <c r="D2507" s="185">
        <f t="shared" si="81"/>
        <v>0.82556250172124157</v>
      </c>
      <c r="E2507" s="185">
        <v>-1.7227575982209017E-2</v>
      </c>
      <c r="F2507" s="171"/>
      <c r="G2507" s="171">
        <v>2504</v>
      </c>
      <c r="H2507" s="186">
        <f t="shared" ca="1" si="82"/>
        <v>2.8601548032666847E-3</v>
      </c>
    </row>
    <row r="2508" spans="2:8">
      <c r="B2508" s="36">
        <v>43949</v>
      </c>
      <c r="C2508" s="185">
        <v>1815.55</v>
      </c>
      <c r="D2508" s="185">
        <f t="shared" si="81"/>
        <v>0.39711427472104655</v>
      </c>
      <c r="E2508" s="185">
        <v>-1.7346828317817687E-2</v>
      </c>
      <c r="F2508" s="171"/>
      <c r="G2508" s="171">
        <v>2505</v>
      </c>
      <c r="H2508" s="186">
        <f t="shared" ca="1" si="82"/>
        <v>8.9990757454725834E-3</v>
      </c>
    </row>
    <row r="2509" spans="2:8">
      <c r="B2509" s="36">
        <v>43249</v>
      </c>
      <c r="C2509" s="185">
        <v>1299.5</v>
      </c>
      <c r="D2509" s="185">
        <f t="shared" si="81"/>
        <v>-0.53595914869304384</v>
      </c>
      <c r="E2509" s="185">
        <v>-1.7354153276116332E-2</v>
      </c>
      <c r="F2509" s="171"/>
      <c r="G2509" s="171">
        <v>2506</v>
      </c>
      <c r="H2509" s="186">
        <f t="shared" ca="1" si="82"/>
        <v>6.6917697912737264E-3</v>
      </c>
    </row>
    <row r="2510" spans="2:8">
      <c r="B2510" s="36">
        <v>45008</v>
      </c>
      <c r="C2510" s="185">
        <v>2800.4</v>
      </c>
      <c r="D2510" s="185">
        <f t="shared" si="81"/>
        <v>2.2044856390891407</v>
      </c>
      <c r="E2510" s="185">
        <v>-1.7369030492297974E-2</v>
      </c>
      <c r="F2510" s="171"/>
      <c r="G2510" s="171">
        <v>2507</v>
      </c>
      <c r="H2510" s="186">
        <f t="shared" ca="1" si="82"/>
        <v>-5.5599547394772205E-3</v>
      </c>
    </row>
    <row r="2511" spans="2:8">
      <c r="B2511" s="36">
        <v>42482</v>
      </c>
      <c r="C2511" s="185">
        <v>873.9</v>
      </c>
      <c r="D2511" s="185">
        <f t="shared" si="81"/>
        <v>-0.72561578674704463</v>
      </c>
      <c r="E2511" s="185">
        <v>-1.7372238151458982E-2</v>
      </c>
      <c r="F2511" s="171"/>
      <c r="G2511" s="171">
        <v>2508</v>
      </c>
      <c r="H2511" s="186">
        <f t="shared" ca="1" si="82"/>
        <v>-2.1618555689614672E-2</v>
      </c>
    </row>
    <row r="2512" spans="2:8">
      <c r="B2512" s="36">
        <v>44907</v>
      </c>
      <c r="C2512" s="185">
        <v>3184.95</v>
      </c>
      <c r="D2512" s="185">
        <f t="shared" si="81"/>
        <v>1.087191585569645</v>
      </c>
      <c r="E2512" s="185">
        <v>-1.7400157341848334E-2</v>
      </c>
      <c r="F2512" s="171"/>
      <c r="G2512" s="171">
        <v>2509</v>
      </c>
      <c r="H2512" s="186">
        <f t="shared" ca="1" si="82"/>
        <v>-3.0646243678930096E-3</v>
      </c>
    </row>
    <row r="2513" spans="2:8">
      <c r="B2513" s="36">
        <v>43724</v>
      </c>
      <c r="C2513" s="185">
        <v>1525.95</v>
      </c>
      <c r="D2513" s="185">
        <f t="shared" si="81"/>
        <v>-0.53619950761375035</v>
      </c>
      <c r="E2513" s="185">
        <v>-1.7449534786388016E-2</v>
      </c>
      <c r="F2513" s="171"/>
      <c r="G2513" s="171">
        <v>2510</v>
      </c>
      <c r="H2513" s="186">
        <f t="shared" ca="1" si="82"/>
        <v>3.0311205536434963E-2</v>
      </c>
    </row>
    <row r="2514" spans="2:8">
      <c r="B2514" s="36">
        <v>45566</v>
      </c>
      <c r="C2514" s="185">
        <v>3290.1</v>
      </c>
      <c r="D2514" s="185">
        <f t="shared" si="81"/>
        <v>9.1950017424204611E-2</v>
      </c>
      <c r="E2514" s="185">
        <v>-1.7469987457444904E-2</v>
      </c>
      <c r="F2514" s="171"/>
      <c r="G2514" s="171">
        <v>2511</v>
      </c>
      <c r="H2514" s="186">
        <f t="shared" ca="1" si="82"/>
        <v>-1.5924752006743294E-2</v>
      </c>
    </row>
    <row r="2515" spans="2:8">
      <c r="B2515" s="36">
        <v>44369</v>
      </c>
      <c r="C2515" s="185">
        <v>3013.05</v>
      </c>
      <c r="D2515" s="185">
        <f t="shared" si="81"/>
        <v>1.5122357943886275</v>
      </c>
      <c r="E2515" s="185">
        <v>-1.7478355860629648E-2</v>
      </c>
      <c r="F2515" s="171"/>
      <c r="G2515" s="171">
        <v>2512</v>
      </c>
      <c r="H2515" s="186">
        <f t="shared" ca="1" si="82"/>
        <v>-3.9917679188999835E-4</v>
      </c>
    </row>
    <row r="2516" spans="2:8">
      <c r="B2516" s="36">
        <v>42982</v>
      </c>
      <c r="C2516" s="185">
        <v>1199.3499999999999</v>
      </c>
      <c r="D2516" s="185">
        <f t="shared" si="81"/>
        <v>7.3915417244130484E-3</v>
      </c>
      <c r="E2516" s="185">
        <v>-1.7489964774309932E-2</v>
      </c>
      <c r="F2516" s="171"/>
      <c r="G2516" s="171">
        <v>2513</v>
      </c>
      <c r="H2516" s="186">
        <f t="shared" ca="1" si="82"/>
        <v>7.5120670937667442E-3</v>
      </c>
    </row>
    <row r="2517" spans="2:8">
      <c r="B2517" s="36">
        <v>42650</v>
      </c>
      <c r="C2517" s="185">
        <v>1190.55</v>
      </c>
      <c r="D2517" s="185">
        <f t="shared" si="81"/>
        <v>-0.49637259671312844</v>
      </c>
      <c r="E2517" s="185">
        <v>-1.7495357953373258E-2</v>
      </c>
      <c r="F2517" s="171"/>
      <c r="G2517" s="171">
        <v>2514</v>
      </c>
      <c r="H2517" s="186">
        <f t="shared" ca="1" si="82"/>
        <v>-1.1280649239628144E-2</v>
      </c>
    </row>
    <row r="2518" spans="2:8">
      <c r="B2518" s="36">
        <v>45643</v>
      </c>
      <c r="C2518" s="185">
        <v>2363.9499999999998</v>
      </c>
      <c r="D2518" s="185">
        <f t="shared" si="81"/>
        <v>1.6622557576440111</v>
      </c>
      <c r="E2518" s="185">
        <v>-1.7497558238606995E-2</v>
      </c>
      <c r="F2518" s="171"/>
      <c r="G2518" s="171">
        <v>2515</v>
      </c>
      <c r="H2518" s="186">
        <f t="shared" ca="1" si="82"/>
        <v>4.4317748784664115E-2</v>
      </c>
    </row>
    <row r="2519" spans="2:8">
      <c r="B2519" s="36">
        <v>42227</v>
      </c>
      <c r="C2519" s="185">
        <v>887.95</v>
      </c>
      <c r="D2519" s="185">
        <f t="shared" si="81"/>
        <v>-0.63438535812076668</v>
      </c>
      <c r="E2519" s="185">
        <v>-1.753706572250488E-2</v>
      </c>
      <c r="F2519" s="171"/>
      <c r="G2519" s="171">
        <v>2516</v>
      </c>
      <c r="H2519" s="186">
        <f t="shared" ca="1" si="82"/>
        <v>4.2553832307131043E-2</v>
      </c>
    </row>
    <row r="2520" spans="2:8">
      <c r="B2520" s="36">
        <v>44272</v>
      </c>
      <c r="C2520" s="185">
        <v>2428.65</v>
      </c>
      <c r="D2520" s="185">
        <f t="shared" si="81"/>
        <v>-0.26887530856764408</v>
      </c>
      <c r="E2520" s="185">
        <v>-1.7596019659001275E-2</v>
      </c>
      <c r="F2520" s="171"/>
      <c r="G2520" s="171">
        <v>2517</v>
      </c>
      <c r="H2520" s="186">
        <f t="shared" ca="1" si="82"/>
        <v>1.3600589852834126E-2</v>
      </c>
    </row>
    <row r="2521" spans="2:8">
      <c r="B2521" s="36">
        <v>44468</v>
      </c>
      <c r="C2521" s="185">
        <v>3321.8</v>
      </c>
      <c r="D2521" s="185">
        <f t="shared" si="81"/>
        <v>1.7618374558303889</v>
      </c>
      <c r="E2521" s="185">
        <v>-1.764036138343008E-2</v>
      </c>
      <c r="F2521" s="171"/>
      <c r="G2521" s="171">
        <v>2518</v>
      </c>
      <c r="H2521" s="186">
        <f t="shared" ca="1" si="82"/>
        <v>-1.1522942940367049E-2</v>
      </c>
    </row>
    <row r="2522" spans="2:8">
      <c r="B2522" s="36">
        <v>43033</v>
      </c>
      <c r="C2522" s="185">
        <v>1202.75</v>
      </c>
      <c r="D2522" s="185">
        <f t="shared" si="81"/>
        <v>-0.52239606083469015</v>
      </c>
      <c r="E2522" s="185">
        <v>-1.7682130022868416E-2</v>
      </c>
      <c r="F2522" s="171"/>
      <c r="G2522" s="171">
        <v>2519</v>
      </c>
      <c r="H2522" s="186">
        <f t="shared" ca="1" si="82"/>
        <v>-4.2585959041423233E-2</v>
      </c>
    </row>
    <row r="2523" spans="2:8">
      <c r="B2523" s="36">
        <v>44291</v>
      </c>
      <c r="C2523" s="185">
        <v>2518.3000000000002</v>
      </c>
      <c r="D2523" s="185">
        <f t="shared" si="81"/>
        <v>-5.6091755842500667E-2</v>
      </c>
      <c r="E2523" s="185">
        <v>-1.7689622218321498E-2</v>
      </c>
      <c r="F2523" s="171"/>
      <c r="G2523" s="171">
        <v>2520</v>
      </c>
      <c r="H2523" s="186">
        <f t="shared" ca="1" si="82"/>
        <v>-2.1159155622583999E-3</v>
      </c>
    </row>
    <row r="2524" spans="2:8">
      <c r="B2524" s="36">
        <v>44725</v>
      </c>
      <c r="C2524" s="185">
        <v>2667.95</v>
      </c>
      <c r="D2524" s="185">
        <f t="shared" si="81"/>
        <v>2.1878958059505313</v>
      </c>
      <c r="E2524" s="185">
        <v>-1.7745706238609896E-2</v>
      </c>
      <c r="F2524" s="171"/>
      <c r="G2524" s="171">
        <v>2521</v>
      </c>
      <c r="H2524" s="186">
        <f t="shared" ca="1" si="82"/>
        <v>-2.3302609946056412E-2</v>
      </c>
    </row>
    <row r="2525" spans="2:8">
      <c r="B2525" s="36">
        <v>42213</v>
      </c>
      <c r="C2525" s="185">
        <v>836.9</v>
      </c>
      <c r="D2525" s="185">
        <f t="shared" si="81"/>
        <v>-0.71512696575668866</v>
      </c>
      <c r="E2525" s="185">
        <v>-1.7780646675664549E-2</v>
      </c>
      <c r="F2525" s="171"/>
      <c r="G2525" s="171">
        <v>2522</v>
      </c>
      <c r="H2525" s="186">
        <f t="shared" ca="1" si="82"/>
        <v>2.3969933712522717E-2</v>
      </c>
    </row>
    <row r="2526" spans="2:8">
      <c r="B2526" s="36">
        <v>45330</v>
      </c>
      <c r="C2526" s="185">
        <v>2937.8</v>
      </c>
      <c r="D2526" s="185">
        <f t="shared" si="81"/>
        <v>0.30377668308702788</v>
      </c>
      <c r="E2526" s="185">
        <v>-1.7786693413573994E-2</v>
      </c>
      <c r="F2526" s="171"/>
      <c r="G2526" s="171">
        <v>2523</v>
      </c>
      <c r="H2526" s="186">
        <f t="shared" ca="1" si="82"/>
        <v>-3.5640593377872318E-3</v>
      </c>
    </row>
    <row r="2527" spans="2:8">
      <c r="B2527" s="36">
        <v>45807</v>
      </c>
      <c r="C2527" s="185">
        <v>2253.3000000000002</v>
      </c>
      <c r="D2527" s="185">
        <f t="shared" si="81"/>
        <v>-0.12002811786069939</v>
      </c>
      <c r="E2527" s="185">
        <v>-1.7870374406136948E-2</v>
      </c>
      <c r="F2527" s="171"/>
      <c r="G2527" s="171">
        <v>2524</v>
      </c>
      <c r="H2527" s="186">
        <f t="shared" ca="1" si="82"/>
        <v>2.2583791443957123E-2</v>
      </c>
    </row>
    <row r="2528" spans="2:8">
      <c r="B2528" s="36">
        <v>44186</v>
      </c>
      <c r="C2528" s="185">
        <v>2560.65</v>
      </c>
      <c r="D2528" s="185">
        <f t="shared" si="81"/>
        <v>1.7872537280940459</v>
      </c>
      <c r="E2528" s="185">
        <v>-1.7929738436756923E-2</v>
      </c>
      <c r="F2528" s="171"/>
      <c r="G2528" s="171">
        <v>2525</v>
      </c>
      <c r="H2528" s="186">
        <f t="shared" ca="1" si="82"/>
        <v>-1.2151174583473446E-2</v>
      </c>
    </row>
    <row r="2529" spans="2:8">
      <c r="B2529" s="36">
        <v>42691</v>
      </c>
      <c r="C2529" s="185">
        <v>918.7</v>
      </c>
      <c r="D2529" s="185">
        <f t="shared" si="81"/>
        <v>-0.69718344677554911</v>
      </c>
      <c r="E2529" s="185">
        <v>-1.801079578857347E-2</v>
      </c>
      <c r="F2529" s="171"/>
      <c r="G2529" s="171">
        <v>2526</v>
      </c>
      <c r="H2529" s="186">
        <f t="shared" ca="1" si="82"/>
        <v>-1.0240446231071926E-2</v>
      </c>
    </row>
    <row r="2530" spans="2:8">
      <c r="B2530" s="36">
        <v>44669</v>
      </c>
      <c r="C2530" s="185">
        <v>3033.85</v>
      </c>
      <c r="D2530" s="185">
        <f t="shared" si="81"/>
        <v>0.56307478296710367</v>
      </c>
      <c r="E2530" s="185">
        <v>-1.8044407042982911E-2</v>
      </c>
      <c r="F2530" s="171"/>
      <c r="G2530" s="171">
        <v>2527</v>
      </c>
      <c r="H2530" s="186">
        <f t="shared" ca="1" si="82"/>
        <v>1.0977498592726075E-2</v>
      </c>
    </row>
    <row r="2531" spans="2:8">
      <c r="B2531" s="36">
        <v>44096</v>
      </c>
      <c r="C2531" s="185">
        <v>1940.95</v>
      </c>
      <c r="D2531" s="185">
        <f t="shared" si="81"/>
        <v>-0.40340874162414703</v>
      </c>
      <c r="E2531" s="185">
        <v>-1.8085698386199219E-2</v>
      </c>
      <c r="F2531" s="171"/>
      <c r="G2531" s="171">
        <v>2528</v>
      </c>
      <c r="H2531" s="186">
        <f t="shared" ca="1" si="82"/>
        <v>8.5464061716468203E-4</v>
      </c>
    </row>
    <row r="2532" spans="2:8">
      <c r="B2532" s="36">
        <v>44547</v>
      </c>
      <c r="C2532" s="185">
        <v>3253.4</v>
      </c>
      <c r="D2532" s="185">
        <f t="shared" si="81"/>
        <v>4.5756255926455665E-2</v>
      </c>
      <c r="E2532" s="185">
        <v>-1.8093470354776833E-2</v>
      </c>
      <c r="F2532" s="171"/>
      <c r="G2532" s="171">
        <v>2529</v>
      </c>
      <c r="H2532" s="186">
        <f t="shared" ca="1" si="82"/>
        <v>-2.6522111455462589E-2</v>
      </c>
    </row>
    <row r="2533" spans="2:8">
      <c r="B2533" s="36">
        <v>44399</v>
      </c>
      <c r="C2533" s="185">
        <v>3111.05</v>
      </c>
      <c r="D2533" s="185">
        <f t="shared" si="81"/>
        <v>1.9219968066121913</v>
      </c>
      <c r="E2533" s="185">
        <v>-1.8100618608761491E-2</v>
      </c>
      <c r="F2533" s="171"/>
      <c r="G2533" s="171">
        <v>2530</v>
      </c>
      <c r="H2533" s="186">
        <f t="shared" ca="1" si="82"/>
        <v>-5.7103422126100036E-3</v>
      </c>
    </row>
    <row r="2534" spans="2:8">
      <c r="B2534" s="36">
        <v>42835</v>
      </c>
      <c r="C2534" s="185">
        <v>1064.7</v>
      </c>
      <c r="D2534" s="185">
        <f t="shared" si="81"/>
        <v>-3.8905939700306834E-2</v>
      </c>
      <c r="E2534" s="185">
        <v>-1.8121455249688629E-2</v>
      </c>
      <c r="F2534" s="171"/>
      <c r="G2534" s="171">
        <v>2531</v>
      </c>
      <c r="H2534" s="186">
        <f t="shared" ca="1" si="82"/>
        <v>5.1905855282719576E-3</v>
      </c>
    </row>
    <row r="2535" spans="2:8">
      <c r="B2535" s="36">
        <v>43178</v>
      </c>
      <c r="C2535" s="185">
        <v>1107.8</v>
      </c>
      <c r="D2535" s="185">
        <f t="shared" si="81"/>
        <v>-0.6030884434173519</v>
      </c>
      <c r="E2535" s="185">
        <v>-1.8125415466430352E-2</v>
      </c>
      <c r="F2535" s="171"/>
      <c r="G2535" s="171">
        <v>2532</v>
      </c>
      <c r="H2535" s="186">
        <f t="shared" ca="1" si="82"/>
        <v>-3.3080387649017714E-3</v>
      </c>
    </row>
    <row r="2536" spans="2:8">
      <c r="B2536" s="36">
        <v>44998</v>
      </c>
      <c r="C2536" s="185">
        <v>2791.05</v>
      </c>
      <c r="D2536" s="185">
        <f t="shared" si="81"/>
        <v>0.61435016484469895</v>
      </c>
      <c r="E2536" s="185">
        <v>-1.8134806163371466E-2</v>
      </c>
      <c r="F2536" s="171"/>
      <c r="G2536" s="171">
        <v>2533</v>
      </c>
      <c r="H2536" s="186">
        <f t="shared" ca="1" si="82"/>
        <v>-2.3912774264268532E-2</v>
      </c>
    </row>
    <row r="2537" spans="2:8">
      <c r="B2537" s="36">
        <v>43941</v>
      </c>
      <c r="C2537" s="185">
        <v>1728.9</v>
      </c>
      <c r="D2537" s="185">
        <f t="shared" si="81"/>
        <v>-3.8485067571325186E-2</v>
      </c>
      <c r="E2537" s="185">
        <v>-1.8228279386712044E-2</v>
      </c>
      <c r="F2537" s="171"/>
      <c r="G2537" s="171">
        <v>2534</v>
      </c>
      <c r="H2537" s="186">
        <f t="shared" ca="1" si="82"/>
        <v>-2.9699012791560245E-2</v>
      </c>
    </row>
    <row r="2538" spans="2:8">
      <c r="B2538" s="36">
        <v>43777</v>
      </c>
      <c r="C2538" s="185">
        <v>1798.1</v>
      </c>
      <c r="D2538" s="185">
        <f t="shared" si="81"/>
        <v>0.72108159846853304</v>
      </c>
      <c r="E2538" s="185">
        <v>-1.8263219677322511E-2</v>
      </c>
      <c r="F2538" s="171"/>
      <c r="G2538" s="171">
        <v>2535</v>
      </c>
      <c r="H2538" s="186">
        <f t="shared" ca="1" si="82"/>
        <v>-5.5505438655528818E-3</v>
      </c>
    </row>
    <row r="2539" spans="2:8">
      <c r="B2539" s="36">
        <v>42843</v>
      </c>
      <c r="C2539" s="185">
        <v>1044.75</v>
      </c>
      <c r="D2539" s="185">
        <f t="shared" si="81"/>
        <v>-0.49239626858419971</v>
      </c>
      <c r="E2539" s="185">
        <v>-1.8276639729374218E-2</v>
      </c>
      <c r="F2539" s="171"/>
      <c r="G2539" s="171">
        <v>2536</v>
      </c>
      <c r="H2539" s="186">
        <f t="shared" ca="1" si="82"/>
        <v>2.2458142674277896E-3</v>
      </c>
    </row>
    <row r="2540" spans="2:8">
      <c r="B2540" s="36">
        <v>44113</v>
      </c>
      <c r="C2540" s="185">
        <v>2058.1999999999998</v>
      </c>
      <c r="D2540" s="185">
        <f t="shared" si="81"/>
        <v>1.78492659495298</v>
      </c>
      <c r="E2540" s="185">
        <v>-1.8315367738242914E-2</v>
      </c>
      <c r="F2540" s="171"/>
      <c r="G2540" s="171">
        <v>2537</v>
      </c>
      <c r="H2540" s="186">
        <f t="shared" ca="1" si="82"/>
        <v>4.5699034524702828E-3</v>
      </c>
    </row>
    <row r="2541" spans="2:8">
      <c r="B2541" s="36">
        <v>42184</v>
      </c>
      <c r="C2541" s="185">
        <v>739.05</v>
      </c>
      <c r="D2541" s="185">
        <f t="shared" si="81"/>
        <v>-0.71914190164931213</v>
      </c>
      <c r="E2541" s="185">
        <v>-1.8330344690177417E-2</v>
      </c>
      <c r="F2541" s="171"/>
      <c r="G2541" s="171">
        <v>2538</v>
      </c>
      <c r="H2541" s="186">
        <f t="shared" ca="1" si="82"/>
        <v>7.035569323316824E-3</v>
      </c>
    </row>
    <row r="2542" spans="2:8">
      <c r="B2542" s="36">
        <v>46174</v>
      </c>
      <c r="C2542" s="185">
        <v>2631.4</v>
      </c>
      <c r="D2542" s="185">
        <f t="shared" si="81"/>
        <v>-0.1299862789505877</v>
      </c>
      <c r="E2542" s="185">
        <v>-1.8354099828396562E-2</v>
      </c>
      <c r="F2542" s="171"/>
      <c r="G2542" s="171">
        <v>2539</v>
      </c>
      <c r="H2542" s="186">
        <f t="shared" ca="1" si="82"/>
        <v>1.3334340350550219E-2</v>
      </c>
    </row>
    <row r="2543" spans="2:8">
      <c r="B2543" s="36">
        <v>44687</v>
      </c>
      <c r="C2543" s="185">
        <v>3024.55</v>
      </c>
      <c r="D2543" s="185">
        <f t="shared" si="81"/>
        <v>1.4543942221861561</v>
      </c>
      <c r="E2543" s="185">
        <v>-1.846533287900165E-2</v>
      </c>
      <c r="F2543" s="171"/>
      <c r="G2543" s="171">
        <v>2540</v>
      </c>
      <c r="H2543" s="186">
        <f t="shared" ca="1" si="82"/>
        <v>1.4322191867614019E-2</v>
      </c>
    </row>
    <row r="2544" spans="2:8">
      <c r="B2544" s="36">
        <v>43392</v>
      </c>
      <c r="C2544" s="185">
        <v>1232.3</v>
      </c>
      <c r="D2544" s="185">
        <f t="shared" si="81"/>
        <v>-0.61045693783685528</v>
      </c>
      <c r="E2544" s="185">
        <v>-1.8478693747510988E-2</v>
      </c>
      <c r="F2544" s="171"/>
      <c r="G2544" s="171">
        <v>2541</v>
      </c>
      <c r="H2544" s="186">
        <f t="shared" ca="1" si="82"/>
        <v>-7.6888797002989074E-3</v>
      </c>
    </row>
    <row r="2545" spans="2:8">
      <c r="B2545" s="36">
        <v>44662</v>
      </c>
      <c r="C2545" s="185">
        <v>3163.45</v>
      </c>
      <c r="D2545" s="185">
        <f t="shared" si="81"/>
        <v>0.24672893513044838</v>
      </c>
      <c r="E2545" s="185">
        <v>-1.8567927279496282E-2</v>
      </c>
      <c r="F2545" s="171"/>
      <c r="G2545" s="171">
        <v>2542</v>
      </c>
      <c r="H2545" s="186">
        <f t="shared" ca="1" si="82"/>
        <v>-5.0841946336236763E-3</v>
      </c>
    </row>
    <row r="2546" spans="2:8">
      <c r="B2546" s="36">
        <v>45908</v>
      </c>
      <c r="C2546" s="185">
        <v>2537.4</v>
      </c>
      <c r="D2546" s="185">
        <f t="shared" si="81"/>
        <v>1.7778203514149653</v>
      </c>
      <c r="E2546" s="185">
        <v>-1.8641707920792009E-2</v>
      </c>
      <c r="F2546" s="171"/>
      <c r="G2546" s="171">
        <v>2543</v>
      </c>
      <c r="H2546" s="186">
        <f t="shared" ca="1" si="82"/>
        <v>8.4209311209595544E-3</v>
      </c>
    </row>
    <row r="2547" spans="2:8">
      <c r="B2547" s="36">
        <v>42744</v>
      </c>
      <c r="C2547" s="185">
        <v>913.45</v>
      </c>
      <c r="D2547" s="185">
        <f t="shared" si="81"/>
        <v>-0.30215057870812484</v>
      </c>
      <c r="E2547" s="185">
        <v>-1.8850698174006395E-2</v>
      </c>
      <c r="F2547" s="171"/>
      <c r="G2547" s="171">
        <v>2544</v>
      </c>
      <c r="H2547" s="186">
        <f t="shared" ca="1" si="82"/>
        <v>1.037323720569262E-2</v>
      </c>
    </row>
    <row r="2548" spans="2:8">
      <c r="B2548" s="36">
        <v>43360</v>
      </c>
      <c r="C2548" s="185">
        <v>1308.95</v>
      </c>
      <c r="D2548" s="185">
        <f t="shared" si="81"/>
        <v>0.51525149042079066</v>
      </c>
      <c r="E2548" s="185">
        <v>-1.8851660295330083E-2</v>
      </c>
      <c r="F2548" s="171"/>
      <c r="G2548" s="171">
        <v>2545</v>
      </c>
      <c r="H2548" s="186">
        <f t="shared" ca="1" si="82"/>
        <v>5.2641950648416305E-3</v>
      </c>
    </row>
    <row r="2549" spans="2:8">
      <c r="B2549" s="36">
        <v>42425</v>
      </c>
      <c r="C2549" s="185">
        <v>863.85</v>
      </c>
      <c r="D2549" s="185">
        <f t="shared" si="81"/>
        <v>-0.2240635947184047</v>
      </c>
      <c r="E2549" s="185">
        <v>-1.885399511613382E-2</v>
      </c>
      <c r="F2549" s="171"/>
      <c r="G2549" s="171">
        <v>2546</v>
      </c>
      <c r="H2549" s="186">
        <f t="shared" ca="1" si="82"/>
        <v>-6.28888485608809E-3</v>
      </c>
    </row>
    <row r="2550" spans="2:8">
      <c r="B2550" s="36">
        <v>43137</v>
      </c>
      <c r="C2550" s="185">
        <v>1113.3</v>
      </c>
      <c r="D2550" s="185">
        <f t="shared" si="81"/>
        <v>-5.9633414984373793E-2</v>
      </c>
      <c r="E2550" s="185">
        <v>-1.8859610469727759E-2</v>
      </c>
      <c r="F2550" s="171"/>
      <c r="G2550" s="171">
        <v>2547</v>
      </c>
      <c r="H2550" s="186">
        <f t="shared" ca="1" si="82"/>
        <v>8.9435128006207752E-5</v>
      </c>
    </row>
    <row r="2551" spans="2:8">
      <c r="B2551" s="36">
        <v>42620</v>
      </c>
      <c r="C2551" s="185">
        <v>1183.9000000000001</v>
      </c>
      <c r="D2551" s="185">
        <f t="shared" si="81"/>
        <v>0.35815073993346336</v>
      </c>
      <c r="E2551" s="185">
        <v>-1.889450567663873E-2</v>
      </c>
      <c r="F2551" s="171"/>
      <c r="G2551" s="171">
        <v>2548</v>
      </c>
      <c r="H2551" s="186">
        <f t="shared" ca="1" si="82"/>
        <v>-3.5924493827046147E-3</v>
      </c>
    </row>
    <row r="2552" spans="2:8">
      <c r="B2552" s="36">
        <v>42465</v>
      </c>
      <c r="C2552" s="185">
        <v>871.7</v>
      </c>
      <c r="D2552" s="185">
        <f t="shared" si="81"/>
        <v>-0.6451888635623575</v>
      </c>
      <c r="E2552" s="185">
        <v>-1.896347982668382E-2</v>
      </c>
      <c r="F2552" s="171"/>
      <c r="G2552" s="171">
        <v>2549</v>
      </c>
      <c r="H2552" s="186">
        <f t="shared" ca="1" si="82"/>
        <v>-2.7245917530655913E-2</v>
      </c>
    </row>
    <row r="2553" spans="2:8">
      <c r="B2553" s="36">
        <v>45848</v>
      </c>
      <c r="C2553" s="185">
        <v>2456.8000000000002</v>
      </c>
      <c r="D2553" s="185">
        <f t="shared" si="81"/>
        <v>0.99739837398373998</v>
      </c>
      <c r="E2553" s="185">
        <v>-1.9006548474684519E-2</v>
      </c>
      <c r="F2553" s="171"/>
      <c r="G2553" s="171">
        <v>2550</v>
      </c>
      <c r="H2553" s="186">
        <f t="shared" ca="1" si="82"/>
        <v>9.23859408759398E-3</v>
      </c>
    </row>
    <row r="2554" spans="2:8">
      <c r="B2554" s="36">
        <v>43377</v>
      </c>
      <c r="C2554" s="185">
        <v>1230</v>
      </c>
      <c r="D2554" s="185">
        <f t="shared" si="81"/>
        <v>0.39038037642005319</v>
      </c>
      <c r="E2554" s="185">
        <v>-1.9021414044742124E-2</v>
      </c>
      <c r="F2554" s="171"/>
      <c r="G2554" s="171">
        <v>2551</v>
      </c>
      <c r="H2554" s="186">
        <f t="shared" ca="1" si="82"/>
        <v>5.5823988666709448E-3</v>
      </c>
    </row>
    <row r="2555" spans="2:8">
      <c r="B2555" s="36">
        <v>42236</v>
      </c>
      <c r="C2555" s="185">
        <v>884.65</v>
      </c>
      <c r="D2555" s="185">
        <f t="shared" si="81"/>
        <v>-0.70003729825037297</v>
      </c>
      <c r="E2555" s="185">
        <v>-1.9126288945559376E-2</v>
      </c>
      <c r="F2555" s="171"/>
      <c r="G2555" s="171">
        <v>2552</v>
      </c>
      <c r="H2555" s="186">
        <f t="shared" ca="1" si="82"/>
        <v>-1.9912720863055962E-2</v>
      </c>
    </row>
    <row r="2556" spans="2:8">
      <c r="B2556" s="36">
        <v>45316</v>
      </c>
      <c r="C2556" s="185">
        <v>2949.2</v>
      </c>
      <c r="D2556" s="185">
        <f t="shared" si="81"/>
        <v>-9.4837640414953045E-2</v>
      </c>
      <c r="E2556" s="185">
        <v>-1.9156578422243036E-2</v>
      </c>
      <c r="F2556" s="171"/>
      <c r="G2556" s="171">
        <v>2553</v>
      </c>
      <c r="H2556" s="186">
        <f t="shared" ca="1" si="82"/>
        <v>5.2173009958790635E-3</v>
      </c>
    </row>
    <row r="2557" spans="2:8">
      <c r="B2557" s="36">
        <v>45099</v>
      </c>
      <c r="C2557" s="185">
        <v>3258.2</v>
      </c>
      <c r="D2557" s="185">
        <f t="shared" si="81"/>
        <v>0.10696994920753561</v>
      </c>
      <c r="E2557" s="185">
        <v>-1.9220059902770988E-2</v>
      </c>
      <c r="F2557" s="171"/>
      <c r="G2557" s="171">
        <v>2554</v>
      </c>
      <c r="H2557" s="186">
        <f t="shared" ca="1" si="82"/>
        <v>3.764550895148553E-2</v>
      </c>
    </row>
    <row r="2558" spans="2:8">
      <c r="B2558" s="36">
        <v>45415</v>
      </c>
      <c r="C2558" s="185">
        <v>2943.35</v>
      </c>
      <c r="D2558" s="185">
        <f t="shared" si="81"/>
        <v>-1.6851493085710559E-2</v>
      </c>
      <c r="E2558" s="185">
        <v>-1.9242944253773618E-2</v>
      </c>
      <c r="F2558" s="171"/>
      <c r="G2558" s="171">
        <v>2555</v>
      </c>
      <c r="H2558" s="186">
        <f t="shared" ca="1" si="82"/>
        <v>-5.4895964898269622E-3</v>
      </c>
    </row>
    <row r="2559" spans="2:8">
      <c r="B2559" s="36">
        <v>45583</v>
      </c>
      <c r="C2559" s="185">
        <v>2993.8</v>
      </c>
      <c r="D2559" s="185">
        <f t="shared" si="81"/>
        <v>1.9946984095228568</v>
      </c>
      <c r="E2559" s="185">
        <v>-1.9246203993382581E-2</v>
      </c>
      <c r="F2559" s="171"/>
      <c r="G2559" s="171">
        <v>2556</v>
      </c>
      <c r="H2559" s="186">
        <f t="shared" ca="1" si="82"/>
        <v>-7.7847596734566754E-3</v>
      </c>
    </row>
    <row r="2560" spans="2:8">
      <c r="B2560" s="36">
        <v>42530</v>
      </c>
      <c r="C2560" s="185">
        <v>999.7</v>
      </c>
      <c r="D2560" s="185">
        <f t="shared" si="81"/>
        <v>-0.11905181529784976</v>
      </c>
      <c r="E2560" s="185">
        <v>-1.9421284943599758E-2</v>
      </c>
      <c r="F2560" s="171"/>
      <c r="G2560" s="171">
        <v>2557</v>
      </c>
      <c r="H2560" s="186">
        <f t="shared" ca="1" si="82"/>
        <v>-1.3552620286601811E-4</v>
      </c>
    </row>
    <row r="2561" spans="2:8">
      <c r="B2561" s="36">
        <v>42913</v>
      </c>
      <c r="C2561" s="185">
        <v>1134.8</v>
      </c>
      <c r="D2561" s="185">
        <f t="shared" si="81"/>
        <v>-0.50289118626248475</v>
      </c>
      <c r="E2561" s="185">
        <v>-1.9484166414654128E-2</v>
      </c>
      <c r="F2561" s="171"/>
      <c r="G2561" s="171">
        <v>2558</v>
      </c>
      <c r="H2561" s="186">
        <f t="shared" ca="1" si="82"/>
        <v>2.6985332552874355E-2</v>
      </c>
    </row>
    <row r="2562" spans="2:8">
      <c r="B2562" s="36">
        <v>45791</v>
      </c>
      <c r="C2562" s="185">
        <v>2282.8000000000002</v>
      </c>
      <c r="D2562" s="185">
        <f t="shared" si="81"/>
        <v>0.28670067356198747</v>
      </c>
      <c r="E2562" s="185">
        <v>-1.954215522054718E-2</v>
      </c>
      <c r="F2562" s="171"/>
      <c r="G2562" s="171">
        <v>2559</v>
      </c>
      <c r="H2562" s="186">
        <f t="shared" ca="1" si="82"/>
        <v>1.6026789496402537E-2</v>
      </c>
    </row>
    <row r="2563" spans="2:8">
      <c r="B2563" s="36">
        <v>43770</v>
      </c>
      <c r="C2563" s="185">
        <v>1774.15</v>
      </c>
      <c r="D2563" s="185">
        <f t="shared" si="81"/>
        <v>1.0703074858509831</v>
      </c>
      <c r="E2563" s="185">
        <v>-1.9562874747865416E-2</v>
      </c>
      <c r="F2563" s="171"/>
      <c r="G2563" s="171">
        <v>2560</v>
      </c>
      <c r="H2563" s="186">
        <f t="shared" ca="1" si="82"/>
        <v>-9.4999224162267276E-3</v>
      </c>
    </row>
    <row r="2564" spans="2:8">
      <c r="B2564" s="36">
        <v>42298</v>
      </c>
      <c r="C2564" s="185">
        <v>856.95</v>
      </c>
      <c r="D2564" s="185">
        <f t="shared" ref="D2564:D2627" si="83">(C2564-C2565)/C2565</f>
        <v>-0.74305118287307714</v>
      </c>
      <c r="E2564" s="185">
        <v>-1.9564098163720508E-2</v>
      </c>
      <c r="F2564" s="171"/>
      <c r="G2564" s="171">
        <v>2561</v>
      </c>
      <c r="H2564" s="186">
        <f t="shared" ca="1" si="82"/>
        <v>-1.9707194969485548E-2</v>
      </c>
    </row>
    <row r="2565" spans="2:8">
      <c r="B2565" s="36">
        <v>44820</v>
      </c>
      <c r="C2565" s="185">
        <v>3335.1</v>
      </c>
      <c r="D2565" s="185">
        <f t="shared" si="83"/>
        <v>2.1885845403699982</v>
      </c>
      <c r="E2565" s="185">
        <v>-1.9650494569291115E-2</v>
      </c>
      <c r="F2565" s="171"/>
      <c r="G2565" s="171">
        <v>2562</v>
      </c>
      <c r="H2565" s="186">
        <f t="shared" ref="H2565:H2628" ca="1" si="84">_xlfn.NORM.INV(RAND(),N$6,N$7)</f>
        <v>1.6521693478480742E-2</v>
      </c>
    </row>
    <row r="2566" spans="2:8">
      <c r="B2566" s="36">
        <v>42821</v>
      </c>
      <c r="C2566" s="185">
        <v>1045.95</v>
      </c>
      <c r="D2566" s="185">
        <f t="shared" si="83"/>
        <v>-0.56697509780786182</v>
      </c>
      <c r="E2566" s="185">
        <v>-1.9682271896527485E-2</v>
      </c>
      <c r="F2566" s="171"/>
      <c r="G2566" s="171">
        <v>2563</v>
      </c>
      <c r="H2566" s="186">
        <f t="shared" ca="1" si="84"/>
        <v>1.4019139795917649E-2</v>
      </c>
    </row>
    <row r="2567" spans="2:8">
      <c r="B2567" s="36">
        <v>44231</v>
      </c>
      <c r="C2567" s="185">
        <v>2415.4499999999998</v>
      </c>
      <c r="D2567" s="185">
        <f t="shared" si="83"/>
        <v>2.8113560909168181E-2</v>
      </c>
      <c r="E2567" s="185">
        <v>-1.9683840987033019E-2</v>
      </c>
      <c r="F2567" s="171"/>
      <c r="G2567" s="171">
        <v>2564</v>
      </c>
      <c r="H2567" s="186">
        <f t="shared" ca="1" si="84"/>
        <v>-1.0818097720344474E-2</v>
      </c>
    </row>
    <row r="2568" spans="2:8">
      <c r="B2568" s="36">
        <v>45926</v>
      </c>
      <c r="C2568" s="185">
        <v>2349.4</v>
      </c>
      <c r="D2568" s="185">
        <f t="shared" si="83"/>
        <v>-0.26006645355337543</v>
      </c>
      <c r="E2568" s="185">
        <v>-1.969456730368014E-2</v>
      </c>
      <c r="F2568" s="171"/>
      <c r="G2568" s="171">
        <v>2565</v>
      </c>
      <c r="H2568" s="186">
        <f t="shared" ca="1" si="84"/>
        <v>4.0870682446187429E-3</v>
      </c>
    </row>
    <row r="2569" spans="2:8">
      <c r="B2569" s="36">
        <v>44599</v>
      </c>
      <c r="C2569" s="185">
        <v>3175.15</v>
      </c>
      <c r="D2569" s="185">
        <f t="shared" si="83"/>
        <v>1.8026745520346013</v>
      </c>
      <c r="E2569" s="185">
        <v>-1.9712874343933286E-2</v>
      </c>
      <c r="F2569" s="171"/>
      <c r="G2569" s="171">
        <v>2566</v>
      </c>
      <c r="H2569" s="186">
        <f t="shared" ca="1" si="84"/>
        <v>1.5014812686488903E-2</v>
      </c>
    </row>
    <row r="2570" spans="2:8">
      <c r="B2570" s="36">
        <v>43130</v>
      </c>
      <c r="C2570" s="185">
        <v>1132.9000000000001</v>
      </c>
      <c r="D2570" s="185">
        <f t="shared" si="83"/>
        <v>-0.4767688897099574</v>
      </c>
      <c r="E2570" s="185">
        <v>-1.9728303192870084E-2</v>
      </c>
      <c r="F2570" s="171"/>
      <c r="G2570" s="171">
        <v>2567</v>
      </c>
      <c r="H2570" s="186">
        <f t="shared" ca="1" si="84"/>
        <v>1.79847408555045E-2</v>
      </c>
    </row>
    <row r="2571" spans="2:8">
      <c r="B2571" s="36">
        <v>46111</v>
      </c>
      <c r="C2571" s="185">
        <v>2165.1999999999998</v>
      </c>
      <c r="D2571" s="185">
        <f t="shared" si="83"/>
        <v>1.7034586090648018</v>
      </c>
      <c r="E2571" s="185">
        <v>-1.973922491850795E-2</v>
      </c>
      <c r="F2571" s="171"/>
      <c r="G2571" s="171">
        <v>2568</v>
      </c>
      <c r="H2571" s="186">
        <f t="shared" ca="1" si="84"/>
        <v>-8.6003794804384963E-3</v>
      </c>
    </row>
    <row r="2572" spans="2:8">
      <c r="B2572" s="36">
        <v>42318</v>
      </c>
      <c r="C2572" s="185">
        <v>800.9</v>
      </c>
      <c r="D2572" s="185">
        <f t="shared" si="83"/>
        <v>-0.28481493057105861</v>
      </c>
      <c r="E2572" s="185">
        <v>-1.9766232176733345E-2</v>
      </c>
      <c r="F2572" s="171"/>
      <c r="G2572" s="171">
        <v>2569</v>
      </c>
      <c r="H2572" s="186">
        <f t="shared" ca="1" si="84"/>
        <v>3.8270682728370434E-2</v>
      </c>
    </row>
    <row r="2573" spans="2:8">
      <c r="B2573" s="36">
        <v>43150</v>
      </c>
      <c r="C2573" s="185">
        <v>1119.8499999999999</v>
      </c>
      <c r="D2573" s="185">
        <f t="shared" si="83"/>
        <v>0.28268713132123013</v>
      </c>
      <c r="E2573" s="185">
        <v>-1.9782047354370114E-2</v>
      </c>
      <c r="F2573" s="171"/>
      <c r="G2573" s="171">
        <v>2570</v>
      </c>
      <c r="H2573" s="186">
        <f t="shared" ca="1" si="84"/>
        <v>4.0527849157100124E-3</v>
      </c>
    </row>
    <row r="2574" spans="2:8">
      <c r="B2574" s="36">
        <v>42488</v>
      </c>
      <c r="C2574" s="185">
        <v>873.05</v>
      </c>
      <c r="D2574" s="185">
        <f t="shared" si="83"/>
        <v>-0.69367204084138878</v>
      </c>
      <c r="E2574" s="185">
        <v>-1.9980917101644572E-2</v>
      </c>
      <c r="F2574" s="171"/>
      <c r="G2574" s="171">
        <v>2571</v>
      </c>
      <c r="H2574" s="186">
        <f t="shared" ca="1" si="84"/>
        <v>-4.4902570606926064E-3</v>
      </c>
    </row>
    <row r="2575" spans="2:8">
      <c r="B2575" s="36">
        <v>45603</v>
      </c>
      <c r="C2575" s="185">
        <v>2850.05</v>
      </c>
      <c r="D2575" s="185">
        <f t="shared" si="83"/>
        <v>-3.3324288573076011E-2</v>
      </c>
      <c r="E2575" s="185">
        <v>-2.0028882852525531E-2</v>
      </c>
      <c r="F2575" s="171"/>
      <c r="G2575" s="171">
        <v>2572</v>
      </c>
      <c r="H2575" s="186">
        <f t="shared" ca="1" si="84"/>
        <v>3.4383874528015557E-2</v>
      </c>
    </row>
    <row r="2576" spans="2:8">
      <c r="B2576" s="36">
        <v>45231</v>
      </c>
      <c r="C2576" s="185">
        <v>2948.3</v>
      </c>
      <c r="D2576" s="185">
        <f t="shared" si="83"/>
        <v>2.2189092674132372E-2</v>
      </c>
      <c r="E2576" s="185">
        <v>-2.0107684126562084E-2</v>
      </c>
      <c r="F2576" s="171"/>
      <c r="G2576" s="171">
        <v>2573</v>
      </c>
      <c r="H2576" s="186">
        <f t="shared" ca="1" si="84"/>
        <v>-1.2233857345417534E-2</v>
      </c>
    </row>
    <row r="2577" spans="2:8">
      <c r="B2577" s="36">
        <v>45449</v>
      </c>
      <c r="C2577" s="185">
        <v>2884.3</v>
      </c>
      <c r="D2577" s="185">
        <f t="shared" si="83"/>
        <v>0.18754117259552042</v>
      </c>
      <c r="E2577" s="185">
        <v>-2.0145400190243148E-2</v>
      </c>
      <c r="F2577" s="171"/>
      <c r="G2577" s="171">
        <v>2574</v>
      </c>
      <c r="H2577" s="186">
        <f t="shared" ca="1" si="84"/>
        <v>-6.7436728499505614E-3</v>
      </c>
    </row>
    <row r="2578" spans="2:8">
      <c r="B2578" s="36">
        <v>45617</v>
      </c>
      <c r="C2578" s="185">
        <v>2428.8000000000002</v>
      </c>
      <c r="D2578" s="185">
        <f t="shared" si="83"/>
        <v>-0.13896766874645489</v>
      </c>
      <c r="E2578" s="185">
        <v>-2.0171050508310473E-2</v>
      </c>
      <c r="F2578" s="171"/>
      <c r="G2578" s="171">
        <v>2575</v>
      </c>
      <c r="H2578" s="186">
        <f t="shared" ca="1" si="84"/>
        <v>2.7277017152811394E-3</v>
      </c>
    </row>
    <row r="2579" spans="2:8">
      <c r="B2579" s="36">
        <v>45427</v>
      </c>
      <c r="C2579" s="185">
        <v>2820.8</v>
      </c>
      <c r="D2579" s="185">
        <f t="shared" si="83"/>
        <v>0.6722293031389871</v>
      </c>
      <c r="E2579" s="185">
        <v>-2.0215352552969718E-2</v>
      </c>
      <c r="F2579" s="171"/>
      <c r="G2579" s="171">
        <v>2576</v>
      </c>
      <c r="H2579" s="186">
        <f t="shared" ca="1" si="84"/>
        <v>-3.5390328636989822E-3</v>
      </c>
    </row>
    <row r="2580" spans="2:8">
      <c r="B2580" s="36">
        <v>43791</v>
      </c>
      <c r="C2580" s="185">
        <v>1686.85</v>
      </c>
      <c r="D2580" s="185">
        <f t="shared" si="83"/>
        <v>0.3023354564755838</v>
      </c>
      <c r="E2580" s="185">
        <v>-2.0469194588003021E-2</v>
      </c>
      <c r="F2580" s="171"/>
      <c r="G2580" s="171">
        <v>2577</v>
      </c>
      <c r="H2580" s="186">
        <f t="shared" ca="1" si="84"/>
        <v>-3.0753750693137884E-2</v>
      </c>
    </row>
    <row r="2581" spans="2:8">
      <c r="B2581" s="36">
        <v>43353</v>
      </c>
      <c r="C2581" s="185">
        <v>1295.25</v>
      </c>
      <c r="D2581" s="185">
        <f t="shared" si="83"/>
        <v>-0.28033670407823091</v>
      </c>
      <c r="E2581" s="185">
        <v>-2.0493817824327833E-2</v>
      </c>
      <c r="F2581" s="171"/>
      <c r="G2581" s="171">
        <v>2578</v>
      </c>
      <c r="H2581" s="186">
        <f t="shared" ca="1" si="84"/>
        <v>8.3293786414133739E-3</v>
      </c>
    </row>
    <row r="2582" spans="2:8">
      <c r="B2582" s="36">
        <v>43903</v>
      </c>
      <c r="C2582" s="185">
        <v>1799.8</v>
      </c>
      <c r="D2582" s="185">
        <f t="shared" si="83"/>
        <v>1.6692557548368847E-2</v>
      </c>
      <c r="E2582" s="185">
        <v>-2.0517006802721113E-2</v>
      </c>
      <c r="F2582" s="171"/>
      <c r="G2582" s="171">
        <v>2579</v>
      </c>
      <c r="H2582" s="186">
        <f t="shared" ca="1" si="84"/>
        <v>1.3447967700268315E-2</v>
      </c>
    </row>
    <row r="2583" spans="2:8">
      <c r="B2583" s="36">
        <v>43754</v>
      </c>
      <c r="C2583" s="185">
        <v>1770.25</v>
      </c>
      <c r="D2583" s="185">
        <f t="shared" si="83"/>
        <v>-0.26815908057381455</v>
      </c>
      <c r="E2583" s="185">
        <v>-2.0527291338146961E-2</v>
      </c>
      <c r="F2583" s="171"/>
      <c r="G2583" s="171">
        <v>2580</v>
      </c>
      <c r="H2583" s="186">
        <f t="shared" ca="1" si="84"/>
        <v>8.9919484252060557E-3</v>
      </c>
    </row>
    <row r="2584" spans="2:8">
      <c r="B2584" s="36">
        <v>44246</v>
      </c>
      <c r="C2584" s="185">
        <v>2418.9</v>
      </c>
      <c r="D2584" s="185">
        <f t="shared" si="83"/>
        <v>1.8692248383844376</v>
      </c>
      <c r="E2584" s="185">
        <v>-2.0569299914969322E-2</v>
      </c>
      <c r="F2584" s="171"/>
      <c r="G2584" s="171">
        <v>2581</v>
      </c>
      <c r="H2584" s="186">
        <f t="shared" ca="1" si="84"/>
        <v>5.2925520775510349E-3</v>
      </c>
    </row>
    <row r="2585" spans="2:8">
      <c r="B2585" s="36">
        <v>42416</v>
      </c>
      <c r="C2585" s="185">
        <v>843.05</v>
      </c>
      <c r="D2585" s="185">
        <f t="shared" si="83"/>
        <v>-0.74335986849114899</v>
      </c>
      <c r="E2585" s="185">
        <v>-2.0620353159851303E-2</v>
      </c>
      <c r="F2585" s="171"/>
      <c r="G2585" s="171">
        <v>2582</v>
      </c>
      <c r="H2585" s="186">
        <f t="shared" ca="1" si="84"/>
        <v>-8.8797536285286464E-3</v>
      </c>
    </row>
    <row r="2586" spans="2:8">
      <c r="B2586" s="36">
        <v>44844</v>
      </c>
      <c r="C2586" s="185">
        <v>3284.95</v>
      </c>
      <c r="D2586" s="185">
        <f t="shared" si="83"/>
        <v>0.18808998517125383</v>
      </c>
      <c r="E2586" s="185">
        <v>-2.0631158415694073E-2</v>
      </c>
      <c r="F2586" s="171"/>
      <c r="G2586" s="171">
        <v>2583</v>
      </c>
      <c r="H2586" s="186">
        <f t="shared" ca="1" si="84"/>
        <v>-1.1020183304739929E-2</v>
      </c>
    </row>
    <row r="2587" spans="2:8">
      <c r="B2587" s="36">
        <v>46038</v>
      </c>
      <c r="C2587" s="185">
        <v>2764.9</v>
      </c>
      <c r="D2587" s="185">
        <f t="shared" si="83"/>
        <v>2.2155608536372626</v>
      </c>
      <c r="E2587" s="185">
        <v>-2.0650325871351561E-2</v>
      </c>
      <c r="F2587" s="171"/>
      <c r="G2587" s="171">
        <v>2584</v>
      </c>
      <c r="H2587" s="186">
        <f t="shared" ca="1" si="84"/>
        <v>6.6796674160277082E-3</v>
      </c>
    </row>
    <row r="2588" spans="2:8">
      <c r="B2588" s="36">
        <v>42396</v>
      </c>
      <c r="C2588" s="185">
        <v>859.85</v>
      </c>
      <c r="D2588" s="185">
        <f t="shared" si="83"/>
        <v>3.5597572362279042E-3</v>
      </c>
      <c r="E2588" s="185">
        <v>-2.0839264362580375E-2</v>
      </c>
      <c r="F2588" s="171"/>
      <c r="G2588" s="171">
        <v>2585</v>
      </c>
      <c r="H2588" s="186">
        <f t="shared" ca="1" si="84"/>
        <v>5.2521370096211438E-3</v>
      </c>
    </row>
    <row r="2589" spans="2:8">
      <c r="B2589" s="36">
        <v>42286</v>
      </c>
      <c r="C2589" s="185">
        <v>856.8</v>
      </c>
      <c r="D2589" s="185">
        <f t="shared" si="83"/>
        <v>-0.71407118185913798</v>
      </c>
      <c r="E2589" s="185">
        <v>-2.0855951088509229E-2</v>
      </c>
      <c r="F2589" s="171"/>
      <c r="G2589" s="171">
        <v>2586</v>
      </c>
      <c r="H2589" s="186">
        <f t="shared" ca="1" si="84"/>
        <v>-1.327888382114299E-2</v>
      </c>
    </row>
    <row r="2590" spans="2:8">
      <c r="B2590" s="36">
        <v>44697</v>
      </c>
      <c r="C2590" s="185">
        <v>2996.55</v>
      </c>
      <c r="D2590" s="185">
        <f t="shared" si="83"/>
        <v>1.151303036829636</v>
      </c>
      <c r="E2590" s="185">
        <v>-2.1023228462216964E-2</v>
      </c>
      <c r="F2590" s="171"/>
      <c r="G2590" s="171">
        <v>2587</v>
      </c>
      <c r="H2590" s="186">
        <f t="shared" ca="1" si="84"/>
        <v>4.2279064206167801E-3</v>
      </c>
    </row>
    <row r="2591" spans="2:8">
      <c r="B2591" s="36">
        <v>43592</v>
      </c>
      <c r="C2591" s="185">
        <v>1392.9</v>
      </c>
      <c r="D2591" s="185">
        <f t="shared" si="83"/>
        <v>2.3062798384135212E-2</v>
      </c>
      <c r="E2591" s="185">
        <v>-2.1049302456337505E-2</v>
      </c>
      <c r="F2591" s="171"/>
      <c r="G2591" s="171">
        <v>2588</v>
      </c>
      <c r="H2591" s="186">
        <f t="shared" ca="1" si="84"/>
        <v>-1.4249009959032164E-2</v>
      </c>
    </row>
    <row r="2592" spans="2:8">
      <c r="B2592" s="36">
        <v>43594</v>
      </c>
      <c r="C2592" s="185">
        <v>1361.5</v>
      </c>
      <c r="D2592" s="185">
        <f t="shared" si="83"/>
        <v>-0.55662297484327938</v>
      </c>
      <c r="E2592" s="185">
        <v>-2.1172579891441133E-2</v>
      </c>
      <c r="F2592" s="171"/>
      <c r="G2592" s="171">
        <v>2589</v>
      </c>
      <c r="H2592" s="186">
        <f t="shared" ca="1" si="84"/>
        <v>-5.414055292951768E-3</v>
      </c>
    </row>
    <row r="2593" spans="2:8">
      <c r="B2593" s="36">
        <v>44911</v>
      </c>
      <c r="C2593" s="185">
        <v>3070.75</v>
      </c>
      <c r="D2593" s="185">
        <f t="shared" si="83"/>
        <v>1.5931008275629115</v>
      </c>
      <c r="E2593" s="185">
        <v>-2.118130817289297E-2</v>
      </c>
      <c r="F2593" s="171"/>
      <c r="G2593" s="171">
        <v>2590</v>
      </c>
      <c r="H2593" s="186">
        <f t="shared" ca="1" si="84"/>
        <v>-1.2224673083541878E-2</v>
      </c>
    </row>
    <row r="2594" spans="2:8">
      <c r="B2594" s="36">
        <v>42660</v>
      </c>
      <c r="C2594" s="185">
        <v>1184.2</v>
      </c>
      <c r="D2594" s="185">
        <f t="shared" si="83"/>
        <v>-0.52908895693323255</v>
      </c>
      <c r="E2594" s="185">
        <v>-2.1362753605222849E-2</v>
      </c>
      <c r="F2594" s="171"/>
      <c r="G2594" s="171">
        <v>2591</v>
      </c>
      <c r="H2594" s="186">
        <f t="shared" ca="1" si="84"/>
        <v>-9.9016534335593775E-3</v>
      </c>
    </row>
    <row r="2595" spans="2:8">
      <c r="B2595" s="36">
        <v>46154</v>
      </c>
      <c r="C2595" s="185">
        <v>2514.6999999999998</v>
      </c>
      <c r="D2595" s="185">
        <f t="shared" si="83"/>
        <v>2.3517219387753649E-3</v>
      </c>
      <c r="E2595" s="185">
        <v>-2.1403276647079427E-2</v>
      </c>
      <c r="F2595" s="171"/>
      <c r="G2595" s="171">
        <v>2592</v>
      </c>
      <c r="H2595" s="186">
        <f t="shared" ca="1" si="84"/>
        <v>2.4966608300363746E-3</v>
      </c>
    </row>
    <row r="2596" spans="2:8">
      <c r="B2596" s="36">
        <v>45891</v>
      </c>
      <c r="C2596" s="185">
        <v>2508.8000000000002</v>
      </c>
      <c r="D2596" s="185">
        <f t="shared" si="83"/>
        <v>1.8838438990746595</v>
      </c>
      <c r="E2596" s="185">
        <v>-2.1452531398705045E-2</v>
      </c>
      <c r="F2596" s="171"/>
      <c r="G2596" s="171">
        <v>2593</v>
      </c>
      <c r="H2596" s="186">
        <f t="shared" ca="1" si="84"/>
        <v>-7.1548446837315155E-3</v>
      </c>
    </row>
    <row r="2597" spans="2:8">
      <c r="B2597" s="36">
        <v>42445</v>
      </c>
      <c r="C2597" s="185">
        <v>869.95</v>
      </c>
      <c r="D2597" s="185">
        <f t="shared" si="83"/>
        <v>-0.23101741359497915</v>
      </c>
      <c r="E2597" s="185">
        <v>-2.1483606096394926E-2</v>
      </c>
      <c r="F2597" s="171"/>
      <c r="G2597" s="171">
        <v>2594</v>
      </c>
      <c r="H2597" s="186">
        <f t="shared" ca="1" si="84"/>
        <v>1.3372307426281545E-2</v>
      </c>
    </row>
    <row r="2598" spans="2:8">
      <c r="B2598" s="36">
        <v>42667</v>
      </c>
      <c r="C2598" s="185">
        <v>1131.3</v>
      </c>
      <c r="D2598" s="185">
        <f t="shared" si="83"/>
        <v>0.35008055373232283</v>
      </c>
      <c r="E2598" s="185">
        <v>-2.2043568464730292E-2</v>
      </c>
      <c r="F2598" s="171"/>
      <c r="G2598" s="171">
        <v>2595</v>
      </c>
      <c r="H2598" s="186">
        <f t="shared" ca="1" si="84"/>
        <v>-1.6278020435025378E-2</v>
      </c>
    </row>
    <row r="2599" spans="2:8">
      <c r="B2599" s="36">
        <v>42418</v>
      </c>
      <c r="C2599" s="185">
        <v>837.95</v>
      </c>
      <c r="D2599" s="185">
        <f t="shared" si="83"/>
        <v>-0.28499509364733988</v>
      </c>
      <c r="E2599" s="185">
        <v>-2.2057536324910983E-2</v>
      </c>
      <c r="F2599" s="171"/>
      <c r="G2599" s="171">
        <v>2596</v>
      </c>
      <c r="H2599" s="186">
        <f t="shared" ca="1" si="84"/>
        <v>2.9185475304249604E-2</v>
      </c>
    </row>
    <row r="2600" spans="2:8">
      <c r="B2600" s="36">
        <v>43004</v>
      </c>
      <c r="C2600" s="185">
        <v>1171.95</v>
      </c>
      <c r="D2600" s="185">
        <f t="shared" si="83"/>
        <v>-0.17598875021972224</v>
      </c>
      <c r="E2600" s="185">
        <v>-2.2071094793057446E-2</v>
      </c>
      <c r="F2600" s="171"/>
      <c r="G2600" s="171">
        <v>2597</v>
      </c>
      <c r="H2600" s="186">
        <f t="shared" ca="1" si="84"/>
        <v>-4.7455945159169788E-2</v>
      </c>
    </row>
    <row r="2601" spans="2:8">
      <c r="B2601" s="36">
        <v>43620</v>
      </c>
      <c r="C2601" s="185">
        <v>1422.25</v>
      </c>
      <c r="D2601" s="185">
        <f t="shared" si="83"/>
        <v>7.3881227131997922E-4</v>
      </c>
      <c r="E2601" s="185">
        <v>-2.2138952868782043E-2</v>
      </c>
      <c r="F2601" s="171"/>
      <c r="G2601" s="171">
        <v>2598</v>
      </c>
      <c r="H2601" s="186">
        <f t="shared" ca="1" si="84"/>
        <v>2.2437816591274713E-2</v>
      </c>
    </row>
    <row r="2602" spans="2:8">
      <c r="B2602" s="36">
        <v>43565</v>
      </c>
      <c r="C2602" s="185">
        <v>1421.2</v>
      </c>
      <c r="D2602" s="185">
        <f t="shared" si="83"/>
        <v>0.6828892835997632</v>
      </c>
      <c r="E2602" s="185">
        <v>-2.2222222222222192E-2</v>
      </c>
      <c r="F2602" s="171"/>
      <c r="G2602" s="171">
        <v>2599</v>
      </c>
      <c r="H2602" s="186">
        <f t="shared" ca="1" si="84"/>
        <v>1.5738444653704883E-2</v>
      </c>
    </row>
    <row r="2603" spans="2:8">
      <c r="B2603" s="36">
        <v>42338</v>
      </c>
      <c r="C2603" s="185">
        <v>844.5</v>
      </c>
      <c r="D2603" s="185">
        <f t="shared" si="83"/>
        <v>-0.71075300121589913</v>
      </c>
      <c r="E2603" s="185">
        <v>-2.2229940951719398E-2</v>
      </c>
      <c r="F2603" s="171"/>
      <c r="G2603" s="171">
        <v>2600</v>
      </c>
      <c r="H2603" s="186">
        <f t="shared" ca="1" si="84"/>
        <v>1.6636363883395417E-2</v>
      </c>
    </row>
    <row r="2604" spans="2:8">
      <c r="B2604" s="36">
        <v>44494</v>
      </c>
      <c r="C2604" s="185">
        <v>2919.65</v>
      </c>
      <c r="D2604" s="185">
        <f t="shared" si="83"/>
        <v>-6.5667152023297065E-2</v>
      </c>
      <c r="E2604" s="185">
        <v>-2.2253106058068992E-2</v>
      </c>
      <c r="F2604" s="171"/>
      <c r="G2604" s="171">
        <v>2601</v>
      </c>
      <c r="H2604" s="186">
        <f t="shared" ca="1" si="84"/>
        <v>-5.5020438074579571E-3</v>
      </c>
    </row>
    <row r="2605" spans="2:8">
      <c r="B2605" s="36">
        <v>44533</v>
      </c>
      <c r="C2605" s="185">
        <v>3124.85</v>
      </c>
      <c r="D2605" s="185">
        <f t="shared" si="83"/>
        <v>1.8164488508337089</v>
      </c>
      <c r="E2605" s="185">
        <v>-2.2277498787565984E-2</v>
      </c>
      <c r="F2605" s="171"/>
      <c r="G2605" s="171">
        <v>2602</v>
      </c>
      <c r="H2605" s="186">
        <f t="shared" ca="1" si="84"/>
        <v>6.2791837781702E-3</v>
      </c>
    </row>
    <row r="2606" spans="2:8">
      <c r="B2606" s="36">
        <v>42914</v>
      </c>
      <c r="C2606" s="185">
        <v>1109.5</v>
      </c>
      <c r="D2606" s="185">
        <f t="shared" si="83"/>
        <v>-0.64698770263605843</v>
      </c>
      <c r="E2606" s="185">
        <v>-2.2294677476207222E-2</v>
      </c>
      <c r="F2606" s="171"/>
      <c r="G2606" s="171">
        <v>2603</v>
      </c>
      <c r="H2606" s="186">
        <f t="shared" ca="1" si="84"/>
        <v>-4.5475715785631334E-3</v>
      </c>
    </row>
    <row r="2607" spans="2:8">
      <c r="B2607" s="36">
        <v>44854</v>
      </c>
      <c r="C2607" s="185">
        <v>3142.95</v>
      </c>
      <c r="D2607" s="185">
        <f t="shared" si="83"/>
        <v>7.0578216810014416E-2</v>
      </c>
      <c r="E2607" s="185">
        <v>-2.2380167345796221E-2</v>
      </c>
      <c r="F2607" s="171"/>
      <c r="G2607" s="171">
        <v>2604</v>
      </c>
      <c r="H2607" s="186">
        <f t="shared" ca="1" si="84"/>
        <v>4.8819318453000001E-3</v>
      </c>
    </row>
    <row r="2608" spans="2:8">
      <c r="B2608" s="36">
        <v>45596</v>
      </c>
      <c r="C2608" s="185">
        <v>2935.75</v>
      </c>
      <c r="D2608" s="185">
        <f t="shared" si="83"/>
        <v>2.473849248609632</v>
      </c>
      <c r="E2608" s="185">
        <v>-2.2394272394272396E-2</v>
      </c>
      <c r="F2608" s="171"/>
      <c r="G2608" s="171">
        <v>2605</v>
      </c>
      <c r="H2608" s="186">
        <f t="shared" ca="1" si="84"/>
        <v>1.6148063877466586E-2</v>
      </c>
    </row>
    <row r="2609" spans="2:8">
      <c r="B2609" s="36">
        <v>42347</v>
      </c>
      <c r="C2609" s="185">
        <v>845.1</v>
      </c>
      <c r="D2609" s="185">
        <f t="shared" si="83"/>
        <v>-0.44610847124365066</v>
      </c>
      <c r="E2609" s="185">
        <v>-2.2440717177559258E-2</v>
      </c>
      <c r="F2609" s="171"/>
      <c r="G2609" s="171">
        <v>2606</v>
      </c>
      <c r="H2609" s="186">
        <f t="shared" ca="1" si="84"/>
        <v>-1.3765055298745865E-2</v>
      </c>
    </row>
    <row r="2610" spans="2:8">
      <c r="B2610" s="36">
        <v>43965</v>
      </c>
      <c r="C2610" s="185">
        <v>1525.75</v>
      </c>
      <c r="D2610" s="185">
        <f t="shared" si="83"/>
        <v>-0.15816045023173697</v>
      </c>
      <c r="E2610" s="185">
        <v>-2.2456432598667322E-2</v>
      </c>
      <c r="F2610" s="171"/>
      <c r="G2610" s="171">
        <v>2607</v>
      </c>
      <c r="H2610" s="186">
        <f t="shared" ca="1" si="84"/>
        <v>-2.3806964591210997E-2</v>
      </c>
    </row>
    <row r="2611" spans="2:8">
      <c r="B2611" s="36">
        <v>43851</v>
      </c>
      <c r="C2611" s="185">
        <v>1812.4</v>
      </c>
      <c r="D2611" s="185">
        <f t="shared" si="83"/>
        <v>0.33142332415059694</v>
      </c>
      <c r="E2611" s="185">
        <v>-2.2490696294698138E-2</v>
      </c>
      <c r="F2611" s="171"/>
      <c r="G2611" s="171">
        <v>2608</v>
      </c>
      <c r="H2611" s="186">
        <f t="shared" ca="1" si="84"/>
        <v>-2.9678379988449705E-2</v>
      </c>
    </row>
    <row r="2612" spans="2:8">
      <c r="B2612" s="36">
        <v>43458</v>
      </c>
      <c r="C2612" s="185">
        <v>1361.25</v>
      </c>
      <c r="D2612" s="185">
        <f t="shared" si="83"/>
        <v>-0.40625477068021726</v>
      </c>
      <c r="E2612" s="185">
        <v>-2.2511848341232165E-2</v>
      </c>
      <c r="F2612" s="171"/>
      <c r="G2612" s="171">
        <v>2609</v>
      </c>
      <c r="H2612" s="186">
        <f t="shared" ca="1" si="84"/>
        <v>1.4746008587091488E-2</v>
      </c>
    </row>
    <row r="2613" spans="2:8">
      <c r="B2613" s="36">
        <v>45645</v>
      </c>
      <c r="C2613" s="185">
        <v>2292.65</v>
      </c>
      <c r="D2613" s="185">
        <f t="shared" si="83"/>
        <v>1.0388172521120498</v>
      </c>
      <c r="E2613" s="185">
        <v>-2.2532509059901902E-2</v>
      </c>
      <c r="F2613" s="171"/>
      <c r="G2613" s="171">
        <v>2610</v>
      </c>
      <c r="H2613" s="186">
        <f t="shared" ca="1" si="84"/>
        <v>4.8050340584074635E-3</v>
      </c>
    </row>
    <row r="2614" spans="2:8">
      <c r="B2614" s="36">
        <v>42874</v>
      </c>
      <c r="C2614" s="185">
        <v>1124.5</v>
      </c>
      <c r="D2614" s="185">
        <f t="shared" si="83"/>
        <v>-0.48436353631694795</v>
      </c>
      <c r="E2614" s="185">
        <v>-2.2598870056497175E-2</v>
      </c>
      <c r="F2614" s="171"/>
      <c r="G2614" s="171">
        <v>2611</v>
      </c>
      <c r="H2614" s="186">
        <f t="shared" ca="1" si="84"/>
        <v>2.3018546637480392E-2</v>
      </c>
    </row>
    <row r="2615" spans="2:8">
      <c r="B2615" s="36">
        <v>46114</v>
      </c>
      <c r="C2615" s="185">
        <v>2180.8000000000002</v>
      </c>
      <c r="D2615" s="185">
        <f t="shared" si="83"/>
        <v>1.4743858852896128</v>
      </c>
      <c r="E2615" s="185">
        <v>-2.276393618928111E-2</v>
      </c>
      <c r="F2615" s="171"/>
      <c r="G2615" s="171">
        <v>2612</v>
      </c>
      <c r="H2615" s="186">
        <f t="shared" ca="1" si="84"/>
        <v>-7.8509063190858128E-3</v>
      </c>
    </row>
    <row r="2616" spans="2:8">
      <c r="B2616" s="36">
        <v>42723</v>
      </c>
      <c r="C2616" s="185">
        <v>881.35</v>
      </c>
      <c r="D2616" s="185">
        <f t="shared" si="83"/>
        <v>-0.35782724325112025</v>
      </c>
      <c r="E2616" s="185">
        <v>-2.2785231178622856E-2</v>
      </c>
      <c r="F2616" s="171"/>
      <c r="G2616" s="171">
        <v>2613</v>
      </c>
      <c r="H2616" s="186">
        <f t="shared" ca="1" si="84"/>
        <v>4.8607314161413073E-3</v>
      </c>
    </row>
    <row r="2617" spans="2:8">
      <c r="B2617" s="36">
        <v>43490</v>
      </c>
      <c r="C2617" s="185">
        <v>1372.45</v>
      </c>
      <c r="D2617" s="185">
        <f t="shared" si="83"/>
        <v>-0.5631922342457033</v>
      </c>
      <c r="E2617" s="185">
        <v>-2.281950872196508E-2</v>
      </c>
      <c r="F2617" s="171"/>
      <c r="G2617" s="171">
        <v>2614</v>
      </c>
      <c r="H2617" s="186">
        <f t="shared" ca="1" si="84"/>
        <v>-1.6115094260980213E-2</v>
      </c>
    </row>
    <row r="2618" spans="2:8">
      <c r="B2618" s="36">
        <v>44606</v>
      </c>
      <c r="C2618" s="185">
        <v>3142</v>
      </c>
      <c r="D2618" s="185">
        <f t="shared" si="83"/>
        <v>0.98295992426633005</v>
      </c>
      <c r="E2618" s="185">
        <v>-2.2858031410356087E-2</v>
      </c>
      <c r="F2618" s="171"/>
      <c r="G2618" s="171">
        <v>2615</v>
      </c>
      <c r="H2618" s="186">
        <f t="shared" ca="1" si="84"/>
        <v>-7.1371015918334241E-3</v>
      </c>
    </row>
    <row r="2619" spans="2:8">
      <c r="B2619" s="36">
        <v>43711</v>
      </c>
      <c r="C2619" s="185">
        <v>1584.5</v>
      </c>
      <c r="D2619" s="185">
        <f t="shared" si="83"/>
        <v>-0.4034262048192771</v>
      </c>
      <c r="E2619" s="185">
        <v>-2.296901495298289E-2</v>
      </c>
      <c r="F2619" s="171"/>
      <c r="G2619" s="171">
        <v>2616</v>
      </c>
      <c r="H2619" s="186">
        <f t="shared" ca="1" si="84"/>
        <v>7.2587453217752085E-3</v>
      </c>
    </row>
    <row r="2620" spans="2:8">
      <c r="B2620" s="36">
        <v>46195</v>
      </c>
      <c r="C2620" s="185">
        <v>2656</v>
      </c>
      <c r="D2620" s="185">
        <f t="shared" si="83"/>
        <v>0.43933235788218722</v>
      </c>
      <c r="E2620" s="185">
        <v>-2.3026557787096266E-2</v>
      </c>
      <c r="F2620" s="171"/>
      <c r="G2620" s="171">
        <v>2617</v>
      </c>
      <c r="H2620" s="186">
        <f t="shared" ca="1" si="84"/>
        <v>-4.6178088718261713E-3</v>
      </c>
    </row>
    <row r="2621" spans="2:8">
      <c r="B2621" s="36">
        <v>43881</v>
      </c>
      <c r="C2621" s="185">
        <v>1845.3</v>
      </c>
      <c r="D2621" s="185">
        <f t="shared" si="83"/>
        <v>-0.43127918265452364</v>
      </c>
      <c r="E2621" s="185">
        <v>-2.3159789312088088E-2</v>
      </c>
      <c r="F2621" s="171"/>
      <c r="G2621" s="171">
        <v>2618</v>
      </c>
      <c r="H2621" s="186">
        <f t="shared" ca="1" si="84"/>
        <v>1.8463042707753236E-3</v>
      </c>
    </row>
    <row r="2622" spans="2:8">
      <c r="B2622" s="36">
        <v>44469</v>
      </c>
      <c r="C2622" s="185">
        <v>3244.65</v>
      </c>
      <c r="D2622" s="185">
        <f t="shared" si="83"/>
        <v>0.84570095850280158</v>
      </c>
      <c r="E2622" s="185">
        <v>-2.3225359744716748E-2</v>
      </c>
      <c r="F2622" s="171"/>
      <c r="G2622" s="171">
        <v>2619</v>
      </c>
      <c r="H2622" s="186">
        <f t="shared" ca="1" si="84"/>
        <v>1.2670684616609463E-2</v>
      </c>
    </row>
    <row r="2623" spans="2:8">
      <c r="B2623" s="36">
        <v>43833</v>
      </c>
      <c r="C2623" s="185">
        <v>1757.95</v>
      </c>
      <c r="D2623" s="185">
        <f t="shared" si="83"/>
        <v>2.3819923706356886E-2</v>
      </c>
      <c r="E2623" s="185">
        <v>-2.322544797888593E-2</v>
      </c>
      <c r="F2623" s="171"/>
      <c r="G2623" s="171">
        <v>2620</v>
      </c>
      <c r="H2623" s="186">
        <f t="shared" ca="1" si="84"/>
        <v>2.6638822174016787E-2</v>
      </c>
    </row>
    <row r="2624" spans="2:8">
      <c r="B2624" s="36">
        <v>43836</v>
      </c>
      <c r="C2624" s="185">
        <v>1717.05</v>
      </c>
      <c r="D2624" s="185">
        <f t="shared" si="83"/>
        <v>-2.5234175418677288E-2</v>
      </c>
      <c r="E2624" s="185">
        <v>-2.3265735658010801E-2</v>
      </c>
      <c r="F2624" s="171"/>
      <c r="G2624" s="171">
        <v>2621</v>
      </c>
      <c r="H2624" s="186">
        <f t="shared" ca="1" si="84"/>
        <v>2.7075668936560878E-2</v>
      </c>
    </row>
    <row r="2625" spans="2:8">
      <c r="B2625" s="36">
        <v>43862</v>
      </c>
      <c r="C2625" s="185">
        <v>1761.5</v>
      </c>
      <c r="D2625" s="185">
        <f t="shared" si="83"/>
        <v>-0.43580545457457204</v>
      </c>
      <c r="E2625" s="185">
        <v>-2.334220447992898E-2</v>
      </c>
      <c r="F2625" s="171"/>
      <c r="G2625" s="171">
        <v>2622</v>
      </c>
      <c r="H2625" s="186">
        <f t="shared" ca="1" si="84"/>
        <v>-5.8237256435109087E-3</v>
      </c>
    </row>
    <row r="2626" spans="2:8">
      <c r="B2626" s="36">
        <v>44872</v>
      </c>
      <c r="C2626" s="185">
        <v>3122.15</v>
      </c>
      <c r="D2626" s="185">
        <f t="shared" si="83"/>
        <v>0.10589047888920385</v>
      </c>
      <c r="E2626" s="185">
        <v>-2.3366751646151623E-2</v>
      </c>
      <c r="F2626" s="171"/>
      <c r="G2626" s="171">
        <v>2623</v>
      </c>
      <c r="H2626" s="186">
        <f t="shared" ca="1" si="84"/>
        <v>3.3130009061595238E-2</v>
      </c>
    </row>
    <row r="2627" spans="2:8">
      <c r="B2627" s="36">
        <v>46036</v>
      </c>
      <c r="C2627" s="185">
        <v>2823.2</v>
      </c>
      <c r="D2627" s="185">
        <f t="shared" si="83"/>
        <v>2.4080154514727181</v>
      </c>
      <c r="E2627" s="185">
        <v>-2.3384530233845426E-2</v>
      </c>
      <c r="F2627" s="171"/>
      <c r="G2627" s="171">
        <v>2624</v>
      </c>
      <c r="H2627" s="186">
        <f t="shared" ca="1" si="84"/>
        <v>1.0819889592364259E-2</v>
      </c>
    </row>
    <row r="2628" spans="2:8">
      <c r="B2628" s="36">
        <v>42202</v>
      </c>
      <c r="C2628" s="185">
        <v>828.4</v>
      </c>
      <c r="D2628" s="185">
        <f t="shared" ref="D2628:D2691" si="85">(C2628-C2629)/C2629</f>
        <v>-0.6656779062493694</v>
      </c>
      <c r="E2628" s="185">
        <v>-2.3573785950023574E-2</v>
      </c>
      <c r="F2628" s="171"/>
      <c r="G2628" s="171">
        <v>2625</v>
      </c>
      <c r="H2628" s="186">
        <f t="shared" ca="1" si="84"/>
        <v>-3.7056617076894782E-2</v>
      </c>
    </row>
    <row r="2629" spans="2:8">
      <c r="B2629" s="36">
        <v>45608</v>
      </c>
      <c r="C2629" s="185">
        <v>2477.85</v>
      </c>
      <c r="D2629" s="185">
        <f t="shared" si="85"/>
        <v>-0.22116925978312119</v>
      </c>
      <c r="E2629" s="185">
        <v>-2.3584348031682197E-2</v>
      </c>
      <c r="F2629" s="171"/>
      <c r="G2629" s="171">
        <v>2626</v>
      </c>
      <c r="H2629" s="186">
        <f t="shared" ref="H2629:H2692" ca="1" si="86">_xlfn.NORM.INV(RAND(),N$6,N$7)</f>
        <v>-9.6548450827494917E-3</v>
      </c>
    </row>
    <row r="2630" spans="2:8">
      <c r="B2630" s="36">
        <v>44523</v>
      </c>
      <c r="C2630" s="185">
        <v>3181.5</v>
      </c>
      <c r="D2630" s="185">
        <f t="shared" si="85"/>
        <v>0.42642575322812049</v>
      </c>
      <c r="E2630" s="185">
        <v>-2.372038787283668E-2</v>
      </c>
      <c r="F2630" s="171"/>
      <c r="G2630" s="171">
        <v>2627</v>
      </c>
      <c r="H2630" s="186">
        <f t="shared" ca="1" si="86"/>
        <v>9.0898704955284342E-3</v>
      </c>
    </row>
    <row r="2631" spans="2:8">
      <c r="B2631" s="36">
        <v>46090</v>
      </c>
      <c r="C2631" s="185">
        <v>2230.4</v>
      </c>
      <c r="D2631" s="185">
        <f t="shared" si="85"/>
        <v>-0.20701118162586885</v>
      </c>
      <c r="E2631" s="185">
        <v>-2.3809523809523846E-2</v>
      </c>
      <c r="F2631" s="171"/>
      <c r="G2631" s="171">
        <v>2628</v>
      </c>
      <c r="H2631" s="186">
        <f t="shared" ca="1" si="86"/>
        <v>1.5475847678329432E-2</v>
      </c>
    </row>
    <row r="2632" spans="2:8">
      <c r="B2632" s="36">
        <v>44718</v>
      </c>
      <c r="C2632" s="185">
        <v>2812.65</v>
      </c>
      <c r="D2632" s="185">
        <f t="shared" si="85"/>
        <v>0.17360010014186772</v>
      </c>
      <c r="E2632" s="185">
        <v>-2.3944615064286086E-2</v>
      </c>
      <c r="F2632" s="171"/>
      <c r="G2632" s="171">
        <v>2629</v>
      </c>
      <c r="H2632" s="186">
        <f t="shared" ca="1" si="86"/>
        <v>-3.0693060808184001E-3</v>
      </c>
    </row>
    <row r="2633" spans="2:8">
      <c r="B2633" s="36">
        <v>45925</v>
      </c>
      <c r="C2633" s="185">
        <v>2396.6</v>
      </c>
      <c r="D2633" s="185">
        <f t="shared" si="85"/>
        <v>0.11301520956693366</v>
      </c>
      <c r="E2633" s="185">
        <v>-2.3947218375824787E-2</v>
      </c>
      <c r="F2633" s="171"/>
      <c r="G2633" s="171">
        <v>2630</v>
      </c>
      <c r="H2633" s="186">
        <f t="shared" ca="1" si="86"/>
        <v>-3.5604740155383369E-2</v>
      </c>
    </row>
    <row r="2634" spans="2:8">
      <c r="B2634" s="36">
        <v>44160</v>
      </c>
      <c r="C2634" s="185">
        <v>2153.25</v>
      </c>
      <c r="D2634" s="185">
        <f t="shared" si="85"/>
        <v>1.0660621761658031</v>
      </c>
      <c r="E2634" s="185">
        <v>-2.4022662889518414E-2</v>
      </c>
      <c r="F2634" s="171"/>
      <c r="G2634" s="171">
        <v>2631</v>
      </c>
      <c r="H2634" s="186">
        <f t="shared" ca="1" si="86"/>
        <v>1.1727539522585161E-2</v>
      </c>
    </row>
    <row r="2635" spans="2:8">
      <c r="B2635" s="36">
        <v>42677</v>
      </c>
      <c r="C2635" s="185">
        <v>1042.2</v>
      </c>
      <c r="D2635" s="185">
        <f t="shared" si="85"/>
        <v>-0.66276210199326935</v>
      </c>
      <c r="E2635" s="185">
        <v>-2.4294340682488456E-2</v>
      </c>
      <c r="F2635" s="171"/>
      <c r="G2635" s="171">
        <v>2632</v>
      </c>
      <c r="H2635" s="186">
        <f t="shared" ca="1" si="86"/>
        <v>8.2482856245665558E-3</v>
      </c>
    </row>
    <row r="2636" spans="2:8">
      <c r="B2636" s="36">
        <v>44705</v>
      </c>
      <c r="C2636" s="185">
        <v>3090.4</v>
      </c>
      <c r="D2636" s="185">
        <f t="shared" si="85"/>
        <v>0.21211170379667407</v>
      </c>
      <c r="E2636" s="185">
        <v>-2.4294757447077153E-2</v>
      </c>
      <c r="F2636" s="171"/>
      <c r="G2636" s="171">
        <v>2633</v>
      </c>
      <c r="H2636" s="186">
        <f t="shared" ca="1" si="86"/>
        <v>-2.6645067691609511E-2</v>
      </c>
    </row>
    <row r="2637" spans="2:8">
      <c r="B2637" s="36">
        <v>44316</v>
      </c>
      <c r="C2637" s="185">
        <v>2549.6</v>
      </c>
      <c r="D2637" s="185">
        <f t="shared" si="85"/>
        <v>0.83082004882952754</v>
      </c>
      <c r="E2637" s="185">
        <v>-2.4431307275823114E-2</v>
      </c>
      <c r="F2637" s="171"/>
      <c r="G2637" s="171">
        <v>2634</v>
      </c>
      <c r="H2637" s="186">
        <f t="shared" ca="1" si="86"/>
        <v>-1.1799378223785491E-2</v>
      </c>
    </row>
    <row r="2638" spans="2:8">
      <c r="B2638" s="36">
        <v>43455</v>
      </c>
      <c r="C2638" s="185">
        <v>1392.6</v>
      </c>
      <c r="D2638" s="185">
        <f t="shared" si="85"/>
        <v>-0.59862229972186598</v>
      </c>
      <c r="E2638" s="185">
        <v>-2.4619156014708522E-2</v>
      </c>
      <c r="F2638" s="171"/>
      <c r="G2638" s="171">
        <v>2635</v>
      </c>
      <c r="H2638" s="186">
        <f t="shared" ca="1" si="86"/>
        <v>-9.4012602085104275E-3</v>
      </c>
    </row>
    <row r="2639" spans="2:8">
      <c r="B2639" s="36">
        <v>44574</v>
      </c>
      <c r="C2639" s="185">
        <v>3469.55</v>
      </c>
      <c r="D2639" s="185">
        <f t="shared" si="85"/>
        <v>1.7671172787813538</v>
      </c>
      <c r="E2639" s="185">
        <v>-2.4749831346975414E-2</v>
      </c>
      <c r="F2639" s="171"/>
      <c r="G2639" s="171">
        <v>2636</v>
      </c>
      <c r="H2639" s="186">
        <f t="shared" ca="1" si="86"/>
        <v>-6.9958569616122099E-3</v>
      </c>
    </row>
    <row r="2640" spans="2:8">
      <c r="B2640" s="36">
        <v>43376</v>
      </c>
      <c r="C2640" s="185">
        <v>1253.8499999999999</v>
      </c>
      <c r="D2640" s="185">
        <f t="shared" si="85"/>
        <v>7.5850529838259781E-2</v>
      </c>
      <c r="E2640" s="185">
        <v>-2.4848343443770453E-2</v>
      </c>
      <c r="F2640" s="171"/>
      <c r="G2640" s="171">
        <v>2637</v>
      </c>
      <c r="H2640" s="186">
        <f t="shared" ca="1" si="86"/>
        <v>-2.2063055886761104E-2</v>
      </c>
    </row>
    <row r="2641" spans="2:8">
      <c r="B2641" s="36">
        <v>42642</v>
      </c>
      <c r="C2641" s="185">
        <v>1165.45</v>
      </c>
      <c r="D2641" s="185">
        <f t="shared" si="85"/>
        <v>-0.47840583601861797</v>
      </c>
      <c r="E2641" s="185">
        <v>-2.4850437183617156E-2</v>
      </c>
      <c r="F2641" s="171"/>
      <c r="G2641" s="171">
        <v>2638</v>
      </c>
      <c r="H2641" s="186">
        <f t="shared" ca="1" si="86"/>
        <v>1.1796191063417918E-2</v>
      </c>
    </row>
    <row r="2642" spans="2:8">
      <c r="B2642" s="36">
        <v>46092</v>
      </c>
      <c r="C2642" s="185">
        <v>2234.4</v>
      </c>
      <c r="D2642" s="185">
        <f t="shared" si="85"/>
        <v>0.75722543352601168</v>
      </c>
      <c r="E2642" s="185">
        <v>-2.4960726130214619E-2</v>
      </c>
      <c r="F2642" s="171"/>
      <c r="G2642" s="171">
        <v>2639</v>
      </c>
      <c r="H2642" s="186">
        <f t="shared" ca="1" si="86"/>
        <v>-4.8711578778926632E-3</v>
      </c>
    </row>
    <row r="2643" spans="2:8">
      <c r="B2643" s="36">
        <v>43367</v>
      </c>
      <c r="C2643" s="185">
        <v>1271.55</v>
      </c>
      <c r="D2643" s="185">
        <f t="shared" si="85"/>
        <v>-0.44744046584390751</v>
      </c>
      <c r="E2643" s="185">
        <v>-2.5146624755625374E-2</v>
      </c>
      <c r="F2643" s="171"/>
      <c r="G2643" s="171">
        <v>2640</v>
      </c>
      <c r="H2643" s="186">
        <f t="shared" ca="1" si="86"/>
        <v>-1.2460261290831508E-2</v>
      </c>
    </row>
    <row r="2644" spans="2:8">
      <c r="B2644" s="36">
        <v>45691</v>
      </c>
      <c r="C2644" s="185">
        <v>2301.1999999999998</v>
      </c>
      <c r="D2644" s="185">
        <f t="shared" si="85"/>
        <v>0.25235374149659856</v>
      </c>
      <c r="E2644" s="185">
        <v>-2.516309412861141E-2</v>
      </c>
      <c r="F2644" s="171"/>
      <c r="G2644" s="171">
        <v>2641</v>
      </c>
      <c r="H2644" s="186">
        <f t="shared" ca="1" si="86"/>
        <v>-7.4555820971684795E-3</v>
      </c>
    </row>
    <row r="2645" spans="2:8">
      <c r="B2645" s="36">
        <v>43902</v>
      </c>
      <c r="C2645" s="185">
        <v>1837.5</v>
      </c>
      <c r="D2645" s="185">
        <f t="shared" si="85"/>
        <v>-0.29011570631072647</v>
      </c>
      <c r="E2645" s="185">
        <v>-2.530235518777851E-2</v>
      </c>
      <c r="F2645" s="171"/>
      <c r="G2645" s="171">
        <v>2642</v>
      </c>
      <c r="H2645" s="186">
        <f t="shared" ca="1" si="86"/>
        <v>-2.1282230588378061E-2</v>
      </c>
    </row>
    <row r="2646" spans="2:8">
      <c r="B2646" s="36">
        <v>44729</v>
      </c>
      <c r="C2646" s="185">
        <v>2588.4499999999998</v>
      </c>
      <c r="D2646" s="185">
        <f t="shared" si="85"/>
        <v>-3.3799925345278155E-2</v>
      </c>
      <c r="E2646" s="185">
        <v>-2.5304539378306731E-2</v>
      </c>
      <c r="F2646" s="171"/>
      <c r="G2646" s="171">
        <v>2643</v>
      </c>
      <c r="H2646" s="186">
        <f t="shared" ca="1" si="86"/>
        <v>3.4117344954428155E-2</v>
      </c>
    </row>
    <row r="2647" spans="2:8">
      <c r="B2647" s="36">
        <v>46042</v>
      </c>
      <c r="C2647" s="185">
        <v>2679</v>
      </c>
      <c r="D2647" s="185">
        <f t="shared" si="85"/>
        <v>-0.18634493022125712</v>
      </c>
      <c r="E2647" s="185">
        <v>-2.532198209997814E-2</v>
      </c>
      <c r="F2647" s="171"/>
      <c r="G2647" s="171">
        <v>2644</v>
      </c>
      <c r="H2647" s="186">
        <f t="shared" ca="1" si="86"/>
        <v>-9.0602211630744342E-4</v>
      </c>
    </row>
    <row r="2648" spans="2:8">
      <c r="B2648" s="36">
        <v>44580</v>
      </c>
      <c r="C2648" s="185">
        <v>3292.55</v>
      </c>
      <c r="D2648" s="185">
        <f t="shared" si="85"/>
        <v>0.17879455095501498</v>
      </c>
      <c r="E2648" s="185">
        <v>-2.5368163990231576E-2</v>
      </c>
      <c r="F2648" s="171"/>
      <c r="G2648" s="171">
        <v>2645</v>
      </c>
      <c r="H2648" s="186">
        <f t="shared" ca="1" si="86"/>
        <v>1.1055234863769385E-3</v>
      </c>
    </row>
    <row r="2649" spans="2:8">
      <c r="B2649" s="36">
        <v>44946</v>
      </c>
      <c r="C2649" s="185">
        <v>2793.15</v>
      </c>
      <c r="D2649" s="185">
        <f t="shared" si="85"/>
        <v>-0.11729292418544388</v>
      </c>
      <c r="E2649" s="185">
        <v>-2.5520706136831484E-2</v>
      </c>
      <c r="F2649" s="171"/>
      <c r="G2649" s="171">
        <v>2646</v>
      </c>
      <c r="H2649" s="186">
        <f t="shared" ca="1" si="86"/>
        <v>1.7312191469132668E-2</v>
      </c>
    </row>
    <row r="2650" spans="2:8">
      <c r="B2650" s="36">
        <v>45309</v>
      </c>
      <c r="C2650" s="185">
        <v>3164.3</v>
      </c>
      <c r="D2650" s="185">
        <f t="shared" si="85"/>
        <v>1.7942072497682018</v>
      </c>
      <c r="E2650" s="185">
        <v>-2.5574699370255662E-2</v>
      </c>
      <c r="F2650" s="171"/>
      <c r="G2650" s="171">
        <v>2647</v>
      </c>
      <c r="H2650" s="186">
        <f t="shared" ca="1" si="86"/>
        <v>-1.0995930926144329E-2</v>
      </c>
    </row>
    <row r="2651" spans="2:8">
      <c r="B2651" s="36">
        <v>43006</v>
      </c>
      <c r="C2651" s="185">
        <v>1132.45</v>
      </c>
      <c r="D2651" s="185">
        <f t="shared" si="85"/>
        <v>0.40843231142341907</v>
      </c>
      <c r="E2651" s="185">
        <v>-2.5598003785923248E-2</v>
      </c>
      <c r="F2651" s="171"/>
      <c r="G2651" s="171">
        <v>2648</v>
      </c>
      <c r="H2651" s="186">
        <f t="shared" ca="1" si="86"/>
        <v>-1.1863197275924204E-2</v>
      </c>
    </row>
    <row r="2652" spans="2:8">
      <c r="B2652" s="36">
        <v>42193</v>
      </c>
      <c r="C2652" s="185">
        <v>804.05</v>
      </c>
      <c r="D2652" s="185">
        <f t="shared" si="85"/>
        <v>-0.47914102481052023</v>
      </c>
      <c r="E2652" s="185">
        <v>-2.5689185095425685E-2</v>
      </c>
      <c r="F2652" s="171"/>
      <c r="G2652" s="171">
        <v>2649</v>
      </c>
      <c r="H2652" s="186">
        <f t="shared" ca="1" si="86"/>
        <v>1.7498181867912532E-2</v>
      </c>
    </row>
    <row r="2653" spans="2:8">
      <c r="B2653" s="36">
        <v>43712</v>
      </c>
      <c r="C2653" s="185">
        <v>1543.7</v>
      </c>
      <c r="D2653" s="185">
        <f t="shared" si="85"/>
        <v>-0.21905195527900034</v>
      </c>
      <c r="E2653" s="185">
        <v>-2.5749447775323418E-2</v>
      </c>
      <c r="F2653" s="171"/>
      <c r="G2653" s="171">
        <v>2650</v>
      </c>
      <c r="H2653" s="186">
        <f t="shared" ca="1" si="86"/>
        <v>6.7490267736617024E-3</v>
      </c>
    </row>
    <row r="2654" spans="2:8">
      <c r="B2654" s="36">
        <v>44095</v>
      </c>
      <c r="C2654" s="185">
        <v>1976.7</v>
      </c>
      <c r="D2654" s="185">
        <f t="shared" si="85"/>
        <v>-0.36006345300916182</v>
      </c>
      <c r="E2654" s="185">
        <v>-2.5800251349153501E-2</v>
      </c>
      <c r="F2654" s="171"/>
      <c r="G2654" s="171">
        <v>2651</v>
      </c>
      <c r="H2654" s="186">
        <f t="shared" ca="1" si="86"/>
        <v>1.1119470724516561E-2</v>
      </c>
    </row>
    <row r="2655" spans="2:8">
      <c r="B2655" s="36">
        <v>45569</v>
      </c>
      <c r="C2655" s="185">
        <v>3088.9</v>
      </c>
      <c r="D2655" s="185">
        <f t="shared" si="85"/>
        <v>0.10828459689282774</v>
      </c>
      <c r="E2655" s="185">
        <v>-2.5983035348279913E-2</v>
      </c>
      <c r="F2655" s="171"/>
      <c r="G2655" s="171">
        <v>2652</v>
      </c>
      <c r="H2655" s="186">
        <f t="shared" ca="1" si="86"/>
        <v>7.3799459483499469E-3</v>
      </c>
    </row>
    <row r="2656" spans="2:8">
      <c r="B2656" s="36">
        <v>45350</v>
      </c>
      <c r="C2656" s="185">
        <v>2787.1</v>
      </c>
      <c r="D2656" s="185">
        <f t="shared" si="85"/>
        <v>0.26181637088011578</v>
      </c>
      <c r="E2656" s="185">
        <v>-2.6051403910331516E-2</v>
      </c>
      <c r="F2656" s="171"/>
      <c r="G2656" s="171">
        <v>2653</v>
      </c>
      <c r="H2656" s="186">
        <f t="shared" ca="1" si="86"/>
        <v>1.334157799944808E-2</v>
      </c>
    </row>
    <row r="2657" spans="2:8">
      <c r="B2657" s="36">
        <v>46108</v>
      </c>
      <c r="C2657" s="185">
        <v>2208.8000000000002</v>
      </c>
      <c r="D2657" s="185">
        <f t="shared" si="85"/>
        <v>-0.3462574362920649</v>
      </c>
      <c r="E2657" s="185">
        <v>-2.6102292768959357E-2</v>
      </c>
      <c r="F2657" s="171"/>
      <c r="G2657" s="171">
        <v>2654</v>
      </c>
      <c r="H2657" s="186">
        <f t="shared" ca="1" si="86"/>
        <v>2.2485301543296345E-2</v>
      </c>
    </row>
    <row r="2658" spans="2:8">
      <c r="B2658" s="36">
        <v>44575</v>
      </c>
      <c r="C2658" s="185">
        <v>3378.7</v>
      </c>
      <c r="D2658" s="185">
        <f t="shared" si="85"/>
        <v>1.5976012916122087</v>
      </c>
      <c r="E2658" s="185">
        <v>-2.6184951939012366E-2</v>
      </c>
      <c r="F2658" s="171"/>
      <c r="G2658" s="171">
        <v>2655</v>
      </c>
      <c r="H2658" s="186">
        <f t="shared" ca="1" si="86"/>
        <v>-3.5459572063593183E-3</v>
      </c>
    </row>
    <row r="2659" spans="2:8">
      <c r="B2659" s="36">
        <v>43440</v>
      </c>
      <c r="C2659" s="185">
        <v>1300.7</v>
      </c>
      <c r="D2659" s="185">
        <f t="shared" si="85"/>
        <v>-0.5725459265831937</v>
      </c>
      <c r="E2659" s="185">
        <v>-2.6203488807366924E-2</v>
      </c>
      <c r="F2659" s="171"/>
      <c r="G2659" s="171">
        <v>2656</v>
      </c>
      <c r="H2659" s="186">
        <f t="shared" ca="1" si="86"/>
        <v>1.1666133564847479E-3</v>
      </c>
    </row>
    <row r="2660" spans="2:8">
      <c r="B2660" s="36">
        <v>44536</v>
      </c>
      <c r="C2660" s="185">
        <v>3042.9</v>
      </c>
      <c r="D2660" s="185">
        <f t="shared" si="85"/>
        <v>-6.4471499723298228E-2</v>
      </c>
      <c r="E2660" s="185">
        <v>-2.6225258812422939E-2</v>
      </c>
      <c r="F2660" s="171"/>
      <c r="G2660" s="171">
        <v>2657</v>
      </c>
      <c r="H2660" s="186">
        <f t="shared" ca="1" si="86"/>
        <v>1.0906743560571525E-2</v>
      </c>
    </row>
    <row r="2661" spans="2:8">
      <c r="B2661" s="36">
        <v>45148</v>
      </c>
      <c r="C2661" s="185">
        <v>3252.6</v>
      </c>
      <c r="D2661" s="185">
        <f t="shared" si="85"/>
        <v>0.84038249356381023</v>
      </c>
      <c r="E2661" s="185">
        <v>-2.6546553736569677E-2</v>
      </c>
      <c r="F2661" s="171"/>
      <c r="G2661" s="171">
        <v>2658</v>
      </c>
      <c r="H2661" s="186">
        <f t="shared" ca="1" si="86"/>
        <v>4.7426466374007681E-3</v>
      </c>
    </row>
    <row r="2662" spans="2:8">
      <c r="B2662" s="36">
        <v>43950</v>
      </c>
      <c r="C2662" s="185">
        <v>1767.35</v>
      </c>
      <c r="D2662" s="185">
        <f t="shared" si="85"/>
        <v>-0.37768270568143802</v>
      </c>
      <c r="E2662" s="185">
        <v>-2.6548428850761502E-2</v>
      </c>
      <c r="F2662" s="171"/>
      <c r="G2662" s="171">
        <v>2659</v>
      </c>
      <c r="H2662" s="186">
        <f t="shared" ca="1" si="86"/>
        <v>-2.4647716547573539E-2</v>
      </c>
    </row>
    <row r="2663" spans="2:8">
      <c r="B2663" s="36">
        <v>45420</v>
      </c>
      <c r="C2663" s="185">
        <v>2839.95</v>
      </c>
      <c r="D2663" s="185">
        <f t="shared" si="85"/>
        <v>2.3117019415777507</v>
      </c>
      <c r="E2663" s="185">
        <v>-2.6914510878876197E-2</v>
      </c>
      <c r="F2663" s="171"/>
      <c r="G2663" s="171">
        <v>2660</v>
      </c>
      <c r="H2663" s="186">
        <f t="shared" ca="1" si="86"/>
        <v>-1.6546452601126034E-2</v>
      </c>
    </row>
    <row r="2664" spans="2:8">
      <c r="B2664" s="36">
        <v>42411</v>
      </c>
      <c r="C2664" s="185">
        <v>857.55</v>
      </c>
      <c r="D2664" s="185">
        <f t="shared" si="85"/>
        <v>8.4408194233687409E-2</v>
      </c>
      <c r="E2664" s="185">
        <v>-2.7004027911726406E-2</v>
      </c>
      <c r="F2664" s="171"/>
      <c r="G2664" s="171">
        <v>2661</v>
      </c>
      <c r="H2664" s="186">
        <f t="shared" ca="1" si="86"/>
        <v>2.8340182513895355E-2</v>
      </c>
    </row>
    <row r="2665" spans="2:8">
      <c r="B2665" s="36">
        <v>42254</v>
      </c>
      <c r="C2665" s="185">
        <v>790.8</v>
      </c>
      <c r="D2665" s="185">
        <f t="shared" si="85"/>
        <v>-0.66952924214881215</v>
      </c>
      <c r="E2665" s="185">
        <v>-2.7366090646331716E-2</v>
      </c>
      <c r="F2665" s="171"/>
      <c r="G2665" s="171">
        <v>2662</v>
      </c>
      <c r="H2665" s="186">
        <f t="shared" ca="1" si="86"/>
        <v>9.2219178330417203E-3</v>
      </c>
    </row>
    <row r="2666" spans="2:8">
      <c r="B2666" s="36">
        <v>44244</v>
      </c>
      <c r="C2666" s="185">
        <v>2392.9499999999998</v>
      </c>
      <c r="D2666" s="185">
        <f t="shared" si="85"/>
        <v>6.2612402584426838E-2</v>
      </c>
      <c r="E2666" s="185">
        <v>-2.7434005974516857E-2</v>
      </c>
      <c r="F2666" s="171"/>
      <c r="G2666" s="171">
        <v>2663</v>
      </c>
      <c r="H2666" s="186">
        <f t="shared" ca="1" si="86"/>
        <v>1.7428677197796071E-2</v>
      </c>
    </row>
    <row r="2667" spans="2:8">
      <c r="B2667" s="36">
        <v>45670</v>
      </c>
      <c r="C2667" s="185">
        <v>2251.9499999999998</v>
      </c>
      <c r="D2667" s="185">
        <f t="shared" si="85"/>
        <v>-0.17666307149516489</v>
      </c>
      <c r="E2667" s="185">
        <v>-2.74874762480567E-2</v>
      </c>
      <c r="F2667" s="171"/>
      <c r="G2667" s="171">
        <v>2664</v>
      </c>
      <c r="H2667" s="186">
        <f t="shared" ca="1" si="86"/>
        <v>-1.6686984903184085E-2</v>
      </c>
    </row>
    <row r="2668" spans="2:8">
      <c r="B2668" s="36">
        <v>44719</v>
      </c>
      <c r="C2668" s="185">
        <v>2735.15</v>
      </c>
      <c r="D2668" s="185">
        <f t="shared" si="85"/>
        <v>5.1232776678132939E-2</v>
      </c>
      <c r="E2668" s="185">
        <v>-2.7554086004301991E-2</v>
      </c>
      <c r="F2668" s="171"/>
      <c r="G2668" s="171">
        <v>2665</v>
      </c>
      <c r="H2668" s="186">
        <f t="shared" ca="1" si="86"/>
        <v>-8.679431526252699E-3</v>
      </c>
    </row>
    <row r="2669" spans="2:8">
      <c r="B2669" s="36">
        <v>44211</v>
      </c>
      <c r="C2669" s="185">
        <v>2601.85</v>
      </c>
      <c r="D2669" s="185">
        <f t="shared" si="85"/>
        <v>-0.14906872925285763</v>
      </c>
      <c r="E2669" s="185">
        <v>-2.8072469181920093E-2</v>
      </c>
      <c r="F2669" s="171"/>
      <c r="G2669" s="171">
        <v>2666</v>
      </c>
      <c r="H2669" s="186">
        <f t="shared" ca="1" si="86"/>
        <v>-4.0912053865232306E-5</v>
      </c>
    </row>
    <row r="2670" spans="2:8">
      <c r="B2670" s="36">
        <v>44641</v>
      </c>
      <c r="C2670" s="185">
        <v>3057.65</v>
      </c>
      <c r="D2670" s="185">
        <f t="shared" si="85"/>
        <v>1.0013417986647468</v>
      </c>
      <c r="E2670" s="185">
        <v>-2.8083280356007601E-2</v>
      </c>
      <c r="F2670" s="171"/>
      <c r="G2670" s="171">
        <v>2667</v>
      </c>
      <c r="H2670" s="186">
        <f t="shared" ca="1" si="86"/>
        <v>-1.7263366801037187E-2</v>
      </c>
    </row>
    <row r="2671" spans="2:8">
      <c r="B2671" s="36">
        <v>43963</v>
      </c>
      <c r="C2671" s="185">
        <v>1527.8</v>
      </c>
      <c r="D2671" s="185">
        <f t="shared" si="85"/>
        <v>0.3541325060935076</v>
      </c>
      <c r="E2671" s="185">
        <v>-2.8704027464318695E-2</v>
      </c>
      <c r="F2671" s="171"/>
      <c r="G2671" s="171">
        <v>2668</v>
      </c>
      <c r="H2671" s="186">
        <f t="shared" ca="1" si="86"/>
        <v>-4.4606226978564388E-2</v>
      </c>
    </row>
    <row r="2672" spans="2:8">
      <c r="B2672" s="36">
        <v>43175</v>
      </c>
      <c r="C2672" s="185">
        <v>1128.25</v>
      </c>
      <c r="D2672" s="185">
        <f t="shared" si="85"/>
        <v>-0.37050159013557998</v>
      </c>
      <c r="E2672" s="185">
        <v>-2.87940087802359E-2</v>
      </c>
      <c r="F2672" s="171"/>
      <c r="G2672" s="171">
        <v>2669</v>
      </c>
      <c r="H2672" s="186">
        <f t="shared" ca="1" si="86"/>
        <v>-1.5530330019927319E-2</v>
      </c>
    </row>
    <row r="2673" spans="2:8">
      <c r="B2673" s="36">
        <v>43889</v>
      </c>
      <c r="C2673" s="185">
        <v>1792.3</v>
      </c>
      <c r="D2673" s="185">
        <f t="shared" si="85"/>
        <v>-0.35221194159317631</v>
      </c>
      <c r="E2673" s="185">
        <v>-2.8826876185315656E-2</v>
      </c>
      <c r="F2673" s="171"/>
      <c r="G2673" s="171">
        <v>2670</v>
      </c>
      <c r="H2673" s="186">
        <f t="shared" ca="1" si="86"/>
        <v>9.6606211623868361E-3</v>
      </c>
    </row>
    <row r="2674" spans="2:8">
      <c r="B2674" s="36">
        <v>45604</v>
      </c>
      <c r="C2674" s="185">
        <v>2766.8</v>
      </c>
      <c r="D2674" s="185">
        <f t="shared" si="85"/>
        <v>0.63498301078445862</v>
      </c>
      <c r="E2674" s="185">
        <v>-2.9210013859405973E-2</v>
      </c>
      <c r="F2674" s="171"/>
      <c r="G2674" s="171">
        <v>2671</v>
      </c>
      <c r="H2674" s="186">
        <f t="shared" ca="1" si="86"/>
        <v>2.9386742131025292E-2</v>
      </c>
    </row>
    <row r="2675" spans="2:8">
      <c r="B2675" s="36">
        <v>44020</v>
      </c>
      <c r="C2675" s="185">
        <v>1692.25</v>
      </c>
      <c r="D2675" s="185">
        <f t="shared" si="85"/>
        <v>0.79368276008267524</v>
      </c>
      <c r="E2675" s="185">
        <v>-2.942272948868685E-2</v>
      </c>
      <c r="F2675" s="171"/>
      <c r="G2675" s="171">
        <v>2672</v>
      </c>
      <c r="H2675" s="186">
        <f t="shared" ca="1" si="86"/>
        <v>-1.2378454018990218E-2</v>
      </c>
    </row>
    <row r="2676" spans="2:8">
      <c r="B2676" s="36">
        <v>42705</v>
      </c>
      <c r="C2676" s="185">
        <v>943.45</v>
      </c>
      <c r="D2676" s="185">
        <f t="shared" si="85"/>
        <v>-0.62571162200226127</v>
      </c>
      <c r="E2676" s="185">
        <v>-2.9572104505245833E-2</v>
      </c>
      <c r="F2676" s="171"/>
      <c r="G2676" s="171">
        <v>2673</v>
      </c>
      <c r="H2676" s="186">
        <f t="shared" ca="1" si="86"/>
        <v>-3.9415104672938926E-2</v>
      </c>
    </row>
    <row r="2677" spans="2:8">
      <c r="B2677" s="36">
        <v>44221</v>
      </c>
      <c r="C2677" s="185">
        <v>2520.65</v>
      </c>
      <c r="D2677" s="185">
        <f t="shared" si="85"/>
        <v>-0.12059100582632665</v>
      </c>
      <c r="E2677" s="185">
        <v>-2.9604819926469204E-2</v>
      </c>
      <c r="F2677" s="171"/>
      <c r="G2677" s="171">
        <v>2674</v>
      </c>
      <c r="H2677" s="186">
        <f t="shared" ca="1" si="86"/>
        <v>-6.4099042791682043E-3</v>
      </c>
    </row>
    <row r="2678" spans="2:8">
      <c r="B2678" s="36">
        <v>44945</v>
      </c>
      <c r="C2678" s="185">
        <v>2866.3</v>
      </c>
      <c r="D2678" s="185">
        <f t="shared" si="85"/>
        <v>2.5637200049732689</v>
      </c>
      <c r="E2678" s="185">
        <v>-2.9836348558953323E-2</v>
      </c>
      <c r="F2678" s="171"/>
      <c r="G2678" s="171">
        <v>2675</v>
      </c>
      <c r="H2678" s="186">
        <f t="shared" ca="1" si="86"/>
        <v>1.9016763344786311E-3</v>
      </c>
    </row>
    <row r="2679" spans="2:8">
      <c r="B2679" s="36">
        <v>42269</v>
      </c>
      <c r="C2679" s="185">
        <v>804.3</v>
      </c>
      <c r="D2679" s="185">
        <f t="shared" si="85"/>
        <v>-0.5787681994343773</v>
      </c>
      <c r="E2679" s="185">
        <v>-3.0028943560057995E-2</v>
      </c>
      <c r="F2679" s="171"/>
      <c r="G2679" s="171">
        <v>2676</v>
      </c>
      <c r="H2679" s="186">
        <f t="shared" ca="1" si="86"/>
        <v>-1.371794684071531E-2</v>
      </c>
    </row>
    <row r="2680" spans="2:8">
      <c r="B2680" s="36">
        <v>44074</v>
      </c>
      <c r="C2680" s="185">
        <v>1909.4</v>
      </c>
      <c r="D2680" s="185">
        <f t="shared" si="85"/>
        <v>-0.15990936489429564</v>
      </c>
      <c r="E2680" s="185">
        <v>-3.0269172168613464E-2</v>
      </c>
      <c r="F2680" s="171"/>
      <c r="G2680" s="171">
        <v>2677</v>
      </c>
      <c r="H2680" s="186">
        <f t="shared" ca="1" si="86"/>
        <v>1.8669198171908236E-2</v>
      </c>
    </row>
    <row r="2681" spans="2:8">
      <c r="B2681" s="36">
        <v>45663</v>
      </c>
      <c r="C2681" s="185">
        <v>2272.85</v>
      </c>
      <c r="D2681" s="185">
        <f t="shared" si="85"/>
        <v>-0.16005469428481678</v>
      </c>
      <c r="E2681" s="185">
        <v>-3.0622907470198187E-2</v>
      </c>
      <c r="F2681" s="171"/>
      <c r="G2681" s="171">
        <v>2678</v>
      </c>
      <c r="H2681" s="186">
        <f t="shared" ca="1" si="86"/>
        <v>-2.4355210280349482E-2</v>
      </c>
    </row>
    <row r="2682" spans="2:8">
      <c r="B2682" s="36">
        <v>44980</v>
      </c>
      <c r="C2682" s="185">
        <v>2705.95</v>
      </c>
      <c r="D2682" s="185">
        <f t="shared" si="85"/>
        <v>-0.10284634384894659</v>
      </c>
      <c r="E2682" s="185">
        <v>-3.1167203723594765E-2</v>
      </c>
      <c r="F2682" s="171"/>
      <c r="G2682" s="171">
        <v>2679</v>
      </c>
      <c r="H2682" s="186">
        <f t="shared" ca="1" si="86"/>
        <v>-1.9493822596228842E-2</v>
      </c>
    </row>
    <row r="2683" spans="2:8">
      <c r="B2683" s="36">
        <v>45512</v>
      </c>
      <c r="C2683" s="185">
        <v>3016.15</v>
      </c>
      <c r="D2683" s="185">
        <f t="shared" si="85"/>
        <v>0.319516143144632</v>
      </c>
      <c r="E2683" s="185">
        <v>-3.1204830886840357E-2</v>
      </c>
      <c r="F2683" s="171"/>
      <c r="G2683" s="171">
        <v>2680</v>
      </c>
      <c r="H2683" s="186">
        <f t="shared" ca="1" si="86"/>
        <v>-2.2239343816372326E-3</v>
      </c>
    </row>
    <row r="2684" spans="2:8">
      <c r="B2684" s="36">
        <v>45693</v>
      </c>
      <c r="C2684" s="185">
        <v>2285.8000000000002</v>
      </c>
      <c r="D2684" s="185">
        <f t="shared" si="85"/>
        <v>-0.24880870222485127</v>
      </c>
      <c r="E2684" s="185">
        <v>-3.1420157206720332E-2</v>
      </c>
      <c r="F2684" s="171"/>
      <c r="G2684" s="171">
        <v>2681</v>
      </c>
      <c r="H2684" s="186">
        <f t="shared" ca="1" si="86"/>
        <v>-1.0856494563660054E-2</v>
      </c>
    </row>
    <row r="2685" spans="2:8">
      <c r="B2685" s="36">
        <v>45314</v>
      </c>
      <c r="C2685" s="185">
        <v>3042.9</v>
      </c>
      <c r="D2685" s="185">
        <f t="shared" si="85"/>
        <v>-1.9305143741137065E-2</v>
      </c>
      <c r="E2685" s="185">
        <v>-3.1478770131771625E-2</v>
      </c>
      <c r="F2685" s="171"/>
      <c r="G2685" s="171">
        <v>2682</v>
      </c>
      <c r="H2685" s="186">
        <f t="shared" ca="1" si="86"/>
        <v>4.7272956172444112E-3</v>
      </c>
    </row>
    <row r="2686" spans="2:8">
      <c r="B2686" s="36">
        <v>44685</v>
      </c>
      <c r="C2686" s="185">
        <v>3102.8</v>
      </c>
      <c r="D2686" s="185">
        <f t="shared" si="85"/>
        <v>0.12412144047532801</v>
      </c>
      <c r="E2686" s="185">
        <v>-3.1540178223075276E-2</v>
      </c>
      <c r="F2686" s="171"/>
      <c r="G2686" s="171">
        <v>2683</v>
      </c>
      <c r="H2686" s="186">
        <f t="shared" ca="1" si="86"/>
        <v>1.9687323244273247E-2</v>
      </c>
    </row>
    <row r="2687" spans="2:8">
      <c r="B2687" s="36">
        <v>44208</v>
      </c>
      <c r="C2687" s="185">
        <v>2760.2</v>
      </c>
      <c r="D2687" s="185">
        <f t="shared" si="85"/>
        <v>6.969984691999144E-2</v>
      </c>
      <c r="E2687" s="185">
        <v>-3.1559742469694674E-2</v>
      </c>
      <c r="F2687" s="171"/>
      <c r="G2687" s="171">
        <v>2684</v>
      </c>
      <c r="H2687" s="186">
        <f t="shared" ca="1" si="86"/>
        <v>-4.1954632204097694E-3</v>
      </c>
    </row>
    <row r="2688" spans="2:8">
      <c r="B2688" s="36">
        <v>44305</v>
      </c>
      <c r="C2688" s="185">
        <v>2580.35</v>
      </c>
      <c r="D2688" s="185">
        <f t="shared" si="85"/>
        <v>1.1625460945357022</v>
      </c>
      <c r="E2688" s="185">
        <v>-3.1581910302120507E-2</v>
      </c>
      <c r="F2688" s="171"/>
      <c r="G2688" s="171">
        <v>2685</v>
      </c>
      <c r="H2688" s="186">
        <f t="shared" ca="1" si="86"/>
        <v>-3.5436604858592549E-4</v>
      </c>
    </row>
    <row r="2689" spans="2:8">
      <c r="B2689" s="36">
        <v>43395</v>
      </c>
      <c r="C2689" s="185">
        <v>1193.2</v>
      </c>
      <c r="D2689" s="185">
        <f t="shared" si="85"/>
        <v>-0.48431152217131995</v>
      </c>
      <c r="E2689" s="185">
        <v>-3.1729286699667215E-2</v>
      </c>
      <c r="F2689" s="171"/>
      <c r="G2689" s="171">
        <v>2686</v>
      </c>
      <c r="H2689" s="186">
        <f t="shared" ca="1" si="86"/>
        <v>-5.9429256473034703E-3</v>
      </c>
    </row>
    <row r="2690" spans="2:8">
      <c r="B2690" s="36">
        <v>46083</v>
      </c>
      <c r="C2690" s="185">
        <v>2313.8000000000002</v>
      </c>
      <c r="D2690" s="185">
        <f t="shared" si="85"/>
        <v>0.36587957497048418</v>
      </c>
      <c r="E2690" s="185">
        <v>-3.176130895091419E-2</v>
      </c>
      <c r="F2690" s="171"/>
      <c r="G2690" s="171">
        <v>2687</v>
      </c>
      <c r="H2690" s="186">
        <f t="shared" ca="1" si="86"/>
        <v>6.5442759184475823E-3</v>
      </c>
    </row>
    <row r="2691" spans="2:8">
      <c r="B2691" s="36">
        <v>44007</v>
      </c>
      <c r="C2691" s="185">
        <v>1694</v>
      </c>
      <c r="D2691" s="185">
        <f t="shared" si="85"/>
        <v>-0.30572347794012167</v>
      </c>
      <c r="E2691" s="185">
        <v>-3.1778692272519379E-2</v>
      </c>
      <c r="F2691" s="171"/>
      <c r="G2691" s="171">
        <v>2688</v>
      </c>
      <c r="H2691" s="186">
        <f t="shared" ca="1" si="86"/>
        <v>2.2213559999588032E-3</v>
      </c>
    </row>
    <row r="2692" spans="2:8">
      <c r="B2692" s="36">
        <v>44223</v>
      </c>
      <c r="C2692" s="185">
        <v>2439.9499999999998</v>
      </c>
      <c r="D2692" s="185">
        <f t="shared" ref="D2692:D2746" si="87">(C2692-C2693)/C2693</f>
        <v>1.6724534501642934</v>
      </c>
      <c r="E2692" s="185">
        <v>-3.2015551544244646E-2</v>
      </c>
      <c r="F2692" s="171"/>
      <c r="G2692" s="171">
        <v>2689</v>
      </c>
      <c r="H2692" s="186">
        <f t="shared" ca="1" si="86"/>
        <v>1.9362252495969439E-2</v>
      </c>
    </row>
    <row r="2693" spans="2:8">
      <c r="B2693" s="36">
        <v>42716</v>
      </c>
      <c r="C2693" s="185">
        <v>913</v>
      </c>
      <c r="D2693" s="185">
        <f t="shared" si="87"/>
        <v>-0.39175910196195995</v>
      </c>
      <c r="E2693" s="185">
        <v>-3.2018659881255344E-2</v>
      </c>
      <c r="F2693" s="171"/>
      <c r="G2693" s="171">
        <v>2690</v>
      </c>
      <c r="H2693" s="186">
        <f t="shared" ref="H2693:H2756" ca="1" si="88">_xlfn.NORM.INV(RAND(),N$6,N$7)</f>
        <v>-2.1040730342270591E-2</v>
      </c>
    </row>
    <row r="2694" spans="2:8">
      <c r="B2694" s="36">
        <v>43969</v>
      </c>
      <c r="C2694" s="185">
        <v>1501.05</v>
      </c>
      <c r="D2694" s="185">
        <f t="shared" si="87"/>
        <v>-0.36431203150806768</v>
      </c>
      <c r="E2694" s="185">
        <v>-3.2080216662367808E-2</v>
      </c>
      <c r="F2694" s="171"/>
      <c r="G2694" s="171">
        <v>2691</v>
      </c>
      <c r="H2694" s="186">
        <f t="shared" ca="1" si="88"/>
        <v>-3.1307227792956582E-4</v>
      </c>
    </row>
    <row r="2695" spans="2:8">
      <c r="B2695" s="36">
        <v>46054</v>
      </c>
      <c r="C2695" s="185">
        <v>2361.3000000000002</v>
      </c>
      <c r="D2695" s="185">
        <f t="shared" si="87"/>
        <v>-9.971977047867768E-2</v>
      </c>
      <c r="E2695" s="185">
        <v>-3.2214435017828558E-2</v>
      </c>
      <c r="F2695" s="171"/>
      <c r="G2695" s="171">
        <v>2692</v>
      </c>
      <c r="H2695" s="186">
        <f t="shared" ca="1" si="88"/>
        <v>-2.153762085918752E-2</v>
      </c>
    </row>
    <row r="2696" spans="2:8">
      <c r="B2696" s="36">
        <v>46049</v>
      </c>
      <c r="C2696" s="185">
        <v>2622.85</v>
      </c>
      <c r="D2696" s="185">
        <f t="shared" si="87"/>
        <v>1.3124090808904563</v>
      </c>
      <c r="E2696" s="185">
        <v>-3.2337207157351076E-2</v>
      </c>
      <c r="F2696" s="171"/>
      <c r="G2696" s="171">
        <v>2693</v>
      </c>
      <c r="H2696" s="186">
        <f t="shared" ca="1" si="88"/>
        <v>-7.8118384674575542E-3</v>
      </c>
    </row>
    <row r="2697" spans="2:8">
      <c r="B2697" s="36">
        <v>42867</v>
      </c>
      <c r="C2697" s="185">
        <v>1134.25</v>
      </c>
      <c r="D2697" s="185">
        <f t="shared" si="87"/>
        <v>-0.53309595356687112</v>
      </c>
      <c r="E2697" s="185">
        <v>-3.2375021327418568E-2</v>
      </c>
      <c r="F2697" s="171"/>
      <c r="G2697" s="171">
        <v>2694</v>
      </c>
      <c r="H2697" s="186">
        <f t="shared" ca="1" si="88"/>
        <v>1.0903582100213622E-2</v>
      </c>
    </row>
    <row r="2698" spans="2:8">
      <c r="B2698" s="36">
        <v>46051</v>
      </c>
      <c r="C2698" s="185">
        <v>2429.3000000000002</v>
      </c>
      <c r="D2698" s="185">
        <f t="shared" si="87"/>
        <v>1.8481153643238175</v>
      </c>
      <c r="E2698" s="185">
        <v>-3.3652889931978167E-2</v>
      </c>
      <c r="F2698" s="171"/>
      <c r="G2698" s="171">
        <v>2695</v>
      </c>
      <c r="H2698" s="186">
        <f t="shared" ca="1" si="88"/>
        <v>2.2237025179741413E-2</v>
      </c>
    </row>
    <row r="2699" spans="2:8">
      <c r="B2699" s="36">
        <v>42387</v>
      </c>
      <c r="C2699" s="185">
        <v>852.95</v>
      </c>
      <c r="D2699" s="185">
        <f t="shared" si="87"/>
        <v>-0.35343389933292901</v>
      </c>
      <c r="E2699" s="185">
        <v>-3.3922301506399292E-2</v>
      </c>
      <c r="F2699" s="171"/>
      <c r="G2699" s="171">
        <v>2696</v>
      </c>
      <c r="H2699" s="186">
        <f t="shared" ca="1" si="88"/>
        <v>8.0569678175098549E-3</v>
      </c>
    </row>
    <row r="2700" spans="2:8">
      <c r="B2700" s="36">
        <v>43347</v>
      </c>
      <c r="C2700" s="185">
        <v>1319.2</v>
      </c>
      <c r="D2700" s="185">
        <f t="shared" si="87"/>
        <v>3.0826333268216485E-2</v>
      </c>
      <c r="E2700" s="185">
        <v>-3.3942367544212891E-2</v>
      </c>
      <c r="F2700" s="171"/>
      <c r="G2700" s="171">
        <v>2697</v>
      </c>
      <c r="H2700" s="186">
        <f t="shared" ca="1" si="88"/>
        <v>-1.2296636031205619E-4</v>
      </c>
    </row>
    <row r="2701" spans="2:8">
      <c r="B2701" s="36">
        <v>43444</v>
      </c>
      <c r="C2701" s="185">
        <v>1279.75</v>
      </c>
      <c r="D2701" s="185">
        <f t="shared" si="87"/>
        <v>0.17905841164547623</v>
      </c>
      <c r="E2701" s="185">
        <v>-3.4150943396226416E-2</v>
      </c>
      <c r="F2701" s="171"/>
      <c r="G2701" s="171">
        <v>2698</v>
      </c>
      <c r="H2701" s="186">
        <f t="shared" ca="1" si="88"/>
        <v>-4.1871074900665895E-3</v>
      </c>
    </row>
    <row r="2702" spans="2:8">
      <c r="B2702" s="36">
        <v>42670</v>
      </c>
      <c r="C2702" s="185">
        <v>1085.4000000000001</v>
      </c>
      <c r="D2702" s="185">
        <f t="shared" si="87"/>
        <v>-0.52621240560478411</v>
      </c>
      <c r="E2702" s="185">
        <v>-3.4298678766849014E-2</v>
      </c>
      <c r="F2702" s="171"/>
      <c r="G2702" s="171">
        <v>2699</v>
      </c>
      <c r="H2702" s="186">
        <f t="shared" ca="1" si="88"/>
        <v>-2.0893126210154E-4</v>
      </c>
    </row>
    <row r="2703" spans="2:8">
      <c r="B2703" s="36">
        <v>44253</v>
      </c>
      <c r="C2703" s="185">
        <v>2290.9</v>
      </c>
      <c r="D2703" s="185">
        <f t="shared" si="87"/>
        <v>-0.22611265940376654</v>
      </c>
      <c r="E2703" s="185">
        <v>-3.4902580305423869E-2</v>
      </c>
      <c r="F2703" s="171"/>
      <c r="G2703" s="171">
        <v>2700</v>
      </c>
      <c r="H2703" s="186">
        <f t="shared" ca="1" si="88"/>
        <v>-6.1627088735817569E-4</v>
      </c>
    </row>
    <row r="2704" spans="2:8">
      <c r="B2704" s="36">
        <v>45225</v>
      </c>
      <c r="C2704" s="185">
        <v>2960.25</v>
      </c>
      <c r="D2704" s="185">
        <f t="shared" si="87"/>
        <v>8.6649291535129652E-2</v>
      </c>
      <c r="E2704" s="185">
        <v>-3.5089148929235009E-2</v>
      </c>
      <c r="F2704" s="171"/>
      <c r="G2704" s="171">
        <v>2701</v>
      </c>
      <c r="H2704" s="186">
        <f t="shared" ca="1" si="88"/>
        <v>1.203456257944799E-2</v>
      </c>
    </row>
    <row r="2705" spans="2:8">
      <c r="B2705" s="36">
        <v>44740</v>
      </c>
      <c r="C2705" s="185">
        <v>2724.2</v>
      </c>
      <c r="D2705" s="185">
        <f t="shared" si="87"/>
        <v>1.6836764850753618</v>
      </c>
      <c r="E2705" s="185">
        <v>-3.5305782782676536E-2</v>
      </c>
      <c r="F2705" s="171"/>
      <c r="G2705" s="171">
        <v>2702</v>
      </c>
      <c r="H2705" s="186">
        <f t="shared" ca="1" si="88"/>
        <v>-5.8955420454849953E-3</v>
      </c>
    </row>
    <row r="2706" spans="2:8">
      <c r="B2706" s="36">
        <v>42684</v>
      </c>
      <c r="C2706" s="185">
        <v>1015.1</v>
      </c>
      <c r="D2706" s="185">
        <f t="shared" si="87"/>
        <v>0.11573972301604757</v>
      </c>
      <c r="E2706" s="185">
        <v>-3.5534441805225629E-2</v>
      </c>
      <c r="F2706" s="171"/>
      <c r="G2706" s="171">
        <v>2703</v>
      </c>
      <c r="H2706" s="186">
        <f t="shared" ca="1" si="88"/>
        <v>1.0408127001357835E-2</v>
      </c>
    </row>
    <row r="2707" spans="2:8">
      <c r="B2707" s="36">
        <v>42706</v>
      </c>
      <c r="C2707" s="185">
        <v>909.8</v>
      </c>
      <c r="D2707" s="185">
        <f t="shared" si="87"/>
        <v>-0.37406260749914005</v>
      </c>
      <c r="E2707" s="185">
        <v>-3.5666966982882069E-2</v>
      </c>
      <c r="F2707" s="171"/>
      <c r="G2707" s="171">
        <v>2704</v>
      </c>
      <c r="H2707" s="186">
        <f t="shared" ca="1" si="88"/>
        <v>-2.9314742803256163E-3</v>
      </c>
    </row>
    <row r="2708" spans="2:8">
      <c r="B2708" s="36">
        <v>43564</v>
      </c>
      <c r="C2708" s="185">
        <v>1453.5</v>
      </c>
      <c r="D2708" s="185">
        <f t="shared" si="87"/>
        <v>-0.31438679245283019</v>
      </c>
      <c r="E2708" s="185">
        <v>-3.5788915055225738E-2</v>
      </c>
      <c r="F2708" s="171"/>
      <c r="G2708" s="171">
        <v>2705</v>
      </c>
      <c r="H2708" s="186">
        <f t="shared" ca="1" si="88"/>
        <v>4.8208171774417677E-3</v>
      </c>
    </row>
    <row r="2709" spans="2:8">
      <c r="B2709" s="36">
        <v>46104</v>
      </c>
      <c r="C2709" s="185">
        <v>2120</v>
      </c>
      <c r="D2709" s="185">
        <f t="shared" si="87"/>
        <v>-0.33150443035978938</v>
      </c>
      <c r="E2709" s="185">
        <v>-3.6100754751295851E-2</v>
      </c>
      <c r="F2709" s="171"/>
      <c r="G2709" s="171">
        <v>2706</v>
      </c>
      <c r="H2709" s="186">
        <f t="shared" ca="1" si="88"/>
        <v>1.9129850589332965E-2</v>
      </c>
    </row>
    <row r="2710" spans="2:8">
      <c r="B2710" s="36">
        <v>45568</v>
      </c>
      <c r="C2710" s="185">
        <v>3171.3</v>
      </c>
      <c r="D2710" s="185">
        <f t="shared" si="87"/>
        <v>3.8618593903327761E-3</v>
      </c>
      <c r="E2710" s="185">
        <v>-3.6108324974924694E-2</v>
      </c>
      <c r="F2710" s="171"/>
      <c r="G2710" s="171">
        <v>2707</v>
      </c>
      <c r="H2710" s="186">
        <f t="shared" ca="1" si="88"/>
        <v>1.9951253157591425E-2</v>
      </c>
    </row>
    <row r="2711" spans="2:8">
      <c r="B2711" s="36">
        <v>44585</v>
      </c>
      <c r="C2711" s="185">
        <v>3159.1</v>
      </c>
      <c r="D2711" s="185">
        <f t="shared" si="87"/>
        <v>0.44634191008149443</v>
      </c>
      <c r="E2711" s="185">
        <v>-3.640439841998503E-2</v>
      </c>
      <c r="F2711" s="171"/>
      <c r="G2711" s="171">
        <v>2708</v>
      </c>
      <c r="H2711" s="186">
        <f t="shared" ca="1" si="88"/>
        <v>-9.3429252631020334E-3</v>
      </c>
    </row>
    <row r="2712" spans="2:8">
      <c r="B2712" s="36">
        <v>46100</v>
      </c>
      <c r="C2712" s="185">
        <v>2184.1999999999998</v>
      </c>
      <c r="D2712" s="185">
        <f t="shared" si="87"/>
        <v>0.81963593951764069</v>
      </c>
      <c r="E2712" s="185">
        <v>-3.6609033168666198E-2</v>
      </c>
      <c r="F2712" s="171"/>
      <c r="G2712" s="171">
        <v>2709</v>
      </c>
      <c r="H2712" s="186">
        <f t="shared" ca="1" si="88"/>
        <v>-6.7238902931576012E-3</v>
      </c>
    </row>
    <row r="2713" spans="2:8">
      <c r="B2713" s="36">
        <v>43382</v>
      </c>
      <c r="C2713" s="185">
        <v>1200.3499999999999</v>
      </c>
      <c r="D2713" s="185">
        <f t="shared" si="87"/>
        <v>0.46446654059659603</v>
      </c>
      <c r="E2713" s="185">
        <v>-3.7564143681847448E-2</v>
      </c>
      <c r="F2713" s="171"/>
      <c r="G2713" s="171">
        <v>2710</v>
      </c>
      <c r="H2713" s="186">
        <f t="shared" ca="1" si="88"/>
        <v>2.198123386570584E-2</v>
      </c>
    </row>
    <row r="2714" spans="2:8">
      <c r="B2714" s="36">
        <v>42248</v>
      </c>
      <c r="C2714" s="185">
        <v>819.65</v>
      </c>
      <c r="D2714" s="185">
        <f t="shared" si="87"/>
        <v>-0.64693086366573327</v>
      </c>
      <c r="E2714" s="185">
        <v>-3.7800082174091733E-2</v>
      </c>
      <c r="F2714" s="171"/>
      <c r="G2714" s="171">
        <v>2711</v>
      </c>
      <c r="H2714" s="186">
        <f t="shared" ca="1" si="88"/>
        <v>8.8347454714823997E-3</v>
      </c>
    </row>
    <row r="2715" spans="2:8">
      <c r="B2715" s="36">
        <v>45784</v>
      </c>
      <c r="C2715" s="185">
        <v>2321.5</v>
      </c>
      <c r="D2715" s="185">
        <f t="shared" si="87"/>
        <v>-0.30808893657606101</v>
      </c>
      <c r="E2715" s="185">
        <v>-3.7959471219593019E-2</v>
      </c>
      <c r="F2715" s="171"/>
      <c r="G2715" s="171">
        <v>2712</v>
      </c>
      <c r="H2715" s="186">
        <f t="shared" ca="1" si="88"/>
        <v>-3.3364288653476529E-2</v>
      </c>
    </row>
    <row r="2716" spans="2:8">
      <c r="B2716" s="36">
        <v>44795</v>
      </c>
      <c r="C2716" s="185">
        <v>3355.2</v>
      </c>
      <c r="D2716" s="185">
        <f t="shared" si="87"/>
        <v>1.0764303617291209</v>
      </c>
      <c r="E2716" s="185">
        <v>-3.883119673422622E-2</v>
      </c>
      <c r="F2716" s="171"/>
      <c r="G2716" s="171">
        <v>2713</v>
      </c>
      <c r="H2716" s="186">
        <f t="shared" ca="1" si="88"/>
        <v>8.3152137738770841E-3</v>
      </c>
    </row>
    <row r="2717" spans="2:8">
      <c r="B2717" s="36">
        <v>43956</v>
      </c>
      <c r="C2717" s="185">
        <v>1615.85</v>
      </c>
      <c r="D2717" s="185">
        <f t="shared" si="87"/>
        <v>-0.49032441213115274</v>
      </c>
      <c r="E2717" s="185">
        <v>-3.8871044492029584E-2</v>
      </c>
      <c r="F2717" s="171"/>
      <c r="G2717" s="171">
        <v>2714</v>
      </c>
      <c r="H2717" s="186">
        <f t="shared" ca="1" si="88"/>
        <v>-7.7710155296848342E-3</v>
      </c>
    </row>
    <row r="2718" spans="2:8">
      <c r="B2718" s="36">
        <v>45197</v>
      </c>
      <c r="C2718" s="185">
        <v>3170.35</v>
      </c>
      <c r="D2718" s="185">
        <f t="shared" si="87"/>
        <v>0.10878536704787875</v>
      </c>
      <c r="E2718" s="185">
        <v>-3.9913389761216229E-2</v>
      </c>
      <c r="F2718" s="171"/>
      <c r="G2718" s="171">
        <v>2715</v>
      </c>
      <c r="H2718" s="186">
        <f t="shared" ca="1" si="88"/>
        <v>-8.2153549074673695E-4</v>
      </c>
    </row>
    <row r="2719" spans="2:8">
      <c r="B2719" s="36">
        <v>45348</v>
      </c>
      <c r="C2719" s="185">
        <v>2859.3</v>
      </c>
      <c r="D2719" s="185">
        <f t="shared" si="87"/>
        <v>0.78455297238258714</v>
      </c>
      <c r="E2719" s="185">
        <v>-4.0825226434082464E-2</v>
      </c>
      <c r="F2719" s="171"/>
      <c r="G2719" s="171">
        <v>2716</v>
      </c>
      <c r="H2719" s="186">
        <f t="shared" ca="1" si="88"/>
        <v>1.1016754480271236E-2</v>
      </c>
    </row>
    <row r="2720" spans="2:8">
      <c r="B2720" s="36">
        <v>43922</v>
      </c>
      <c r="C2720" s="185">
        <v>1602.25</v>
      </c>
      <c r="D2720" s="185">
        <f t="shared" si="87"/>
        <v>-0.36264370102231597</v>
      </c>
      <c r="E2720" s="185">
        <v>-4.0942148265645163E-2</v>
      </c>
      <c r="F2720" s="171"/>
      <c r="G2720" s="171">
        <v>2717</v>
      </c>
      <c r="H2720" s="186">
        <f t="shared" ca="1" si="88"/>
        <v>-1.7919789744644532E-2</v>
      </c>
    </row>
    <row r="2721" spans="2:8">
      <c r="B2721" s="36">
        <v>46050</v>
      </c>
      <c r="C2721" s="185">
        <v>2513.9</v>
      </c>
      <c r="D2721" s="185">
        <f t="shared" si="87"/>
        <v>2.0717253176930597</v>
      </c>
      <c r="E2721" s="185">
        <v>-4.1538784147015582E-2</v>
      </c>
      <c r="F2721" s="171"/>
      <c r="G2721" s="171">
        <v>2718</v>
      </c>
      <c r="H2721" s="186">
        <f t="shared" ca="1" si="88"/>
        <v>6.4338672247715887E-3</v>
      </c>
    </row>
    <row r="2722" spans="2:8">
      <c r="B2722" s="36">
        <v>42206</v>
      </c>
      <c r="C2722" s="185">
        <v>818.4</v>
      </c>
      <c r="D2722" s="185">
        <f t="shared" si="87"/>
        <v>-0.75925517363102846</v>
      </c>
      <c r="E2722" s="185">
        <v>-4.1742286751361136E-2</v>
      </c>
      <c r="F2722" s="171"/>
      <c r="G2722" s="171">
        <v>2719</v>
      </c>
      <c r="H2722" s="186">
        <f t="shared" ca="1" si="88"/>
        <v>1.1724772144913482E-2</v>
      </c>
    </row>
    <row r="2723" spans="2:8">
      <c r="B2723" s="36">
        <v>45132</v>
      </c>
      <c r="C2723" s="185">
        <v>3399.45</v>
      </c>
      <c r="D2723" s="185">
        <f t="shared" si="87"/>
        <v>3.8137213254035682</v>
      </c>
      <c r="E2723" s="185">
        <v>-4.2758989665756302E-2</v>
      </c>
      <c r="F2723" s="171"/>
      <c r="G2723" s="171">
        <v>2720</v>
      </c>
      <c r="H2723" s="186">
        <f t="shared" ca="1" si="88"/>
        <v>-1.0187943545837734E-2</v>
      </c>
    </row>
    <row r="2724" spans="2:8">
      <c r="B2724" s="36">
        <v>42166</v>
      </c>
      <c r="C2724" s="185">
        <v>706.2</v>
      </c>
      <c r="D2724" s="185">
        <f t="shared" si="87"/>
        <v>-0.76723796967699409</v>
      </c>
      <c r="E2724" s="185">
        <v>-4.3089430894308882E-2</v>
      </c>
      <c r="F2724" s="171"/>
      <c r="G2724" s="171">
        <v>2721</v>
      </c>
      <c r="H2724" s="186">
        <f t="shared" ca="1" si="88"/>
        <v>-1.8802199873346852E-2</v>
      </c>
    </row>
    <row r="2725" spans="2:8">
      <c r="B2725" s="36">
        <v>44622</v>
      </c>
      <c r="C2725" s="185">
        <v>3034</v>
      </c>
      <c r="D2725" s="185">
        <f t="shared" si="87"/>
        <v>8.210286040373771E-2</v>
      </c>
      <c r="E2725" s="185">
        <v>-4.3445362254871105E-2</v>
      </c>
      <c r="F2725" s="171"/>
      <c r="G2725" s="171">
        <v>2722</v>
      </c>
      <c r="H2725" s="186">
        <f t="shared" ca="1" si="88"/>
        <v>2.5508622206673142E-2</v>
      </c>
    </row>
    <row r="2726" spans="2:8">
      <c r="B2726" s="36">
        <v>46000</v>
      </c>
      <c r="C2726" s="185">
        <v>2803.8</v>
      </c>
      <c r="D2726" s="185">
        <f t="shared" si="87"/>
        <v>1.4607688256977356</v>
      </c>
      <c r="E2726" s="185">
        <v>-4.3659185483320824E-2</v>
      </c>
      <c r="F2726" s="171"/>
      <c r="G2726" s="171">
        <v>2723</v>
      </c>
      <c r="H2726" s="186">
        <f t="shared" ca="1" si="88"/>
        <v>-1.440735029002696E-2</v>
      </c>
    </row>
    <row r="2727" spans="2:8">
      <c r="B2727" s="36">
        <v>43396</v>
      </c>
      <c r="C2727" s="185">
        <v>1139.4000000000001</v>
      </c>
      <c r="D2727" s="185">
        <f t="shared" si="87"/>
        <v>-0.30392815688191094</v>
      </c>
      <c r="E2727" s="185">
        <v>-4.5088836741535326E-2</v>
      </c>
      <c r="F2727" s="171"/>
      <c r="G2727" s="171">
        <v>2724</v>
      </c>
      <c r="H2727" s="186">
        <f t="shared" ca="1" si="88"/>
        <v>-7.4491837677161119E-3</v>
      </c>
    </row>
    <row r="2728" spans="2:8">
      <c r="B2728" s="36">
        <v>43986</v>
      </c>
      <c r="C2728" s="185">
        <v>1636.9</v>
      </c>
      <c r="D2728" s="185">
        <f t="shared" si="87"/>
        <v>1.0105631640361115</v>
      </c>
      <c r="E2728" s="185">
        <v>-4.5873163907670683E-2</v>
      </c>
      <c r="F2728" s="171"/>
      <c r="G2728" s="171">
        <v>2725</v>
      </c>
      <c r="H2728" s="186">
        <f t="shared" ca="1" si="88"/>
        <v>8.5983097564889029E-3</v>
      </c>
    </row>
    <row r="2729" spans="2:8">
      <c r="B2729" s="36">
        <v>42303</v>
      </c>
      <c r="C2729" s="185">
        <v>814.15</v>
      </c>
      <c r="D2729" s="185">
        <f t="shared" si="87"/>
        <v>-0.68657003715039167</v>
      </c>
      <c r="E2729" s="185">
        <v>-4.6048391821430744E-2</v>
      </c>
      <c r="F2729" s="171"/>
      <c r="G2729" s="171">
        <v>2726</v>
      </c>
      <c r="H2729" s="186">
        <f t="shared" ca="1" si="88"/>
        <v>-1.7984884767718468E-2</v>
      </c>
    </row>
    <row r="2730" spans="2:8">
      <c r="B2730" s="36">
        <v>44218</v>
      </c>
      <c r="C2730" s="185">
        <v>2597.5500000000002</v>
      </c>
      <c r="D2730" s="185">
        <f t="shared" si="87"/>
        <v>-5.4370381156940518E-2</v>
      </c>
      <c r="E2730" s="185">
        <v>-4.6245639801725656E-2</v>
      </c>
      <c r="F2730" s="171"/>
      <c r="G2730" s="171">
        <v>2727</v>
      </c>
      <c r="H2730" s="186">
        <f t="shared" ca="1" si="88"/>
        <v>1.9563128665598978E-2</v>
      </c>
    </row>
    <row r="2731" spans="2:8">
      <c r="B2731" s="36">
        <v>44624</v>
      </c>
      <c r="C2731" s="185">
        <v>2746.9</v>
      </c>
      <c r="D2731" s="185">
        <f t="shared" si="87"/>
        <v>0.63389245776826075</v>
      </c>
      <c r="E2731" s="185">
        <v>-4.6910239061795159E-2</v>
      </c>
      <c r="F2731" s="171"/>
      <c r="G2731" s="171">
        <v>2728</v>
      </c>
      <c r="H2731" s="186">
        <f t="shared" ca="1" si="88"/>
        <v>1.391057394751586E-2</v>
      </c>
    </row>
    <row r="2732" spans="2:8">
      <c r="B2732" s="36">
        <v>43955</v>
      </c>
      <c r="C2732" s="185">
        <v>1681.2</v>
      </c>
      <c r="D2732" s="185">
        <f t="shared" si="87"/>
        <v>0.74001241978886356</v>
      </c>
      <c r="E2732" s="185">
        <v>-4.7154840172296555E-2</v>
      </c>
      <c r="F2732" s="171"/>
      <c r="G2732" s="171">
        <v>2729</v>
      </c>
      <c r="H2732" s="186">
        <f t="shared" ca="1" si="88"/>
        <v>-2.095651613785908E-2</v>
      </c>
    </row>
    <row r="2733" spans="2:8">
      <c r="B2733" s="36">
        <v>42685</v>
      </c>
      <c r="C2733" s="185">
        <v>966.2</v>
      </c>
      <c r="D2733" s="185">
        <f t="shared" si="87"/>
        <v>-0.36565669828972852</v>
      </c>
      <c r="E2733" s="185">
        <v>-4.8172593833119864E-2</v>
      </c>
      <c r="F2733" s="171"/>
      <c r="G2733" s="171">
        <v>2730</v>
      </c>
      <c r="H2733" s="186">
        <f t="shared" ca="1" si="88"/>
        <v>2.7001160339602294E-3</v>
      </c>
    </row>
    <row r="2734" spans="2:8">
      <c r="B2734" s="36">
        <v>43924</v>
      </c>
      <c r="C2734" s="185">
        <v>1523.15</v>
      </c>
      <c r="D2734" s="185">
        <f t="shared" si="87"/>
        <v>-0.43571362415485781</v>
      </c>
      <c r="E2734" s="185">
        <v>-4.9368076142923954E-2</v>
      </c>
      <c r="F2734" s="171"/>
      <c r="G2734" s="171">
        <v>2731</v>
      </c>
      <c r="H2734" s="186">
        <f t="shared" ca="1" si="88"/>
        <v>1.2687249044988165E-2</v>
      </c>
    </row>
    <row r="2735" spans="2:8">
      <c r="B2735" s="36">
        <v>45421</v>
      </c>
      <c r="C2735" s="185">
        <v>2699.25</v>
      </c>
      <c r="D2735" s="185">
        <f t="shared" si="87"/>
        <v>-6.3443322577287367E-2</v>
      </c>
      <c r="E2735" s="185">
        <v>-4.9543125759256262E-2</v>
      </c>
      <c r="F2735" s="171"/>
      <c r="G2735" s="171">
        <v>2732</v>
      </c>
      <c r="H2735" s="186">
        <f t="shared" ca="1" si="88"/>
        <v>1.5619194729066664E-2</v>
      </c>
    </row>
    <row r="2736" spans="2:8">
      <c r="B2736" s="36">
        <v>44623</v>
      </c>
      <c r="C2736" s="185">
        <v>2882.1</v>
      </c>
      <c r="D2736" s="185">
        <f t="shared" si="87"/>
        <v>-0.14851689907823218</v>
      </c>
      <c r="E2736" s="185">
        <v>-5.006591957811473E-2</v>
      </c>
      <c r="F2736" s="171"/>
      <c r="G2736" s="171">
        <v>2733</v>
      </c>
      <c r="H2736" s="186">
        <f t="shared" ca="1" si="88"/>
        <v>1.5584631550030578E-2</v>
      </c>
    </row>
    <row r="2737" spans="2:8">
      <c r="B2737" s="36">
        <v>44833</v>
      </c>
      <c r="C2737" s="185">
        <v>3384.8</v>
      </c>
      <c r="D2737" s="185">
        <f t="shared" si="87"/>
        <v>0.12766524520255873</v>
      </c>
      <c r="E2737" s="185">
        <v>-5.1624381838304305E-2</v>
      </c>
      <c r="F2737" s="171"/>
      <c r="G2737" s="171">
        <v>2734</v>
      </c>
      <c r="H2737" s="186">
        <f t="shared" ca="1" si="88"/>
        <v>-8.9304542853543521E-3</v>
      </c>
    </row>
    <row r="2738" spans="2:8">
      <c r="B2738" s="36">
        <v>44490</v>
      </c>
      <c r="C2738" s="185">
        <v>3001.6</v>
      </c>
      <c r="D2738" s="185">
        <f t="shared" si="87"/>
        <v>2.5731206475805015</v>
      </c>
      <c r="E2738" s="185">
        <v>-5.2600015781582923E-2</v>
      </c>
      <c r="F2738" s="171"/>
      <c r="G2738" s="171">
        <v>2735</v>
      </c>
      <c r="H2738" s="186">
        <f t="shared" ca="1" si="88"/>
        <v>9.9736434864886141E-3</v>
      </c>
    </row>
    <row r="2739" spans="2:8">
      <c r="B2739" s="36">
        <v>42240</v>
      </c>
      <c r="C2739" s="185">
        <v>840.05</v>
      </c>
      <c r="D2739" s="185">
        <f t="shared" si="87"/>
        <v>-0.7262744586910832</v>
      </c>
      <c r="E2739" s="185">
        <v>-5.3198083967314791E-2</v>
      </c>
      <c r="F2739" s="171"/>
      <c r="G2739" s="171">
        <v>2736</v>
      </c>
      <c r="H2739" s="186">
        <f t="shared" ca="1" si="88"/>
        <v>2.7155753914506267E-3</v>
      </c>
    </row>
    <row r="2740" spans="2:8">
      <c r="B2740" s="36">
        <v>44616</v>
      </c>
      <c r="C2740" s="185">
        <v>3068.95</v>
      </c>
      <c r="D2740" s="185">
        <f t="shared" si="87"/>
        <v>0.90961981208387777</v>
      </c>
      <c r="E2740" s="185">
        <v>-5.3669441874807336E-2</v>
      </c>
      <c r="F2740" s="171"/>
      <c r="G2740" s="171">
        <v>2737</v>
      </c>
      <c r="H2740" s="186">
        <f t="shared" ca="1" si="88"/>
        <v>-2.2360077552384962E-3</v>
      </c>
    </row>
    <row r="2741" spans="2:8">
      <c r="B2741" s="36">
        <v>43908</v>
      </c>
      <c r="C2741" s="185">
        <v>1607.1</v>
      </c>
      <c r="D2741" s="185">
        <f t="shared" si="87"/>
        <v>-3.7808711270767903E-2</v>
      </c>
      <c r="E2741" s="185">
        <v>-6.9399808911665153E-2</v>
      </c>
      <c r="F2741" s="171"/>
      <c r="G2741" s="171">
        <v>2738</v>
      </c>
      <c r="H2741" s="186">
        <f t="shared" ca="1" si="88"/>
        <v>5.2358150949541006E-3</v>
      </c>
    </row>
    <row r="2742" spans="2:8">
      <c r="B2742" s="36">
        <v>43906</v>
      </c>
      <c r="C2742" s="185">
        <v>1670.25</v>
      </c>
      <c r="D2742" s="185">
        <f t="shared" si="87"/>
        <v>0.86849759480926281</v>
      </c>
      <c r="E2742" s="185">
        <v>-7.1980220024447136E-2</v>
      </c>
      <c r="F2742" s="171"/>
      <c r="G2742" s="171">
        <v>2739</v>
      </c>
      <c r="H2742" s="186">
        <f t="shared" ca="1" si="88"/>
        <v>-4.1528532270358838E-3</v>
      </c>
    </row>
    <row r="2743" spans="2:8">
      <c r="B2743" s="36">
        <v>42689</v>
      </c>
      <c r="C2743" s="185">
        <v>893.9</v>
      </c>
      <c r="D2743" s="185">
        <f t="shared" si="87"/>
        <v>-0.68550117862294624</v>
      </c>
      <c r="E2743" s="185">
        <v>-7.4829227903125711E-2</v>
      </c>
      <c r="F2743" s="171"/>
      <c r="G2743" s="171">
        <v>2740</v>
      </c>
      <c r="H2743" s="186">
        <f t="shared" ca="1" si="88"/>
        <v>-6.9380092496053305E-3</v>
      </c>
    </row>
    <row r="2744" spans="2:8">
      <c r="B2744" s="36">
        <v>44706</v>
      </c>
      <c r="C2744" s="185">
        <v>2842.3</v>
      </c>
      <c r="D2744" s="185">
        <f t="shared" si="87"/>
        <v>0.12002994837845309</v>
      </c>
      <c r="E2744" s="185">
        <v>-8.0280869790318371E-2</v>
      </c>
      <c r="F2744" s="171"/>
      <c r="G2744" s="171">
        <v>2741</v>
      </c>
      <c r="H2744" s="186">
        <f t="shared" ca="1" si="88"/>
        <v>1.7263430958512471E-2</v>
      </c>
    </row>
    <row r="2745" spans="2:8">
      <c r="B2745" s="36">
        <v>45607</v>
      </c>
      <c r="C2745" s="185">
        <v>2537.6999999999998</v>
      </c>
      <c r="D2745" s="185">
        <f t="shared" si="87"/>
        <v>0.70109934307547916</v>
      </c>
      <c r="E2745" s="185">
        <v>-8.2803238398149612E-2</v>
      </c>
      <c r="F2745" s="171"/>
      <c r="G2745" s="171">
        <v>2742</v>
      </c>
      <c r="H2745" s="186">
        <f t="shared" ca="1" si="88"/>
        <v>8.0661434280134212E-3</v>
      </c>
    </row>
    <row r="2746" spans="2:8">
      <c r="B2746" s="36">
        <v>43913</v>
      </c>
      <c r="C2746" s="185">
        <v>1491.8</v>
      </c>
      <c r="D2746" s="185">
        <f t="shared" si="87"/>
        <v>0.97236729027566593</v>
      </c>
      <c r="E2746" s="185">
        <v>-0.14323455088444756</v>
      </c>
      <c r="F2746" s="171"/>
      <c r="G2746" s="171">
        <v>2743</v>
      </c>
      <c r="H2746" s="186">
        <f t="shared" ca="1" si="88"/>
        <v>1.2361600705219718E-2</v>
      </c>
    </row>
    <row r="2747" spans="2:8">
      <c r="B2747" s="36">
        <v>42157</v>
      </c>
      <c r="C2747" s="185">
        <v>756.35</v>
      </c>
      <c r="D2747" s="171"/>
      <c r="E2747" s="171"/>
      <c r="F2747" s="171"/>
      <c r="G2747" s="171">
        <v>2744</v>
      </c>
      <c r="H2747" s="186">
        <f t="shared" ca="1" si="88"/>
        <v>-9.2708701066260071E-3</v>
      </c>
    </row>
    <row r="2748" spans="2:8">
      <c r="G2748" s="171">
        <v>2745</v>
      </c>
      <c r="H2748" s="186">
        <f t="shared" ca="1" si="88"/>
        <v>1.8075536502252153E-2</v>
      </c>
    </row>
    <row r="2749" spans="2:8">
      <c r="G2749" s="171">
        <v>2746</v>
      </c>
      <c r="H2749" s="186">
        <f t="shared" ca="1" si="88"/>
        <v>1.147980901850053E-2</v>
      </c>
    </row>
    <row r="2750" spans="2:8">
      <c r="G2750" s="171">
        <v>2747</v>
      </c>
      <c r="H2750" s="186">
        <f t="shared" ca="1" si="88"/>
        <v>7.4302866948890698E-4</v>
      </c>
    </row>
    <row r="2751" spans="2:8">
      <c r="G2751" s="171">
        <v>2748</v>
      </c>
      <c r="H2751" s="186">
        <f t="shared" ca="1" si="88"/>
        <v>-2.5853079256881817E-5</v>
      </c>
    </row>
    <row r="2752" spans="2:8">
      <c r="G2752" s="171">
        <v>2749</v>
      </c>
      <c r="H2752" s="186">
        <f t="shared" ca="1" si="88"/>
        <v>-1.3316281151599342E-3</v>
      </c>
    </row>
    <row r="2753" spans="7:8">
      <c r="G2753" s="171">
        <v>2750</v>
      </c>
      <c r="H2753" s="186">
        <f t="shared" ca="1" si="88"/>
        <v>-9.43072519977586E-3</v>
      </c>
    </row>
    <row r="2754" spans="7:8">
      <c r="G2754" s="171">
        <v>2751</v>
      </c>
      <c r="H2754" s="186">
        <f t="shared" ca="1" si="88"/>
        <v>2.0676173623260997E-2</v>
      </c>
    </row>
    <row r="2755" spans="7:8">
      <c r="G2755" s="171">
        <v>2752</v>
      </c>
      <c r="H2755" s="186">
        <f t="shared" ca="1" si="88"/>
        <v>-1.3502200617544126E-2</v>
      </c>
    </row>
    <row r="2756" spans="7:8">
      <c r="G2756" s="171">
        <v>2753</v>
      </c>
      <c r="H2756" s="186">
        <f t="shared" ca="1" si="88"/>
        <v>-4.9553001791345034E-3</v>
      </c>
    </row>
    <row r="2757" spans="7:8">
      <c r="G2757" s="171">
        <v>2754</v>
      </c>
      <c r="H2757" s="186">
        <f t="shared" ref="H2757:H2820" ca="1" si="89">_xlfn.NORM.INV(RAND(),N$6,N$7)</f>
        <v>-1.9303821709615615E-2</v>
      </c>
    </row>
    <row r="2758" spans="7:8">
      <c r="G2758" s="171">
        <v>2755</v>
      </c>
      <c r="H2758" s="186">
        <f t="shared" ca="1" si="89"/>
        <v>2.4302837583937167E-2</v>
      </c>
    </row>
    <row r="2759" spans="7:8">
      <c r="G2759" s="171">
        <v>2756</v>
      </c>
      <c r="H2759" s="186">
        <f t="shared" ca="1" si="89"/>
        <v>1.5267282810744407E-2</v>
      </c>
    </row>
    <row r="2760" spans="7:8">
      <c r="G2760" s="171">
        <v>2757</v>
      </c>
      <c r="H2760" s="186">
        <f t="shared" ca="1" si="89"/>
        <v>2.3451165634723547E-3</v>
      </c>
    </row>
    <row r="2761" spans="7:8">
      <c r="G2761" s="171">
        <v>2758</v>
      </c>
      <c r="H2761" s="186">
        <f t="shared" ca="1" si="89"/>
        <v>-3.3034221231217614E-3</v>
      </c>
    </row>
    <row r="2762" spans="7:8">
      <c r="G2762" s="171">
        <v>2759</v>
      </c>
      <c r="H2762" s="186">
        <f t="shared" ca="1" si="89"/>
        <v>1.8521523494856883E-2</v>
      </c>
    </row>
    <row r="2763" spans="7:8">
      <c r="G2763" s="171">
        <v>2760</v>
      </c>
      <c r="H2763" s="186">
        <f t="shared" ca="1" si="89"/>
        <v>1.6259406793002246E-4</v>
      </c>
    </row>
    <row r="2764" spans="7:8">
      <c r="G2764" s="171">
        <v>2761</v>
      </c>
      <c r="H2764" s="186">
        <f t="shared" ca="1" si="89"/>
        <v>-1.5410191811100443E-3</v>
      </c>
    </row>
    <row r="2765" spans="7:8">
      <c r="G2765" s="171">
        <v>2762</v>
      </c>
      <c r="H2765" s="186">
        <f t="shared" ca="1" si="89"/>
        <v>1.002282215851415E-2</v>
      </c>
    </row>
    <row r="2766" spans="7:8">
      <c r="G2766" s="171">
        <v>2763</v>
      </c>
      <c r="H2766" s="186">
        <f t="shared" ca="1" si="89"/>
        <v>3.0033890835339919E-2</v>
      </c>
    </row>
    <row r="2767" spans="7:8">
      <c r="G2767" s="171">
        <v>2764</v>
      </c>
      <c r="H2767" s="186">
        <f t="shared" ca="1" si="89"/>
        <v>-1.3621633483648548E-3</v>
      </c>
    </row>
    <row r="2768" spans="7:8">
      <c r="G2768" s="171">
        <v>2765</v>
      </c>
      <c r="H2768" s="186">
        <f t="shared" ca="1" si="89"/>
        <v>3.517155631597125E-3</v>
      </c>
    </row>
    <row r="2769" spans="7:8">
      <c r="G2769" s="171">
        <v>2766</v>
      </c>
      <c r="H2769" s="186">
        <f t="shared" ca="1" si="89"/>
        <v>1.0902193582723587E-2</v>
      </c>
    </row>
    <row r="2770" spans="7:8">
      <c r="G2770" s="171">
        <v>2767</v>
      </c>
      <c r="H2770" s="186">
        <f t="shared" ca="1" si="89"/>
        <v>-9.8036973304287314E-3</v>
      </c>
    </row>
    <row r="2771" spans="7:8">
      <c r="G2771" s="171">
        <v>2768</v>
      </c>
      <c r="H2771" s="186">
        <f t="shared" ca="1" si="89"/>
        <v>-3.7305850797108228E-3</v>
      </c>
    </row>
    <row r="2772" spans="7:8">
      <c r="G2772" s="171">
        <v>2769</v>
      </c>
      <c r="H2772" s="186">
        <f t="shared" ca="1" si="89"/>
        <v>-3.1909127640907041E-3</v>
      </c>
    </row>
    <row r="2773" spans="7:8">
      <c r="G2773" s="171">
        <v>2770</v>
      </c>
      <c r="H2773" s="186">
        <f t="shared" ca="1" si="89"/>
        <v>-1.269063663544566E-3</v>
      </c>
    </row>
    <row r="2774" spans="7:8">
      <c r="G2774" s="171">
        <v>2771</v>
      </c>
      <c r="H2774" s="186">
        <f t="shared" ca="1" si="89"/>
        <v>9.3407696325626902E-3</v>
      </c>
    </row>
    <row r="2775" spans="7:8">
      <c r="G2775" s="171">
        <v>2772</v>
      </c>
      <c r="H2775" s="186">
        <f t="shared" ca="1" si="89"/>
        <v>1.5226720488990353E-2</v>
      </c>
    </row>
    <row r="2776" spans="7:8">
      <c r="G2776" s="171">
        <v>2773</v>
      </c>
      <c r="H2776" s="186">
        <f t="shared" ca="1" si="89"/>
        <v>-4.5277448753173273E-4</v>
      </c>
    </row>
    <row r="2777" spans="7:8">
      <c r="G2777" s="171">
        <v>2774</v>
      </c>
      <c r="H2777" s="186">
        <f t="shared" ca="1" si="89"/>
        <v>1.7039548500638007E-3</v>
      </c>
    </row>
    <row r="2778" spans="7:8">
      <c r="G2778" s="171">
        <v>2775</v>
      </c>
      <c r="H2778" s="186">
        <f t="shared" ca="1" si="89"/>
        <v>-7.246906996759816E-4</v>
      </c>
    </row>
    <row r="2779" spans="7:8">
      <c r="G2779" s="171">
        <v>2776</v>
      </c>
      <c r="H2779" s="186">
        <f t="shared" ca="1" si="89"/>
        <v>-3.0238501189393014E-3</v>
      </c>
    </row>
    <row r="2780" spans="7:8">
      <c r="G2780" s="171">
        <v>2777</v>
      </c>
      <c r="H2780" s="186">
        <f t="shared" ca="1" si="89"/>
        <v>3.1319072311320616E-3</v>
      </c>
    </row>
    <row r="2781" spans="7:8">
      <c r="G2781" s="171">
        <v>2778</v>
      </c>
      <c r="H2781" s="186">
        <f t="shared" ca="1" si="89"/>
        <v>2.787437578815409E-2</v>
      </c>
    </row>
    <row r="2782" spans="7:8">
      <c r="G2782" s="171">
        <v>2779</v>
      </c>
      <c r="H2782" s="186">
        <f t="shared" ca="1" si="89"/>
        <v>8.7332831885319935E-3</v>
      </c>
    </row>
    <row r="2783" spans="7:8">
      <c r="G2783" s="171">
        <v>2780</v>
      </c>
      <c r="H2783" s="186">
        <f t="shared" ca="1" si="89"/>
        <v>7.9391960984369937E-3</v>
      </c>
    </row>
    <row r="2784" spans="7:8">
      <c r="G2784" s="171">
        <v>2781</v>
      </c>
      <c r="H2784" s="186">
        <f t="shared" ca="1" si="89"/>
        <v>-2.231361820432155E-2</v>
      </c>
    </row>
    <row r="2785" spans="7:8">
      <c r="G2785" s="171">
        <v>2782</v>
      </c>
      <c r="H2785" s="186">
        <f t="shared" ca="1" si="89"/>
        <v>-2.0073578311835129E-2</v>
      </c>
    </row>
    <row r="2786" spans="7:8">
      <c r="G2786" s="171">
        <v>2783</v>
      </c>
      <c r="H2786" s="186">
        <f t="shared" ca="1" si="89"/>
        <v>-1.5741360652767482E-2</v>
      </c>
    </row>
    <row r="2787" spans="7:8">
      <c r="G2787" s="171">
        <v>2784</v>
      </c>
      <c r="H2787" s="186">
        <f t="shared" ca="1" si="89"/>
        <v>-7.5983617379743575E-3</v>
      </c>
    </row>
    <row r="2788" spans="7:8">
      <c r="G2788" s="171">
        <v>2785</v>
      </c>
      <c r="H2788" s="186">
        <f t="shared" ca="1" si="89"/>
        <v>3.1210782177414098E-3</v>
      </c>
    </row>
    <row r="2789" spans="7:8">
      <c r="G2789" s="171">
        <v>2786</v>
      </c>
      <c r="H2789" s="186">
        <f t="shared" ca="1" si="89"/>
        <v>-8.5089987979843594E-3</v>
      </c>
    </row>
    <row r="2790" spans="7:8">
      <c r="G2790" s="171">
        <v>2787</v>
      </c>
      <c r="H2790" s="186">
        <f t="shared" ca="1" si="89"/>
        <v>5.0910104092699547E-3</v>
      </c>
    </row>
    <row r="2791" spans="7:8">
      <c r="G2791" s="171">
        <v>2788</v>
      </c>
      <c r="H2791" s="186">
        <f t="shared" ca="1" si="89"/>
        <v>1.8194942822241109E-3</v>
      </c>
    </row>
    <row r="2792" spans="7:8">
      <c r="G2792" s="171">
        <v>2789</v>
      </c>
      <c r="H2792" s="186">
        <f t="shared" ca="1" si="89"/>
        <v>-6.7103569239534214E-3</v>
      </c>
    </row>
    <row r="2793" spans="7:8">
      <c r="G2793" s="171">
        <v>2790</v>
      </c>
      <c r="H2793" s="186">
        <f t="shared" ca="1" si="89"/>
        <v>1.8732164106708073E-3</v>
      </c>
    </row>
    <row r="2794" spans="7:8">
      <c r="G2794" s="171">
        <v>2791</v>
      </c>
      <c r="H2794" s="186">
        <f t="shared" ca="1" si="89"/>
        <v>1.066374728555153E-2</v>
      </c>
    </row>
    <row r="2795" spans="7:8">
      <c r="G2795" s="171">
        <v>2792</v>
      </c>
      <c r="H2795" s="186">
        <f t="shared" ca="1" si="89"/>
        <v>1.0029451122447899E-2</v>
      </c>
    </row>
    <row r="2796" spans="7:8">
      <c r="G2796" s="171">
        <v>2793</v>
      </c>
      <c r="H2796" s="186">
        <f t="shared" ca="1" si="89"/>
        <v>-1.4416250026304724E-2</v>
      </c>
    </row>
    <row r="2797" spans="7:8">
      <c r="G2797" s="171">
        <v>2794</v>
      </c>
      <c r="H2797" s="186">
        <f t="shared" ca="1" si="89"/>
        <v>2.1992999737026407E-3</v>
      </c>
    </row>
    <row r="2798" spans="7:8">
      <c r="G2798" s="171">
        <v>2795</v>
      </c>
      <c r="H2798" s="186">
        <f t="shared" ca="1" si="89"/>
        <v>3.5080752530391515E-3</v>
      </c>
    </row>
    <row r="2799" spans="7:8">
      <c r="G2799" s="171">
        <v>2796</v>
      </c>
      <c r="H2799" s="186">
        <f t="shared" ca="1" si="89"/>
        <v>-5.1034570076811956E-3</v>
      </c>
    </row>
    <row r="2800" spans="7:8">
      <c r="G2800" s="171">
        <v>2797</v>
      </c>
      <c r="H2800" s="186">
        <f t="shared" ca="1" si="89"/>
        <v>1.8675431573764903E-2</v>
      </c>
    </row>
    <row r="2801" spans="7:8">
      <c r="G2801" s="171">
        <v>2798</v>
      </c>
      <c r="H2801" s="186">
        <f t="shared" ca="1" si="89"/>
        <v>-5.4368769570568897E-5</v>
      </c>
    </row>
    <row r="2802" spans="7:8">
      <c r="G2802" s="171">
        <v>2799</v>
      </c>
      <c r="H2802" s="186">
        <f t="shared" ca="1" si="89"/>
        <v>-3.6167476439095431E-2</v>
      </c>
    </row>
    <row r="2803" spans="7:8">
      <c r="G2803" s="171">
        <v>2800</v>
      </c>
      <c r="H2803" s="186">
        <f t="shared" ca="1" si="89"/>
        <v>2.1346920255371382E-2</v>
      </c>
    </row>
    <row r="2804" spans="7:8">
      <c r="G2804" s="171">
        <v>2801</v>
      </c>
      <c r="H2804" s="186">
        <f t="shared" ca="1" si="89"/>
        <v>-2.6859870637371613E-5</v>
      </c>
    </row>
    <row r="2805" spans="7:8">
      <c r="G2805" s="171">
        <v>2802</v>
      </c>
      <c r="H2805" s="186">
        <f t="shared" ca="1" si="89"/>
        <v>2.8163428939372806E-2</v>
      </c>
    </row>
    <row r="2806" spans="7:8">
      <c r="G2806" s="171">
        <v>2803</v>
      </c>
      <c r="H2806" s="186">
        <f t="shared" ca="1" si="89"/>
        <v>-1.5364384533289002E-2</v>
      </c>
    </row>
    <row r="2807" spans="7:8">
      <c r="G2807" s="171">
        <v>2804</v>
      </c>
      <c r="H2807" s="186">
        <f t="shared" ca="1" si="89"/>
        <v>3.8845772017828623E-3</v>
      </c>
    </row>
    <row r="2808" spans="7:8">
      <c r="G2808" s="171">
        <v>2805</v>
      </c>
      <c r="H2808" s="186">
        <f t="shared" ca="1" si="89"/>
        <v>-1.9566081280366587E-2</v>
      </c>
    </row>
    <row r="2809" spans="7:8">
      <c r="G2809" s="171">
        <v>2806</v>
      </c>
      <c r="H2809" s="186">
        <f t="shared" ca="1" si="89"/>
        <v>1.9224909330444049E-2</v>
      </c>
    </row>
    <row r="2810" spans="7:8">
      <c r="G2810" s="171">
        <v>2807</v>
      </c>
      <c r="H2810" s="186">
        <f t="shared" ca="1" si="89"/>
        <v>-1.4775058289958424E-2</v>
      </c>
    </row>
    <row r="2811" spans="7:8">
      <c r="G2811" s="171">
        <v>2808</v>
      </c>
      <c r="H2811" s="186">
        <f t="shared" ca="1" si="89"/>
        <v>-1.0651901421907055E-3</v>
      </c>
    </row>
    <row r="2812" spans="7:8">
      <c r="G2812" s="171">
        <v>2809</v>
      </c>
      <c r="H2812" s="186">
        <f t="shared" ca="1" si="89"/>
        <v>-2.33362433631885E-2</v>
      </c>
    </row>
    <row r="2813" spans="7:8">
      <c r="G2813" s="171">
        <v>2810</v>
      </c>
      <c r="H2813" s="186">
        <f t="shared" ca="1" si="89"/>
        <v>3.163716449091581E-2</v>
      </c>
    </row>
    <row r="2814" spans="7:8">
      <c r="G2814" s="171">
        <v>2811</v>
      </c>
      <c r="H2814" s="186">
        <f t="shared" ca="1" si="89"/>
        <v>-7.7991786765385851E-3</v>
      </c>
    </row>
    <row r="2815" spans="7:8">
      <c r="G2815" s="171">
        <v>2812</v>
      </c>
      <c r="H2815" s="186">
        <f t="shared" ca="1" si="89"/>
        <v>-2.2291533458532369E-3</v>
      </c>
    </row>
    <row r="2816" spans="7:8">
      <c r="G2816" s="171">
        <v>2813</v>
      </c>
      <c r="H2816" s="186">
        <f t="shared" ca="1" si="89"/>
        <v>-4.2801834349304353E-2</v>
      </c>
    </row>
    <row r="2817" spans="7:8">
      <c r="G2817" s="171">
        <v>2814</v>
      </c>
      <c r="H2817" s="186">
        <f t="shared" ca="1" si="89"/>
        <v>-2.2171266141884668E-3</v>
      </c>
    </row>
    <row r="2818" spans="7:8">
      <c r="G2818" s="171">
        <v>2815</v>
      </c>
      <c r="H2818" s="186">
        <f t="shared" ca="1" si="89"/>
        <v>1.5067864919372795E-2</v>
      </c>
    </row>
    <row r="2819" spans="7:8">
      <c r="G2819" s="171">
        <v>2816</v>
      </c>
      <c r="H2819" s="186">
        <f t="shared" ca="1" si="89"/>
        <v>1.2562626454387603E-2</v>
      </c>
    </row>
    <row r="2820" spans="7:8">
      <c r="G2820" s="171">
        <v>2817</v>
      </c>
      <c r="H2820" s="186">
        <f t="shared" ca="1" si="89"/>
        <v>-4.7582276011384128E-3</v>
      </c>
    </row>
    <row r="2821" spans="7:8">
      <c r="G2821" s="171">
        <v>2818</v>
      </c>
      <c r="H2821" s="186">
        <f t="shared" ref="H2821:H2884" ca="1" si="90">_xlfn.NORM.INV(RAND(),N$6,N$7)</f>
        <v>-5.4361743691513547E-3</v>
      </c>
    </row>
    <row r="2822" spans="7:8">
      <c r="G2822" s="171">
        <v>2819</v>
      </c>
      <c r="H2822" s="186">
        <f t="shared" ca="1" si="90"/>
        <v>-9.6042525947030884E-4</v>
      </c>
    </row>
    <row r="2823" spans="7:8">
      <c r="G2823" s="171">
        <v>2820</v>
      </c>
      <c r="H2823" s="186">
        <f t="shared" ca="1" si="90"/>
        <v>2.6343552784273768E-3</v>
      </c>
    </row>
    <row r="2824" spans="7:8">
      <c r="G2824" s="171">
        <v>2821</v>
      </c>
      <c r="H2824" s="186">
        <f t="shared" ca="1" si="90"/>
        <v>-1.5791318828571235E-2</v>
      </c>
    </row>
    <row r="2825" spans="7:8">
      <c r="G2825" s="171">
        <v>2822</v>
      </c>
      <c r="H2825" s="186">
        <f t="shared" ca="1" si="90"/>
        <v>3.6083035652820325E-2</v>
      </c>
    </row>
    <row r="2826" spans="7:8">
      <c r="G2826" s="171">
        <v>2823</v>
      </c>
      <c r="H2826" s="186">
        <f t="shared" ca="1" si="90"/>
        <v>-1.6123619552342629E-2</v>
      </c>
    </row>
    <row r="2827" spans="7:8">
      <c r="G2827" s="171">
        <v>2824</v>
      </c>
      <c r="H2827" s="186">
        <f t="shared" ca="1" si="90"/>
        <v>3.4224479760307782E-3</v>
      </c>
    </row>
    <row r="2828" spans="7:8">
      <c r="G2828" s="171">
        <v>2825</v>
      </c>
      <c r="H2828" s="186">
        <f t="shared" ca="1" si="90"/>
        <v>1.6675785635640494E-2</v>
      </c>
    </row>
    <row r="2829" spans="7:8">
      <c r="G2829" s="171">
        <v>2826</v>
      </c>
      <c r="H2829" s="186">
        <f t="shared" ca="1" si="90"/>
        <v>-1.9425371122576796E-2</v>
      </c>
    </row>
    <row r="2830" spans="7:8">
      <c r="G2830" s="171">
        <v>2827</v>
      </c>
      <c r="H2830" s="186">
        <f t="shared" ca="1" si="90"/>
        <v>-2.772019981776196E-2</v>
      </c>
    </row>
    <row r="2831" spans="7:8">
      <c r="G2831" s="171">
        <v>2828</v>
      </c>
      <c r="H2831" s="186">
        <f t="shared" ca="1" si="90"/>
        <v>4.9045464685093867E-3</v>
      </c>
    </row>
    <row r="2832" spans="7:8">
      <c r="G2832" s="171">
        <v>2829</v>
      </c>
      <c r="H2832" s="186">
        <f t="shared" ca="1" si="90"/>
        <v>-1.6892734320411457E-2</v>
      </c>
    </row>
    <row r="2833" spans="7:8">
      <c r="G2833" s="171">
        <v>2830</v>
      </c>
      <c r="H2833" s="186">
        <f t="shared" ca="1" si="90"/>
        <v>-2.2118985723870294E-2</v>
      </c>
    </row>
    <row r="2834" spans="7:8">
      <c r="G2834" s="171">
        <v>2831</v>
      </c>
      <c r="H2834" s="186">
        <f t="shared" ca="1" si="90"/>
        <v>-2.664702621583138E-3</v>
      </c>
    </row>
    <row r="2835" spans="7:8">
      <c r="G2835" s="171">
        <v>2832</v>
      </c>
      <c r="H2835" s="186">
        <f t="shared" ca="1" si="90"/>
        <v>-1.4204127781345999E-2</v>
      </c>
    </row>
    <row r="2836" spans="7:8">
      <c r="G2836" s="171">
        <v>2833</v>
      </c>
      <c r="H2836" s="186">
        <f t="shared" ca="1" si="90"/>
        <v>8.2903805598374611E-4</v>
      </c>
    </row>
    <row r="2837" spans="7:8">
      <c r="G2837" s="171">
        <v>2834</v>
      </c>
      <c r="H2837" s="186">
        <f t="shared" ca="1" si="90"/>
        <v>-1.2433144866867276E-2</v>
      </c>
    </row>
    <row r="2838" spans="7:8">
      <c r="G2838" s="171">
        <v>2835</v>
      </c>
      <c r="H2838" s="186">
        <f t="shared" ca="1" si="90"/>
        <v>1.5110983173606769E-2</v>
      </c>
    </row>
    <row r="2839" spans="7:8">
      <c r="G2839" s="171">
        <v>2836</v>
      </c>
      <c r="H2839" s="186">
        <f t="shared" ca="1" si="90"/>
        <v>-9.8963698060892478E-3</v>
      </c>
    </row>
    <row r="2840" spans="7:8">
      <c r="G2840" s="171">
        <v>2837</v>
      </c>
      <c r="H2840" s="186">
        <f t="shared" ca="1" si="90"/>
        <v>3.8980521496399856E-2</v>
      </c>
    </row>
    <row r="2841" spans="7:8">
      <c r="G2841" s="171">
        <v>2838</v>
      </c>
      <c r="H2841" s="186">
        <f t="shared" ca="1" si="90"/>
        <v>-1.6628173148149215E-2</v>
      </c>
    </row>
    <row r="2842" spans="7:8">
      <c r="G2842" s="171">
        <v>2839</v>
      </c>
      <c r="H2842" s="186">
        <f t="shared" ca="1" si="90"/>
        <v>1.653061328136669E-2</v>
      </c>
    </row>
    <row r="2843" spans="7:8">
      <c r="G2843" s="171">
        <v>2840</v>
      </c>
      <c r="H2843" s="186">
        <f t="shared" ca="1" si="90"/>
        <v>-9.807516947063926E-3</v>
      </c>
    </row>
    <row r="2844" spans="7:8">
      <c r="G2844" s="171">
        <v>2841</v>
      </c>
      <c r="H2844" s="186">
        <f t="shared" ca="1" si="90"/>
        <v>-1.0321358602020414E-2</v>
      </c>
    </row>
    <row r="2845" spans="7:8">
      <c r="G2845" s="171">
        <v>2842</v>
      </c>
      <c r="H2845" s="186">
        <f t="shared" ca="1" si="90"/>
        <v>1.5757482734361117E-2</v>
      </c>
    </row>
    <row r="2846" spans="7:8">
      <c r="G2846" s="171">
        <v>2843</v>
      </c>
      <c r="H2846" s="186">
        <f t="shared" ca="1" si="90"/>
        <v>2.0510976957951047E-3</v>
      </c>
    </row>
    <row r="2847" spans="7:8">
      <c r="G2847" s="171">
        <v>2844</v>
      </c>
      <c r="H2847" s="186">
        <f t="shared" ca="1" si="90"/>
        <v>1.3207991594314883E-2</v>
      </c>
    </row>
    <row r="2848" spans="7:8">
      <c r="G2848" s="171">
        <v>2845</v>
      </c>
      <c r="H2848" s="186">
        <f t="shared" ca="1" si="90"/>
        <v>8.8148438057168467E-3</v>
      </c>
    </row>
    <row r="2849" spans="7:8">
      <c r="G2849" s="171">
        <v>2846</v>
      </c>
      <c r="H2849" s="186">
        <f t="shared" ca="1" si="90"/>
        <v>3.8249594203198664E-2</v>
      </c>
    </row>
    <row r="2850" spans="7:8">
      <c r="G2850" s="171">
        <v>2847</v>
      </c>
      <c r="H2850" s="186">
        <f t="shared" ca="1" si="90"/>
        <v>1.6073970700395211E-2</v>
      </c>
    </row>
    <row r="2851" spans="7:8">
      <c r="G2851" s="171">
        <v>2848</v>
      </c>
      <c r="H2851" s="186">
        <f t="shared" ca="1" si="90"/>
        <v>2.0288623047012729E-2</v>
      </c>
    </row>
    <row r="2852" spans="7:8">
      <c r="G2852" s="171">
        <v>2849</v>
      </c>
      <c r="H2852" s="186">
        <f t="shared" ca="1" si="90"/>
        <v>-1.0928464371323153E-2</v>
      </c>
    </row>
    <row r="2853" spans="7:8">
      <c r="G2853" s="171">
        <v>2850</v>
      </c>
      <c r="H2853" s="186">
        <f t="shared" ca="1" si="90"/>
        <v>2.5429142360205798E-2</v>
      </c>
    </row>
    <row r="2854" spans="7:8">
      <c r="G2854" s="171">
        <v>2851</v>
      </c>
      <c r="H2854" s="186">
        <f t="shared" ca="1" si="90"/>
        <v>-2.4279099734241184E-2</v>
      </c>
    </row>
    <row r="2855" spans="7:8">
      <c r="G2855" s="171">
        <v>2852</v>
      </c>
      <c r="H2855" s="186">
        <f t="shared" ca="1" si="90"/>
        <v>1.0336114139982342E-3</v>
      </c>
    </row>
    <row r="2856" spans="7:8">
      <c r="G2856" s="171">
        <v>2853</v>
      </c>
      <c r="H2856" s="186">
        <f t="shared" ca="1" si="90"/>
        <v>-5.6117761610866772E-5</v>
      </c>
    </row>
    <row r="2857" spans="7:8">
      <c r="G2857" s="171">
        <v>2854</v>
      </c>
      <c r="H2857" s="186">
        <f t="shared" ca="1" si="90"/>
        <v>1.0109630136492746E-2</v>
      </c>
    </row>
    <row r="2858" spans="7:8">
      <c r="G2858" s="171">
        <v>2855</v>
      </c>
      <c r="H2858" s="186">
        <f t="shared" ca="1" si="90"/>
        <v>-1.6930772437287789E-2</v>
      </c>
    </row>
    <row r="2859" spans="7:8">
      <c r="G2859" s="171">
        <v>2856</v>
      </c>
      <c r="H2859" s="186">
        <f t="shared" ca="1" si="90"/>
        <v>1.1023408712795406E-2</v>
      </c>
    </row>
    <row r="2860" spans="7:8">
      <c r="G2860" s="171">
        <v>2857</v>
      </c>
      <c r="H2860" s="186">
        <f t="shared" ca="1" si="90"/>
        <v>-1.2056825007995552E-2</v>
      </c>
    </row>
    <row r="2861" spans="7:8">
      <c r="G2861" s="171">
        <v>2858</v>
      </c>
      <c r="H2861" s="186">
        <f t="shared" ca="1" si="90"/>
        <v>9.1362580447790099E-3</v>
      </c>
    </row>
    <row r="2862" spans="7:8">
      <c r="G2862" s="171">
        <v>2859</v>
      </c>
      <c r="H2862" s="186">
        <f t="shared" ca="1" si="90"/>
        <v>5.8135753365535737E-3</v>
      </c>
    </row>
    <row r="2863" spans="7:8">
      <c r="G2863" s="171">
        <v>2860</v>
      </c>
      <c r="H2863" s="186">
        <f t="shared" ca="1" si="90"/>
        <v>4.2295975330370545E-3</v>
      </c>
    </row>
    <row r="2864" spans="7:8">
      <c r="G2864" s="171">
        <v>2861</v>
      </c>
      <c r="H2864" s="186">
        <f t="shared" ca="1" si="90"/>
        <v>-4.488332485795261E-3</v>
      </c>
    </row>
    <row r="2865" spans="7:8">
      <c r="G2865" s="171">
        <v>2862</v>
      </c>
      <c r="H2865" s="186">
        <f t="shared" ca="1" si="90"/>
        <v>-1.0078306267668953E-2</v>
      </c>
    </row>
    <row r="2866" spans="7:8">
      <c r="G2866" s="171">
        <v>2863</v>
      </c>
      <c r="H2866" s="186">
        <f t="shared" ca="1" si="90"/>
        <v>-2.2181717392593846E-2</v>
      </c>
    </row>
    <row r="2867" spans="7:8">
      <c r="G2867" s="171">
        <v>2864</v>
      </c>
      <c r="H2867" s="186">
        <f t="shared" ca="1" si="90"/>
        <v>-1.15134397533638E-2</v>
      </c>
    </row>
    <row r="2868" spans="7:8">
      <c r="G2868" s="171">
        <v>2865</v>
      </c>
      <c r="H2868" s="186">
        <f t="shared" ca="1" si="90"/>
        <v>7.0231870584158652E-3</v>
      </c>
    </row>
    <row r="2869" spans="7:8">
      <c r="G2869" s="171">
        <v>2866</v>
      </c>
      <c r="H2869" s="186">
        <f t="shared" ca="1" si="90"/>
        <v>3.9462808511076662E-2</v>
      </c>
    </row>
    <row r="2870" spans="7:8">
      <c r="G2870" s="171">
        <v>2867</v>
      </c>
      <c r="H2870" s="186">
        <f t="shared" ca="1" si="90"/>
        <v>-2.9515974031470785E-2</v>
      </c>
    </row>
    <row r="2871" spans="7:8">
      <c r="G2871" s="171">
        <v>2868</v>
      </c>
      <c r="H2871" s="186">
        <f t="shared" ca="1" si="90"/>
        <v>1.7622711242611576E-2</v>
      </c>
    </row>
    <row r="2872" spans="7:8">
      <c r="G2872" s="171">
        <v>2869</v>
      </c>
      <c r="H2872" s="186">
        <f t="shared" ca="1" si="90"/>
        <v>-1.4881012179799391E-2</v>
      </c>
    </row>
    <row r="2873" spans="7:8">
      <c r="G2873" s="171">
        <v>2870</v>
      </c>
      <c r="H2873" s="186">
        <f t="shared" ca="1" si="90"/>
        <v>-6.9588933346702731E-3</v>
      </c>
    </row>
    <row r="2874" spans="7:8">
      <c r="G2874" s="171">
        <v>2871</v>
      </c>
      <c r="H2874" s="186">
        <f t="shared" ca="1" si="90"/>
        <v>-1.0072542032297007E-2</v>
      </c>
    </row>
    <row r="2875" spans="7:8">
      <c r="G2875" s="171">
        <v>2872</v>
      </c>
      <c r="H2875" s="186">
        <f t="shared" ca="1" si="90"/>
        <v>-3.2647422413026148E-3</v>
      </c>
    </row>
    <row r="2876" spans="7:8">
      <c r="G2876" s="171">
        <v>2873</v>
      </c>
      <c r="H2876" s="186">
        <f t="shared" ca="1" si="90"/>
        <v>3.7337101547625569E-4</v>
      </c>
    </row>
    <row r="2877" spans="7:8">
      <c r="G2877" s="171">
        <v>2874</v>
      </c>
      <c r="H2877" s="186">
        <f t="shared" ca="1" si="90"/>
        <v>-2.9717283894155851E-2</v>
      </c>
    </row>
    <row r="2878" spans="7:8">
      <c r="G2878" s="171">
        <v>2875</v>
      </c>
      <c r="H2878" s="186">
        <f t="shared" ca="1" si="90"/>
        <v>5.6108258029339685E-4</v>
      </c>
    </row>
    <row r="2879" spans="7:8">
      <c r="G2879" s="171">
        <v>2876</v>
      </c>
      <c r="H2879" s="186">
        <f t="shared" ca="1" si="90"/>
        <v>-2.0566294071911965E-2</v>
      </c>
    </row>
    <row r="2880" spans="7:8">
      <c r="G2880" s="171">
        <v>2877</v>
      </c>
      <c r="H2880" s="186">
        <f t="shared" ca="1" si="90"/>
        <v>1.6016263742843199E-2</v>
      </c>
    </row>
    <row r="2881" spans="7:8">
      <c r="G2881" s="171">
        <v>2878</v>
      </c>
      <c r="H2881" s="186">
        <f t="shared" ca="1" si="90"/>
        <v>-7.1840515984329849E-3</v>
      </c>
    </row>
    <row r="2882" spans="7:8">
      <c r="G2882" s="171">
        <v>2879</v>
      </c>
      <c r="H2882" s="186">
        <f t="shared" ca="1" si="90"/>
        <v>1.6978388101634663E-2</v>
      </c>
    </row>
    <row r="2883" spans="7:8">
      <c r="G2883" s="171">
        <v>2880</v>
      </c>
      <c r="H2883" s="186">
        <f t="shared" ca="1" si="90"/>
        <v>1.3045452136994274E-2</v>
      </c>
    </row>
    <row r="2884" spans="7:8">
      <c r="G2884" s="171">
        <v>2881</v>
      </c>
      <c r="H2884" s="186">
        <f t="shared" ca="1" si="90"/>
        <v>1.4756379606362635E-2</v>
      </c>
    </row>
    <row r="2885" spans="7:8">
      <c r="G2885" s="171">
        <v>2882</v>
      </c>
      <c r="H2885" s="186">
        <f t="shared" ref="H2885:H2948" ca="1" si="91">_xlfn.NORM.INV(RAND(),N$6,N$7)</f>
        <v>-1.176941520146447E-2</v>
      </c>
    </row>
    <row r="2886" spans="7:8">
      <c r="G2886" s="171">
        <v>2883</v>
      </c>
      <c r="H2886" s="186">
        <f t="shared" ca="1" si="91"/>
        <v>-2.0190575750471899E-3</v>
      </c>
    </row>
    <row r="2887" spans="7:8">
      <c r="G2887" s="171">
        <v>2884</v>
      </c>
      <c r="H2887" s="186">
        <f t="shared" ca="1" si="91"/>
        <v>1.2596053807686134E-2</v>
      </c>
    </row>
    <row r="2888" spans="7:8">
      <c r="G2888" s="171">
        <v>2885</v>
      </c>
      <c r="H2888" s="186">
        <f t="shared" ca="1" si="91"/>
        <v>2.273356996859608E-2</v>
      </c>
    </row>
    <row r="2889" spans="7:8">
      <c r="G2889" s="171">
        <v>2886</v>
      </c>
      <c r="H2889" s="186">
        <f t="shared" ca="1" si="91"/>
        <v>-1.4544303398531364E-2</v>
      </c>
    </row>
    <row r="2890" spans="7:8">
      <c r="G2890" s="171">
        <v>2887</v>
      </c>
      <c r="H2890" s="186">
        <f t="shared" ca="1" si="91"/>
        <v>1.9412274155858025E-2</v>
      </c>
    </row>
    <row r="2891" spans="7:8">
      <c r="G2891" s="171">
        <v>2888</v>
      </c>
      <c r="H2891" s="186">
        <f t="shared" ca="1" si="91"/>
        <v>1.7269322123285324E-4</v>
      </c>
    </row>
    <row r="2892" spans="7:8">
      <c r="G2892" s="171">
        <v>2889</v>
      </c>
      <c r="H2892" s="186">
        <f t="shared" ca="1" si="91"/>
        <v>-1.3830097508561004E-2</v>
      </c>
    </row>
    <row r="2893" spans="7:8">
      <c r="G2893" s="171">
        <v>2890</v>
      </c>
      <c r="H2893" s="186">
        <f t="shared" ca="1" si="91"/>
        <v>-6.4679034526213491E-4</v>
      </c>
    </row>
    <row r="2894" spans="7:8">
      <c r="G2894" s="171">
        <v>2891</v>
      </c>
      <c r="H2894" s="186">
        <f t="shared" ca="1" si="91"/>
        <v>6.038558418630365E-3</v>
      </c>
    </row>
    <row r="2895" spans="7:8">
      <c r="G2895" s="171">
        <v>2892</v>
      </c>
      <c r="H2895" s="186">
        <f t="shared" ca="1" si="91"/>
        <v>2.7315034030018759E-3</v>
      </c>
    </row>
    <row r="2896" spans="7:8">
      <c r="G2896" s="171">
        <v>2893</v>
      </c>
      <c r="H2896" s="186">
        <f t="shared" ca="1" si="91"/>
        <v>1.9894146497147307E-2</v>
      </c>
    </row>
    <row r="2897" spans="7:8">
      <c r="G2897" s="171">
        <v>2894</v>
      </c>
      <c r="H2897" s="186">
        <f t="shared" ca="1" si="91"/>
        <v>1.7037480183363912E-2</v>
      </c>
    </row>
    <row r="2898" spans="7:8">
      <c r="G2898" s="171">
        <v>2895</v>
      </c>
      <c r="H2898" s="186">
        <f t="shared" ca="1" si="91"/>
        <v>-5.9213925890795743E-3</v>
      </c>
    </row>
    <row r="2899" spans="7:8">
      <c r="G2899" s="171">
        <v>2896</v>
      </c>
      <c r="H2899" s="186">
        <f t="shared" ca="1" si="91"/>
        <v>-1.121570204425788E-2</v>
      </c>
    </row>
    <row r="2900" spans="7:8">
      <c r="G2900" s="171">
        <v>2897</v>
      </c>
      <c r="H2900" s="186">
        <f t="shared" ca="1" si="91"/>
        <v>7.5214381386778488E-3</v>
      </c>
    </row>
    <row r="2901" spans="7:8">
      <c r="G2901" s="171">
        <v>2898</v>
      </c>
      <c r="H2901" s="186">
        <f t="shared" ca="1" si="91"/>
        <v>-2.7664999786865853E-3</v>
      </c>
    </row>
    <row r="2902" spans="7:8">
      <c r="G2902" s="171">
        <v>2899</v>
      </c>
      <c r="H2902" s="186">
        <f t="shared" ca="1" si="91"/>
        <v>-3.8807701956192292E-2</v>
      </c>
    </row>
    <row r="2903" spans="7:8">
      <c r="G2903" s="171">
        <v>2900</v>
      </c>
      <c r="H2903" s="186">
        <f t="shared" ca="1" si="91"/>
        <v>2.50051670241529E-2</v>
      </c>
    </row>
    <row r="2904" spans="7:8">
      <c r="G2904" s="171">
        <v>2901</v>
      </c>
      <c r="H2904" s="186">
        <f t="shared" ca="1" si="91"/>
        <v>1.9290524069385518E-2</v>
      </c>
    </row>
    <row r="2905" spans="7:8">
      <c r="G2905" s="171">
        <v>2902</v>
      </c>
      <c r="H2905" s="186">
        <f t="shared" ca="1" si="91"/>
        <v>8.5834078683714714E-3</v>
      </c>
    </row>
    <row r="2906" spans="7:8">
      <c r="G2906" s="171">
        <v>2903</v>
      </c>
      <c r="H2906" s="186">
        <f t="shared" ca="1" si="91"/>
        <v>8.87540976410503E-3</v>
      </c>
    </row>
    <row r="2907" spans="7:8">
      <c r="G2907" s="171">
        <v>2904</v>
      </c>
      <c r="H2907" s="186">
        <f t="shared" ca="1" si="91"/>
        <v>2.9966036376595094E-3</v>
      </c>
    </row>
    <row r="2908" spans="7:8">
      <c r="G2908" s="171">
        <v>2905</v>
      </c>
      <c r="H2908" s="186">
        <f t="shared" ca="1" si="91"/>
        <v>-1.363776558604088E-2</v>
      </c>
    </row>
    <row r="2909" spans="7:8">
      <c r="G2909" s="171">
        <v>2906</v>
      </c>
      <c r="H2909" s="186">
        <f t="shared" ca="1" si="91"/>
        <v>3.6607175602694827E-3</v>
      </c>
    </row>
    <row r="2910" spans="7:8">
      <c r="G2910" s="171">
        <v>2907</v>
      </c>
      <c r="H2910" s="186">
        <f t="shared" ca="1" si="91"/>
        <v>2.0429422644702058E-2</v>
      </c>
    </row>
    <row r="2911" spans="7:8">
      <c r="G2911" s="171">
        <v>2908</v>
      </c>
      <c r="H2911" s="186">
        <f t="shared" ca="1" si="91"/>
        <v>-5.1476388204617406E-3</v>
      </c>
    </row>
    <row r="2912" spans="7:8">
      <c r="G2912" s="171">
        <v>2909</v>
      </c>
      <c r="H2912" s="186">
        <f t="shared" ca="1" si="91"/>
        <v>1.8323705748873181E-5</v>
      </c>
    </row>
    <row r="2913" spans="7:8">
      <c r="G2913" s="171">
        <v>2910</v>
      </c>
      <c r="H2913" s="186">
        <f t="shared" ca="1" si="91"/>
        <v>2.4415782774376629E-2</v>
      </c>
    </row>
    <row r="2914" spans="7:8">
      <c r="G2914" s="171">
        <v>2911</v>
      </c>
      <c r="H2914" s="186">
        <f t="shared" ca="1" si="91"/>
        <v>5.1501064452866667E-3</v>
      </c>
    </row>
    <row r="2915" spans="7:8">
      <c r="G2915" s="171">
        <v>2912</v>
      </c>
      <c r="H2915" s="186">
        <f t="shared" ca="1" si="91"/>
        <v>-2.2428933282956868E-2</v>
      </c>
    </row>
    <row r="2916" spans="7:8">
      <c r="G2916" s="171">
        <v>2913</v>
      </c>
      <c r="H2916" s="186">
        <f t="shared" ca="1" si="91"/>
        <v>-2.3483833536715225E-3</v>
      </c>
    </row>
    <row r="2917" spans="7:8">
      <c r="G2917" s="171">
        <v>2914</v>
      </c>
      <c r="H2917" s="186">
        <f t="shared" ca="1" si="91"/>
        <v>-7.3953819560210439E-3</v>
      </c>
    </row>
    <row r="2918" spans="7:8">
      <c r="G2918" s="171">
        <v>2915</v>
      </c>
      <c r="H2918" s="186">
        <f t="shared" ca="1" si="91"/>
        <v>-1.4373238540612523E-2</v>
      </c>
    </row>
    <row r="2919" spans="7:8">
      <c r="G2919" s="171">
        <v>2916</v>
      </c>
      <c r="H2919" s="186">
        <f t="shared" ca="1" si="91"/>
        <v>-1.8472340016696318E-2</v>
      </c>
    </row>
    <row r="2920" spans="7:8">
      <c r="G2920" s="171">
        <v>2917</v>
      </c>
      <c r="H2920" s="186">
        <f t="shared" ca="1" si="91"/>
        <v>1.2375930451770083E-2</v>
      </c>
    </row>
    <row r="2921" spans="7:8">
      <c r="G2921" s="171">
        <v>2918</v>
      </c>
      <c r="H2921" s="186">
        <f t="shared" ca="1" si="91"/>
        <v>-8.4124771929994374E-3</v>
      </c>
    </row>
    <row r="2922" spans="7:8">
      <c r="G2922" s="171">
        <v>2919</v>
      </c>
      <c r="H2922" s="186">
        <f t="shared" ca="1" si="91"/>
        <v>4.8020687986590491E-3</v>
      </c>
    </row>
    <row r="2923" spans="7:8">
      <c r="G2923" s="171">
        <v>2920</v>
      </c>
      <c r="H2923" s="186">
        <f t="shared" ca="1" si="91"/>
        <v>-1.7554665426884734E-3</v>
      </c>
    </row>
    <row r="2924" spans="7:8">
      <c r="G2924" s="171">
        <v>2921</v>
      </c>
      <c r="H2924" s="186">
        <f t="shared" ca="1" si="91"/>
        <v>-5.5802151480259712E-3</v>
      </c>
    </row>
    <row r="2925" spans="7:8">
      <c r="G2925" s="171">
        <v>2922</v>
      </c>
      <c r="H2925" s="186">
        <f t="shared" ca="1" si="91"/>
        <v>1.5792608749407241E-2</v>
      </c>
    </row>
    <row r="2926" spans="7:8">
      <c r="G2926" s="171">
        <v>2923</v>
      </c>
      <c r="H2926" s="186">
        <f t="shared" ca="1" si="91"/>
        <v>-2.9299156409188523E-2</v>
      </c>
    </row>
    <row r="2927" spans="7:8">
      <c r="G2927" s="171">
        <v>2924</v>
      </c>
      <c r="H2927" s="186">
        <f t="shared" ca="1" si="91"/>
        <v>-1.3875008121466578E-2</v>
      </c>
    </row>
    <row r="2928" spans="7:8">
      <c r="G2928" s="171">
        <v>2925</v>
      </c>
      <c r="H2928" s="186">
        <f t="shared" ca="1" si="91"/>
        <v>-1.927421957345787E-2</v>
      </c>
    </row>
    <row r="2929" spans="7:8">
      <c r="G2929" s="171">
        <v>2926</v>
      </c>
      <c r="H2929" s="186">
        <f t="shared" ca="1" si="91"/>
        <v>-1.2910221444163332E-3</v>
      </c>
    </row>
    <row r="2930" spans="7:8">
      <c r="G2930" s="171">
        <v>2927</v>
      </c>
      <c r="H2930" s="186">
        <f t="shared" ca="1" si="91"/>
        <v>2.9020348423134917E-2</v>
      </c>
    </row>
    <row r="2931" spans="7:8">
      <c r="G2931" s="171">
        <v>2928</v>
      </c>
      <c r="H2931" s="186">
        <f t="shared" ca="1" si="91"/>
        <v>-1.5735224696249845E-2</v>
      </c>
    </row>
    <row r="2932" spans="7:8">
      <c r="G2932" s="171">
        <v>2929</v>
      </c>
      <c r="H2932" s="186">
        <f t="shared" ca="1" si="91"/>
        <v>-1.3896973300622319E-2</v>
      </c>
    </row>
    <row r="2933" spans="7:8">
      <c r="G2933" s="171">
        <v>2930</v>
      </c>
      <c r="H2933" s="186">
        <f t="shared" ca="1" si="91"/>
        <v>6.4169997406778112E-3</v>
      </c>
    </row>
    <row r="2934" spans="7:8">
      <c r="G2934" s="171">
        <v>2931</v>
      </c>
      <c r="H2934" s="186">
        <f t="shared" ca="1" si="91"/>
        <v>1.3410767818235152E-2</v>
      </c>
    </row>
    <row r="2935" spans="7:8">
      <c r="G2935" s="171">
        <v>2932</v>
      </c>
      <c r="H2935" s="186">
        <f t="shared" ca="1" si="91"/>
        <v>1.1553204179468753E-2</v>
      </c>
    </row>
    <row r="2936" spans="7:8">
      <c r="G2936" s="171">
        <v>2933</v>
      </c>
      <c r="H2936" s="186">
        <f t="shared" ca="1" si="91"/>
        <v>2.0822333905490112E-2</v>
      </c>
    </row>
    <row r="2937" spans="7:8">
      <c r="G2937" s="171">
        <v>2934</v>
      </c>
      <c r="H2937" s="186">
        <f t="shared" ca="1" si="91"/>
        <v>6.5396342029849933E-3</v>
      </c>
    </row>
    <row r="2938" spans="7:8">
      <c r="G2938" s="171">
        <v>2935</v>
      </c>
      <c r="H2938" s="186">
        <f t="shared" ca="1" si="91"/>
        <v>5.3301585703023745E-3</v>
      </c>
    </row>
    <row r="2939" spans="7:8">
      <c r="G2939" s="171">
        <v>2936</v>
      </c>
      <c r="H2939" s="186">
        <f t="shared" ca="1" si="91"/>
        <v>-1.1850750801567249E-3</v>
      </c>
    </row>
    <row r="2940" spans="7:8">
      <c r="G2940" s="171">
        <v>2937</v>
      </c>
      <c r="H2940" s="186">
        <f t="shared" ca="1" si="91"/>
        <v>-1.7009633990384528E-2</v>
      </c>
    </row>
    <row r="2941" spans="7:8">
      <c r="G2941" s="171">
        <v>2938</v>
      </c>
      <c r="H2941" s="186">
        <f t="shared" ca="1" si="91"/>
        <v>-3.46838945143381E-2</v>
      </c>
    </row>
    <row r="2942" spans="7:8">
      <c r="G2942" s="171">
        <v>2939</v>
      </c>
      <c r="H2942" s="186">
        <f t="shared" ca="1" si="91"/>
        <v>-3.9704163348033431E-3</v>
      </c>
    </row>
    <row r="2943" spans="7:8">
      <c r="G2943" s="171">
        <v>2940</v>
      </c>
      <c r="H2943" s="186">
        <f t="shared" ca="1" si="91"/>
        <v>-5.5368556712828817E-4</v>
      </c>
    </row>
    <row r="2944" spans="7:8">
      <c r="G2944" s="171">
        <v>2941</v>
      </c>
      <c r="H2944" s="186">
        <f t="shared" ca="1" si="91"/>
        <v>-7.8666250681781161E-4</v>
      </c>
    </row>
    <row r="2945" spans="7:8">
      <c r="G2945" s="171">
        <v>2942</v>
      </c>
      <c r="H2945" s="186">
        <f t="shared" ca="1" si="91"/>
        <v>-4.1030387524850116E-3</v>
      </c>
    </row>
    <row r="2946" spans="7:8">
      <c r="G2946" s="171">
        <v>2943</v>
      </c>
      <c r="H2946" s="186">
        <f t="shared" ca="1" si="91"/>
        <v>1.6127012043205824E-2</v>
      </c>
    </row>
    <row r="2947" spans="7:8">
      <c r="G2947" s="171">
        <v>2944</v>
      </c>
      <c r="H2947" s="186">
        <f t="shared" ca="1" si="91"/>
        <v>-1.25851076402508E-2</v>
      </c>
    </row>
    <row r="2948" spans="7:8">
      <c r="G2948" s="171">
        <v>2945</v>
      </c>
      <c r="H2948" s="186">
        <f t="shared" ca="1" si="91"/>
        <v>-9.5024773631974917E-3</v>
      </c>
    </row>
    <row r="2949" spans="7:8">
      <c r="G2949" s="171">
        <v>2946</v>
      </c>
      <c r="H2949" s="186">
        <f t="shared" ref="H2949:H3012" ca="1" si="92">_xlfn.NORM.INV(RAND(),N$6,N$7)</f>
        <v>-5.7840089557034159E-3</v>
      </c>
    </row>
    <row r="2950" spans="7:8">
      <c r="G2950" s="171">
        <v>2947</v>
      </c>
      <c r="H2950" s="186">
        <f t="shared" ca="1" si="92"/>
        <v>3.1426959309681338E-3</v>
      </c>
    </row>
    <row r="2951" spans="7:8">
      <c r="G2951" s="171">
        <v>2948</v>
      </c>
      <c r="H2951" s="186">
        <f t="shared" ca="1" si="92"/>
        <v>2.0077399698976275E-2</v>
      </c>
    </row>
    <row r="2952" spans="7:8">
      <c r="G2952" s="171">
        <v>2949</v>
      </c>
      <c r="H2952" s="186">
        <f t="shared" ca="1" si="92"/>
        <v>-2.4335479016616614E-3</v>
      </c>
    </row>
    <row r="2953" spans="7:8">
      <c r="G2953" s="171">
        <v>2950</v>
      </c>
      <c r="H2953" s="186">
        <f t="shared" ca="1" si="92"/>
        <v>-5.1716289928043779E-3</v>
      </c>
    </row>
    <row r="2954" spans="7:8">
      <c r="G2954" s="171">
        <v>2951</v>
      </c>
      <c r="H2954" s="186">
        <f t="shared" ca="1" si="92"/>
        <v>-5.0478601804705996E-4</v>
      </c>
    </row>
    <row r="2955" spans="7:8">
      <c r="G2955" s="171">
        <v>2952</v>
      </c>
      <c r="H2955" s="186">
        <f t="shared" ca="1" si="92"/>
        <v>-2.4990770563610124E-3</v>
      </c>
    </row>
    <row r="2956" spans="7:8">
      <c r="G2956" s="171">
        <v>2953</v>
      </c>
      <c r="H2956" s="186">
        <f t="shared" ca="1" si="92"/>
        <v>3.9359989398189644E-3</v>
      </c>
    </row>
    <row r="2957" spans="7:8">
      <c r="G2957" s="171">
        <v>2954</v>
      </c>
      <c r="H2957" s="186">
        <f t="shared" ca="1" si="92"/>
        <v>-8.706127549353725E-3</v>
      </c>
    </row>
    <row r="2958" spans="7:8">
      <c r="G2958" s="171">
        <v>2955</v>
      </c>
      <c r="H2958" s="186">
        <f t="shared" ca="1" si="92"/>
        <v>-1.9645828401874291E-2</v>
      </c>
    </row>
    <row r="2959" spans="7:8">
      <c r="G2959" s="171">
        <v>2956</v>
      </c>
      <c r="H2959" s="186">
        <f t="shared" ca="1" si="92"/>
        <v>3.6573512695034279E-3</v>
      </c>
    </row>
    <row r="2960" spans="7:8">
      <c r="G2960" s="171">
        <v>2957</v>
      </c>
      <c r="H2960" s="186">
        <f t="shared" ca="1" si="92"/>
        <v>8.0721834358794455E-3</v>
      </c>
    </row>
    <row r="2961" spans="7:8">
      <c r="G2961" s="171">
        <v>2958</v>
      </c>
      <c r="H2961" s="186">
        <f t="shared" ca="1" si="92"/>
        <v>-6.6794265378149649E-3</v>
      </c>
    </row>
    <row r="2962" spans="7:8">
      <c r="G2962" s="171">
        <v>2959</v>
      </c>
      <c r="H2962" s="186">
        <f t="shared" ca="1" si="92"/>
        <v>2.3546100469928263E-3</v>
      </c>
    </row>
    <row r="2963" spans="7:8">
      <c r="G2963" s="171">
        <v>2960</v>
      </c>
      <c r="H2963" s="186">
        <f t="shared" ca="1" si="92"/>
        <v>-5.1411912897450316E-3</v>
      </c>
    </row>
    <row r="2964" spans="7:8">
      <c r="G2964" s="171">
        <v>2961</v>
      </c>
      <c r="H2964" s="186">
        <f t="shared" ca="1" si="92"/>
        <v>2.2976396574707098E-2</v>
      </c>
    </row>
    <row r="2965" spans="7:8">
      <c r="G2965" s="171">
        <v>2962</v>
      </c>
      <c r="H2965" s="186">
        <f t="shared" ca="1" si="92"/>
        <v>-9.5624532532604094E-3</v>
      </c>
    </row>
    <row r="2966" spans="7:8">
      <c r="G2966" s="171">
        <v>2963</v>
      </c>
      <c r="H2966" s="186">
        <f t="shared" ca="1" si="92"/>
        <v>-1.448827366368516E-3</v>
      </c>
    </row>
    <row r="2967" spans="7:8">
      <c r="G2967" s="171">
        <v>2964</v>
      </c>
      <c r="H2967" s="186">
        <f t="shared" ca="1" si="92"/>
        <v>9.4798378695660178E-3</v>
      </c>
    </row>
    <row r="2968" spans="7:8">
      <c r="G2968" s="171">
        <v>2965</v>
      </c>
      <c r="H2968" s="186">
        <f t="shared" ca="1" si="92"/>
        <v>1.1364722707578724E-2</v>
      </c>
    </row>
    <row r="2969" spans="7:8">
      <c r="G2969" s="171">
        <v>2966</v>
      </c>
      <c r="H2969" s="186">
        <f t="shared" ca="1" si="92"/>
        <v>-7.1704515761191927E-3</v>
      </c>
    </row>
    <row r="2970" spans="7:8">
      <c r="G2970" s="171">
        <v>2967</v>
      </c>
      <c r="H2970" s="186">
        <f t="shared" ca="1" si="92"/>
        <v>1.2367853384552456E-2</v>
      </c>
    </row>
    <row r="2971" spans="7:8">
      <c r="G2971" s="171">
        <v>2968</v>
      </c>
      <c r="H2971" s="186">
        <f t="shared" ca="1" si="92"/>
        <v>-4.1735738524007584E-3</v>
      </c>
    </row>
    <row r="2972" spans="7:8">
      <c r="G2972" s="171">
        <v>2969</v>
      </c>
      <c r="H2972" s="186">
        <f t="shared" ca="1" si="92"/>
        <v>2.9545194360764918E-2</v>
      </c>
    </row>
    <row r="2973" spans="7:8">
      <c r="G2973" s="171">
        <v>2970</v>
      </c>
      <c r="H2973" s="186">
        <f t="shared" ca="1" si="92"/>
        <v>2.1007253272208462E-3</v>
      </c>
    </row>
    <row r="2974" spans="7:8">
      <c r="G2974" s="171">
        <v>2971</v>
      </c>
      <c r="H2974" s="186">
        <f t="shared" ca="1" si="92"/>
        <v>-3.2494795249905423E-2</v>
      </c>
    </row>
    <row r="2975" spans="7:8">
      <c r="G2975" s="171">
        <v>2972</v>
      </c>
      <c r="H2975" s="186">
        <f t="shared" ca="1" si="92"/>
        <v>-1.6631812395518107E-2</v>
      </c>
    </row>
    <row r="2976" spans="7:8">
      <c r="G2976" s="171">
        <v>2973</v>
      </c>
      <c r="H2976" s="186">
        <f t="shared" ca="1" si="92"/>
        <v>3.2559563605673394E-3</v>
      </c>
    </row>
    <row r="2977" spans="7:8">
      <c r="G2977" s="171">
        <v>2974</v>
      </c>
      <c r="H2977" s="186">
        <f t="shared" ca="1" si="92"/>
        <v>-7.8051859398097093E-3</v>
      </c>
    </row>
    <row r="2978" spans="7:8">
      <c r="G2978" s="171">
        <v>2975</v>
      </c>
      <c r="H2978" s="186">
        <f t="shared" ca="1" si="92"/>
        <v>5.4088946953550652E-3</v>
      </c>
    </row>
    <row r="2979" spans="7:8">
      <c r="G2979" s="171">
        <v>2976</v>
      </c>
      <c r="H2979" s="186">
        <f t="shared" ca="1" si="92"/>
        <v>-1.1221594810176936E-2</v>
      </c>
    </row>
    <row r="2980" spans="7:8">
      <c r="G2980" s="171">
        <v>2977</v>
      </c>
      <c r="H2980" s="186">
        <f t="shared" ca="1" si="92"/>
        <v>1.5471299840509153E-2</v>
      </c>
    </row>
    <row r="2981" spans="7:8">
      <c r="G2981" s="171">
        <v>2978</v>
      </c>
      <c r="H2981" s="186">
        <f t="shared" ca="1" si="92"/>
        <v>1.2891346138256456E-2</v>
      </c>
    </row>
    <row r="2982" spans="7:8">
      <c r="G2982" s="171">
        <v>2979</v>
      </c>
      <c r="H2982" s="186">
        <f t="shared" ca="1" si="92"/>
        <v>2.3715103335410818E-3</v>
      </c>
    </row>
    <row r="2983" spans="7:8">
      <c r="G2983" s="171">
        <v>2980</v>
      </c>
      <c r="H2983" s="186">
        <f t="shared" ca="1" si="92"/>
        <v>-5.6422854848580456E-3</v>
      </c>
    </row>
    <row r="2984" spans="7:8">
      <c r="G2984" s="171">
        <v>2981</v>
      </c>
      <c r="H2984" s="186">
        <f t="shared" ca="1" si="92"/>
        <v>-1.1885705704121749E-2</v>
      </c>
    </row>
    <row r="2985" spans="7:8">
      <c r="G2985" s="171">
        <v>2982</v>
      </c>
      <c r="H2985" s="186">
        <f t="shared" ca="1" si="92"/>
        <v>-1.3975045748230506E-2</v>
      </c>
    </row>
    <row r="2986" spans="7:8">
      <c r="G2986" s="171">
        <v>2983</v>
      </c>
      <c r="H2986" s="186">
        <f t="shared" ca="1" si="92"/>
        <v>-1.7243656511993248E-3</v>
      </c>
    </row>
    <row r="2987" spans="7:8">
      <c r="G2987" s="171">
        <v>2984</v>
      </c>
      <c r="H2987" s="186">
        <f t="shared" ca="1" si="92"/>
        <v>1.0312928808560435E-2</v>
      </c>
    </row>
    <row r="2988" spans="7:8">
      <c r="G2988" s="171">
        <v>2985</v>
      </c>
      <c r="H2988" s="186">
        <f t="shared" ca="1" si="92"/>
        <v>5.956004863199818E-3</v>
      </c>
    </row>
    <row r="2989" spans="7:8">
      <c r="G2989" s="171">
        <v>2986</v>
      </c>
      <c r="H2989" s="186">
        <f t="shared" ca="1" si="92"/>
        <v>1.1165240638885731E-2</v>
      </c>
    </row>
    <row r="2990" spans="7:8">
      <c r="G2990" s="171">
        <v>2987</v>
      </c>
      <c r="H2990" s="186">
        <f t="shared" ca="1" si="92"/>
        <v>-1.1112269936342135E-2</v>
      </c>
    </row>
    <row r="2991" spans="7:8">
      <c r="G2991" s="171">
        <v>2988</v>
      </c>
      <c r="H2991" s="186">
        <f t="shared" ca="1" si="92"/>
        <v>3.0100741088715837E-2</v>
      </c>
    </row>
    <row r="2992" spans="7:8">
      <c r="G2992" s="171">
        <v>2989</v>
      </c>
      <c r="H2992" s="186">
        <f t="shared" ca="1" si="92"/>
        <v>2.2489400674579909E-2</v>
      </c>
    </row>
    <row r="2993" spans="7:8">
      <c r="G2993" s="171">
        <v>2990</v>
      </c>
      <c r="H2993" s="186">
        <f t="shared" ca="1" si="92"/>
        <v>1.8638193989971998E-2</v>
      </c>
    </row>
    <row r="2994" spans="7:8">
      <c r="G2994" s="171">
        <v>2991</v>
      </c>
      <c r="H2994" s="186">
        <f t="shared" ca="1" si="92"/>
        <v>3.501445160689047E-2</v>
      </c>
    </row>
    <row r="2995" spans="7:8">
      <c r="G2995" s="171">
        <v>2992</v>
      </c>
      <c r="H2995" s="186">
        <f t="shared" ca="1" si="92"/>
        <v>2.1636728776748153E-2</v>
      </c>
    </row>
    <row r="2996" spans="7:8">
      <c r="G2996" s="171">
        <v>2993</v>
      </c>
      <c r="H2996" s="186">
        <f t="shared" ca="1" si="92"/>
        <v>7.2028153329665385E-3</v>
      </c>
    </row>
    <row r="2997" spans="7:8">
      <c r="G2997" s="171">
        <v>2994</v>
      </c>
      <c r="H2997" s="186">
        <f t="shared" ca="1" si="92"/>
        <v>-9.7833185929544417E-3</v>
      </c>
    </row>
    <row r="2998" spans="7:8">
      <c r="G2998" s="171">
        <v>2995</v>
      </c>
      <c r="H2998" s="186">
        <f t="shared" ca="1" si="92"/>
        <v>5.1652443323767293E-4</v>
      </c>
    </row>
    <row r="2999" spans="7:8">
      <c r="G2999" s="171">
        <v>2996</v>
      </c>
      <c r="H2999" s="186">
        <f t="shared" ca="1" si="92"/>
        <v>1.2325497133328082E-2</v>
      </c>
    </row>
    <row r="3000" spans="7:8">
      <c r="G3000" s="171">
        <v>2997</v>
      </c>
      <c r="H3000" s="186">
        <f t="shared" ca="1" si="92"/>
        <v>1.9810388983779764E-2</v>
      </c>
    </row>
    <row r="3001" spans="7:8">
      <c r="G3001" s="171">
        <v>2998</v>
      </c>
      <c r="H3001" s="186">
        <f t="shared" ca="1" si="92"/>
        <v>-6.4457660703524863E-3</v>
      </c>
    </row>
    <row r="3002" spans="7:8">
      <c r="G3002" s="171">
        <v>2999</v>
      </c>
      <c r="H3002" s="186">
        <f t="shared" ca="1" si="92"/>
        <v>-1.7298748365263236E-3</v>
      </c>
    </row>
    <row r="3003" spans="7:8">
      <c r="G3003" s="171">
        <v>3000</v>
      </c>
      <c r="H3003" s="186">
        <f t="shared" ca="1" si="92"/>
        <v>2.0144415995881392E-3</v>
      </c>
    </row>
    <row r="3004" spans="7:8">
      <c r="G3004" s="171">
        <v>3001</v>
      </c>
      <c r="H3004" s="186">
        <f t="shared" ca="1" si="92"/>
        <v>-7.053616449533672E-3</v>
      </c>
    </row>
    <row r="3005" spans="7:8">
      <c r="G3005" s="171">
        <v>3002</v>
      </c>
      <c r="H3005" s="186">
        <f t="shared" ca="1" si="92"/>
        <v>7.49082936796592E-3</v>
      </c>
    </row>
    <row r="3006" spans="7:8">
      <c r="G3006" s="171">
        <v>3003</v>
      </c>
      <c r="H3006" s="186">
        <f t="shared" ca="1" si="92"/>
        <v>1.1187463271299845E-2</v>
      </c>
    </row>
    <row r="3007" spans="7:8">
      <c r="G3007" s="171">
        <v>3004</v>
      </c>
      <c r="H3007" s="186">
        <f t="shared" ca="1" si="92"/>
        <v>1.0743299773194985E-2</v>
      </c>
    </row>
    <row r="3008" spans="7:8">
      <c r="G3008" s="171">
        <v>3005</v>
      </c>
      <c r="H3008" s="186">
        <f t="shared" ca="1" si="92"/>
        <v>2.901752395341832E-2</v>
      </c>
    </row>
    <row r="3009" spans="7:8">
      <c r="G3009" s="171">
        <v>3006</v>
      </c>
      <c r="H3009" s="186">
        <f t="shared" ca="1" si="92"/>
        <v>1.5205795333772958E-2</v>
      </c>
    </row>
    <row r="3010" spans="7:8">
      <c r="G3010" s="171">
        <v>3007</v>
      </c>
      <c r="H3010" s="186">
        <f t="shared" ca="1" si="92"/>
        <v>-1.0564616475473293E-2</v>
      </c>
    </row>
    <row r="3011" spans="7:8">
      <c r="G3011" s="171">
        <v>3008</v>
      </c>
      <c r="H3011" s="186">
        <f t="shared" ca="1" si="92"/>
        <v>1.2304780307768619E-2</v>
      </c>
    </row>
    <row r="3012" spans="7:8">
      <c r="G3012" s="171">
        <v>3009</v>
      </c>
      <c r="H3012" s="186">
        <f t="shared" ca="1" si="92"/>
        <v>3.2393895305611732E-3</v>
      </c>
    </row>
    <row r="3013" spans="7:8">
      <c r="G3013" s="171">
        <v>3010</v>
      </c>
      <c r="H3013" s="186">
        <f t="shared" ref="H3013:H3076" ca="1" si="93">_xlfn.NORM.INV(RAND(),N$6,N$7)</f>
        <v>3.4894373224983451E-3</v>
      </c>
    </row>
    <row r="3014" spans="7:8">
      <c r="G3014" s="171">
        <v>3011</v>
      </c>
      <c r="H3014" s="186">
        <f t="shared" ca="1" si="93"/>
        <v>-6.0348155096627944E-3</v>
      </c>
    </row>
    <row r="3015" spans="7:8">
      <c r="G3015" s="171">
        <v>3012</v>
      </c>
      <c r="H3015" s="186">
        <f t="shared" ca="1" si="93"/>
        <v>1.3908996287769971E-2</v>
      </c>
    </row>
    <row r="3016" spans="7:8">
      <c r="G3016" s="171">
        <v>3013</v>
      </c>
      <c r="H3016" s="186">
        <f t="shared" ca="1" si="93"/>
        <v>3.4919198155176134E-2</v>
      </c>
    </row>
    <row r="3017" spans="7:8">
      <c r="G3017" s="171">
        <v>3014</v>
      </c>
      <c r="H3017" s="186">
        <f t="shared" ca="1" si="93"/>
        <v>-7.268534339055316E-3</v>
      </c>
    </row>
    <row r="3018" spans="7:8">
      <c r="G3018" s="171">
        <v>3015</v>
      </c>
      <c r="H3018" s="186">
        <f t="shared" ca="1" si="93"/>
        <v>1.8869028727624901E-3</v>
      </c>
    </row>
    <row r="3019" spans="7:8">
      <c r="G3019" s="171">
        <v>3016</v>
      </c>
      <c r="H3019" s="186">
        <f t="shared" ca="1" si="93"/>
        <v>1.5555899643569335E-2</v>
      </c>
    </row>
    <row r="3020" spans="7:8">
      <c r="G3020" s="171">
        <v>3017</v>
      </c>
      <c r="H3020" s="186">
        <f t="shared" ca="1" si="93"/>
        <v>-1.4697174901605175E-2</v>
      </c>
    </row>
    <row r="3021" spans="7:8">
      <c r="G3021" s="171">
        <v>3018</v>
      </c>
      <c r="H3021" s="186">
        <f t="shared" ca="1" si="93"/>
        <v>4.5278390558360993E-3</v>
      </c>
    </row>
    <row r="3022" spans="7:8">
      <c r="G3022" s="171">
        <v>3019</v>
      </c>
      <c r="H3022" s="186">
        <f t="shared" ca="1" si="93"/>
        <v>1.8137171819364112E-2</v>
      </c>
    </row>
    <row r="3023" spans="7:8">
      <c r="G3023" s="171">
        <v>3020</v>
      </c>
      <c r="H3023" s="186">
        <f t="shared" ca="1" si="93"/>
        <v>2.3584137499581652E-3</v>
      </c>
    </row>
    <row r="3024" spans="7:8">
      <c r="G3024" s="171">
        <v>3021</v>
      </c>
      <c r="H3024" s="186">
        <f t="shared" ca="1" si="93"/>
        <v>1.7805352472004238E-2</v>
      </c>
    </row>
    <row r="3025" spans="7:8">
      <c r="G3025" s="171">
        <v>3022</v>
      </c>
      <c r="H3025" s="186">
        <f t="shared" ca="1" si="93"/>
        <v>2.4282265899019561E-2</v>
      </c>
    </row>
    <row r="3026" spans="7:8">
      <c r="G3026" s="171">
        <v>3023</v>
      </c>
      <c r="H3026" s="186">
        <f t="shared" ca="1" si="93"/>
        <v>8.8517598618924331E-4</v>
      </c>
    </row>
    <row r="3027" spans="7:8">
      <c r="G3027" s="171">
        <v>3024</v>
      </c>
      <c r="H3027" s="186">
        <f t="shared" ca="1" si="93"/>
        <v>-3.1489169951058886E-3</v>
      </c>
    </row>
    <row r="3028" spans="7:8">
      <c r="G3028" s="171">
        <v>3025</v>
      </c>
      <c r="H3028" s="186">
        <f t="shared" ca="1" si="93"/>
        <v>-4.7663115877329887E-3</v>
      </c>
    </row>
    <row r="3029" spans="7:8">
      <c r="G3029" s="171">
        <v>3026</v>
      </c>
      <c r="H3029" s="186">
        <f t="shared" ca="1" si="93"/>
        <v>2.6251534543869259E-2</v>
      </c>
    </row>
    <row r="3030" spans="7:8">
      <c r="G3030" s="171">
        <v>3027</v>
      </c>
      <c r="H3030" s="186">
        <f t="shared" ca="1" si="93"/>
        <v>1.1522957053758115E-2</v>
      </c>
    </row>
    <row r="3031" spans="7:8">
      <c r="G3031" s="171">
        <v>3028</v>
      </c>
      <c r="H3031" s="186">
        <f t="shared" ca="1" si="93"/>
        <v>-1.912813640463467E-2</v>
      </c>
    </row>
    <row r="3032" spans="7:8">
      <c r="G3032" s="171">
        <v>3029</v>
      </c>
      <c r="H3032" s="186">
        <f t="shared" ca="1" si="93"/>
        <v>-1.7852728744070342E-2</v>
      </c>
    </row>
    <row r="3033" spans="7:8">
      <c r="G3033" s="171">
        <v>3030</v>
      </c>
      <c r="H3033" s="186">
        <f t="shared" ca="1" si="93"/>
        <v>-3.2595604878024324E-3</v>
      </c>
    </row>
    <row r="3034" spans="7:8">
      <c r="G3034" s="171">
        <v>3031</v>
      </c>
      <c r="H3034" s="186">
        <f t="shared" ca="1" si="93"/>
        <v>-7.8575480668452921E-3</v>
      </c>
    </row>
    <row r="3035" spans="7:8">
      <c r="G3035" s="171">
        <v>3032</v>
      </c>
      <c r="H3035" s="186">
        <f t="shared" ca="1" si="93"/>
        <v>-1.779759091058733E-2</v>
      </c>
    </row>
    <row r="3036" spans="7:8">
      <c r="G3036" s="171">
        <v>3033</v>
      </c>
      <c r="H3036" s="186">
        <f t="shared" ca="1" si="93"/>
        <v>-2.0559143010567084E-2</v>
      </c>
    </row>
    <row r="3037" spans="7:8">
      <c r="G3037" s="171">
        <v>3034</v>
      </c>
      <c r="H3037" s="186">
        <f t="shared" ca="1" si="93"/>
        <v>3.6656799355384746E-3</v>
      </c>
    </row>
    <row r="3038" spans="7:8">
      <c r="G3038" s="171">
        <v>3035</v>
      </c>
      <c r="H3038" s="186">
        <f t="shared" ca="1" si="93"/>
        <v>-1.0176844745085696E-3</v>
      </c>
    </row>
    <row r="3039" spans="7:8">
      <c r="G3039" s="171">
        <v>3036</v>
      </c>
      <c r="H3039" s="186">
        <f t="shared" ca="1" si="93"/>
        <v>2.834955697290799E-3</v>
      </c>
    </row>
    <row r="3040" spans="7:8">
      <c r="G3040" s="171">
        <v>3037</v>
      </c>
      <c r="H3040" s="186">
        <f t="shared" ca="1" si="93"/>
        <v>-3.0865778861404228E-3</v>
      </c>
    </row>
    <row r="3041" spans="7:8">
      <c r="G3041" s="171">
        <v>3038</v>
      </c>
      <c r="H3041" s="186">
        <f t="shared" ca="1" si="93"/>
        <v>-6.8396725926100086E-3</v>
      </c>
    </row>
    <row r="3042" spans="7:8">
      <c r="G3042" s="171">
        <v>3039</v>
      </c>
      <c r="H3042" s="186">
        <f t="shared" ca="1" si="93"/>
        <v>5.9563195285109267E-3</v>
      </c>
    </row>
    <row r="3043" spans="7:8">
      <c r="G3043" s="171">
        <v>3040</v>
      </c>
      <c r="H3043" s="186">
        <f t="shared" ca="1" si="93"/>
        <v>7.2620100830348942E-3</v>
      </c>
    </row>
    <row r="3044" spans="7:8">
      <c r="G3044" s="171">
        <v>3041</v>
      </c>
      <c r="H3044" s="186">
        <f t="shared" ca="1" si="93"/>
        <v>1.0638525078467345E-2</v>
      </c>
    </row>
    <row r="3045" spans="7:8">
      <c r="G3045" s="171">
        <v>3042</v>
      </c>
      <c r="H3045" s="186">
        <f t="shared" ca="1" si="93"/>
        <v>1.239828187103219E-2</v>
      </c>
    </row>
    <row r="3046" spans="7:8">
      <c r="G3046" s="171">
        <v>3043</v>
      </c>
      <c r="H3046" s="186">
        <f t="shared" ca="1" si="93"/>
        <v>-1.8494688906724416E-2</v>
      </c>
    </row>
    <row r="3047" spans="7:8">
      <c r="G3047" s="171">
        <v>3044</v>
      </c>
      <c r="H3047" s="186">
        <f t="shared" ca="1" si="93"/>
        <v>-2.1656129879418503E-2</v>
      </c>
    </row>
    <row r="3048" spans="7:8">
      <c r="G3048" s="171">
        <v>3045</v>
      </c>
      <c r="H3048" s="186">
        <f t="shared" ca="1" si="93"/>
        <v>1.4919430527038778E-2</v>
      </c>
    </row>
    <row r="3049" spans="7:8">
      <c r="G3049" s="171">
        <v>3046</v>
      </c>
      <c r="H3049" s="186">
        <f t="shared" ca="1" si="93"/>
        <v>-1.485278892616518E-2</v>
      </c>
    </row>
    <row r="3050" spans="7:8">
      <c r="G3050" s="171">
        <v>3047</v>
      </c>
      <c r="H3050" s="186">
        <f t="shared" ca="1" si="93"/>
        <v>1.8200788219289898E-2</v>
      </c>
    </row>
    <row r="3051" spans="7:8">
      <c r="G3051" s="171">
        <v>3048</v>
      </c>
      <c r="H3051" s="186">
        <f t="shared" ca="1" si="93"/>
        <v>-7.355876214672979E-3</v>
      </c>
    </row>
    <row r="3052" spans="7:8">
      <c r="G3052" s="171">
        <v>3049</v>
      </c>
      <c r="H3052" s="186">
        <f t="shared" ca="1" si="93"/>
        <v>1.7896734815439266E-2</v>
      </c>
    </row>
    <row r="3053" spans="7:8">
      <c r="G3053" s="171">
        <v>3050</v>
      </c>
      <c r="H3053" s="186">
        <f t="shared" ca="1" si="93"/>
        <v>-1.8222101666880371E-2</v>
      </c>
    </row>
    <row r="3054" spans="7:8">
      <c r="G3054" s="171">
        <v>3051</v>
      </c>
      <c r="H3054" s="186">
        <f t="shared" ca="1" si="93"/>
        <v>-2.9494771112077217E-3</v>
      </c>
    </row>
    <row r="3055" spans="7:8">
      <c r="G3055" s="171">
        <v>3052</v>
      </c>
      <c r="H3055" s="186">
        <f t="shared" ca="1" si="93"/>
        <v>1.6736019677537323E-2</v>
      </c>
    </row>
    <row r="3056" spans="7:8">
      <c r="G3056" s="171">
        <v>3053</v>
      </c>
      <c r="H3056" s="186">
        <f t="shared" ca="1" si="93"/>
        <v>1.4638540266087637E-2</v>
      </c>
    </row>
    <row r="3057" spans="7:8">
      <c r="G3057" s="171">
        <v>3054</v>
      </c>
      <c r="H3057" s="186">
        <f t="shared" ca="1" si="93"/>
        <v>6.3251086587014418E-3</v>
      </c>
    </row>
    <row r="3058" spans="7:8">
      <c r="G3058" s="171">
        <v>3055</v>
      </c>
      <c r="H3058" s="186">
        <f t="shared" ca="1" si="93"/>
        <v>5.1044956319255454E-3</v>
      </c>
    </row>
    <row r="3059" spans="7:8">
      <c r="G3059" s="171">
        <v>3056</v>
      </c>
      <c r="H3059" s="186">
        <f t="shared" ca="1" si="93"/>
        <v>3.464249198147681E-4</v>
      </c>
    </row>
    <row r="3060" spans="7:8">
      <c r="G3060" s="171">
        <v>3057</v>
      </c>
      <c r="H3060" s="186">
        <f t="shared" ca="1" si="93"/>
        <v>-3.5827811390226408E-3</v>
      </c>
    </row>
    <row r="3061" spans="7:8">
      <c r="G3061" s="171">
        <v>3058</v>
      </c>
      <c r="H3061" s="186">
        <f t="shared" ca="1" si="93"/>
        <v>1.1767294202187079E-2</v>
      </c>
    </row>
    <row r="3062" spans="7:8">
      <c r="G3062" s="171">
        <v>3059</v>
      </c>
      <c r="H3062" s="186">
        <f t="shared" ca="1" si="93"/>
        <v>1.1846706783852912E-2</v>
      </c>
    </row>
    <row r="3063" spans="7:8">
      <c r="G3063" s="171">
        <v>3060</v>
      </c>
      <c r="H3063" s="186">
        <f t="shared" ca="1" si="93"/>
        <v>4.3693860062979227E-2</v>
      </c>
    </row>
    <row r="3064" spans="7:8">
      <c r="G3064" s="171">
        <v>3061</v>
      </c>
      <c r="H3064" s="186">
        <f t="shared" ca="1" si="93"/>
        <v>-1.0627525579642437E-2</v>
      </c>
    </row>
    <row r="3065" spans="7:8">
      <c r="G3065" s="171">
        <v>3062</v>
      </c>
      <c r="H3065" s="186">
        <f t="shared" ca="1" si="93"/>
        <v>3.7773408424542444E-2</v>
      </c>
    </row>
    <row r="3066" spans="7:8">
      <c r="G3066" s="171">
        <v>3063</v>
      </c>
      <c r="H3066" s="186">
        <f t="shared" ca="1" si="93"/>
        <v>9.1365947895154596E-3</v>
      </c>
    </row>
    <row r="3067" spans="7:8">
      <c r="G3067" s="171">
        <v>3064</v>
      </c>
      <c r="H3067" s="186">
        <f t="shared" ca="1" si="93"/>
        <v>1.7956961641956613E-2</v>
      </c>
    </row>
    <row r="3068" spans="7:8">
      <c r="G3068" s="171">
        <v>3065</v>
      </c>
      <c r="H3068" s="186">
        <f t="shared" ca="1" si="93"/>
        <v>-8.2074538164534742E-3</v>
      </c>
    </row>
    <row r="3069" spans="7:8">
      <c r="G3069" s="171">
        <v>3066</v>
      </c>
      <c r="H3069" s="186">
        <f t="shared" ca="1" si="93"/>
        <v>1.1698663623185335E-2</v>
      </c>
    </row>
    <row r="3070" spans="7:8">
      <c r="G3070" s="171">
        <v>3067</v>
      </c>
      <c r="H3070" s="186">
        <f t="shared" ca="1" si="93"/>
        <v>1.0274510139057495E-2</v>
      </c>
    </row>
    <row r="3071" spans="7:8">
      <c r="G3071" s="171">
        <v>3068</v>
      </c>
      <c r="H3071" s="186">
        <f t="shared" ca="1" si="93"/>
        <v>-3.2439125659647933E-2</v>
      </c>
    </row>
    <row r="3072" spans="7:8">
      <c r="G3072" s="171">
        <v>3069</v>
      </c>
      <c r="H3072" s="186">
        <f t="shared" ca="1" si="93"/>
        <v>-2.9451042252316797E-3</v>
      </c>
    </row>
    <row r="3073" spans="7:8">
      <c r="G3073" s="171">
        <v>3070</v>
      </c>
      <c r="H3073" s="186">
        <f t="shared" ca="1" si="93"/>
        <v>2.4011830524414132E-2</v>
      </c>
    </row>
    <row r="3074" spans="7:8">
      <c r="G3074" s="171">
        <v>3071</v>
      </c>
      <c r="H3074" s="186">
        <f t="shared" ca="1" si="93"/>
        <v>-3.0145751065362471E-2</v>
      </c>
    </row>
    <row r="3075" spans="7:8">
      <c r="G3075" s="171">
        <v>3072</v>
      </c>
      <c r="H3075" s="186">
        <f t="shared" ca="1" si="93"/>
        <v>1.0884972608567621E-2</v>
      </c>
    </row>
    <row r="3076" spans="7:8">
      <c r="G3076" s="171">
        <v>3073</v>
      </c>
      <c r="H3076" s="186">
        <f t="shared" ca="1" si="93"/>
        <v>-2.3285555042672657E-2</v>
      </c>
    </row>
    <row r="3077" spans="7:8">
      <c r="G3077" s="171">
        <v>3074</v>
      </c>
      <c r="H3077" s="186">
        <f t="shared" ref="H3077:H3140" ca="1" si="94">_xlfn.NORM.INV(RAND(),N$6,N$7)</f>
        <v>6.0997443715230741E-4</v>
      </c>
    </row>
    <row r="3078" spans="7:8">
      <c r="G3078" s="171">
        <v>3075</v>
      </c>
      <c r="H3078" s="186">
        <f t="shared" ca="1" si="94"/>
        <v>-1.1997913046419726E-3</v>
      </c>
    </row>
    <row r="3079" spans="7:8">
      <c r="G3079" s="171">
        <v>3076</v>
      </c>
      <c r="H3079" s="186">
        <f t="shared" ca="1" si="94"/>
        <v>-2.5841109435916554E-2</v>
      </c>
    </row>
    <row r="3080" spans="7:8">
      <c r="G3080" s="171">
        <v>3077</v>
      </c>
      <c r="H3080" s="186">
        <f t="shared" ca="1" si="94"/>
        <v>1.0295337390114965E-2</v>
      </c>
    </row>
    <row r="3081" spans="7:8">
      <c r="G3081" s="171">
        <v>3078</v>
      </c>
      <c r="H3081" s="186">
        <f t="shared" ca="1" si="94"/>
        <v>1.1030022483370301E-2</v>
      </c>
    </row>
    <row r="3082" spans="7:8">
      <c r="G3082" s="171">
        <v>3079</v>
      </c>
      <c r="H3082" s="186">
        <f t="shared" ca="1" si="94"/>
        <v>1.9120084886561275E-2</v>
      </c>
    </row>
    <row r="3083" spans="7:8">
      <c r="G3083" s="171">
        <v>3080</v>
      </c>
      <c r="H3083" s="186">
        <f t="shared" ca="1" si="94"/>
        <v>5.8277399953183635E-3</v>
      </c>
    </row>
    <row r="3084" spans="7:8">
      <c r="G3084" s="171">
        <v>3081</v>
      </c>
      <c r="H3084" s="186">
        <f t="shared" ca="1" si="94"/>
        <v>5.9255892921882382E-4</v>
      </c>
    </row>
    <row r="3085" spans="7:8">
      <c r="G3085" s="171">
        <v>3082</v>
      </c>
      <c r="H3085" s="186">
        <f t="shared" ca="1" si="94"/>
        <v>-1.8772727070887573E-2</v>
      </c>
    </row>
    <row r="3086" spans="7:8">
      <c r="G3086" s="171">
        <v>3083</v>
      </c>
      <c r="H3086" s="186">
        <f t="shared" ca="1" si="94"/>
        <v>-2.8567710751664231E-3</v>
      </c>
    </row>
    <row r="3087" spans="7:8">
      <c r="G3087" s="171">
        <v>3084</v>
      </c>
      <c r="H3087" s="186">
        <f t="shared" ca="1" si="94"/>
        <v>5.0712149839374906E-3</v>
      </c>
    </row>
    <row r="3088" spans="7:8">
      <c r="G3088" s="171">
        <v>3085</v>
      </c>
      <c r="H3088" s="186">
        <f t="shared" ca="1" si="94"/>
        <v>4.501867650953309E-2</v>
      </c>
    </row>
    <row r="3089" spans="7:8">
      <c r="G3089" s="171">
        <v>3086</v>
      </c>
      <c r="H3089" s="186">
        <f t="shared" ca="1" si="94"/>
        <v>2.1843574692218141E-2</v>
      </c>
    </row>
    <row r="3090" spans="7:8">
      <c r="G3090" s="171">
        <v>3087</v>
      </c>
      <c r="H3090" s="186">
        <f t="shared" ca="1" si="94"/>
        <v>1.3321560111971546E-2</v>
      </c>
    </row>
    <row r="3091" spans="7:8">
      <c r="G3091" s="171">
        <v>3088</v>
      </c>
      <c r="H3091" s="186">
        <f t="shared" ca="1" si="94"/>
        <v>-1.0033579164224043E-2</v>
      </c>
    </row>
    <row r="3092" spans="7:8">
      <c r="G3092" s="171">
        <v>3089</v>
      </c>
      <c r="H3092" s="186">
        <f t="shared" ca="1" si="94"/>
        <v>-2.3843403813484102E-2</v>
      </c>
    </row>
    <row r="3093" spans="7:8">
      <c r="G3093" s="171">
        <v>3090</v>
      </c>
      <c r="H3093" s="186">
        <f t="shared" ca="1" si="94"/>
        <v>-2.7772661438493072E-2</v>
      </c>
    </row>
    <row r="3094" spans="7:8">
      <c r="G3094" s="171">
        <v>3091</v>
      </c>
      <c r="H3094" s="186">
        <f t="shared" ca="1" si="94"/>
        <v>5.9791173920937342E-3</v>
      </c>
    </row>
    <row r="3095" spans="7:8">
      <c r="G3095" s="171">
        <v>3092</v>
      </c>
      <c r="H3095" s="186">
        <f t="shared" ca="1" si="94"/>
        <v>1.4169403979389532E-2</v>
      </c>
    </row>
    <row r="3096" spans="7:8">
      <c r="G3096" s="171">
        <v>3093</v>
      </c>
      <c r="H3096" s="186">
        <f t="shared" ca="1" si="94"/>
        <v>-2.0702594820815649E-2</v>
      </c>
    </row>
    <row r="3097" spans="7:8">
      <c r="G3097" s="171">
        <v>3094</v>
      </c>
      <c r="H3097" s="186">
        <f t="shared" ca="1" si="94"/>
        <v>1.9954212001948646E-4</v>
      </c>
    </row>
    <row r="3098" spans="7:8">
      <c r="G3098" s="171">
        <v>3095</v>
      </c>
      <c r="H3098" s="186">
        <f t="shared" ca="1" si="94"/>
        <v>-1.6974375343405158E-2</v>
      </c>
    </row>
    <row r="3099" spans="7:8">
      <c r="G3099" s="171">
        <v>3096</v>
      </c>
      <c r="H3099" s="186">
        <f t="shared" ca="1" si="94"/>
        <v>-1.604102139664193E-2</v>
      </c>
    </row>
    <row r="3100" spans="7:8">
      <c r="G3100" s="171">
        <v>3097</v>
      </c>
      <c r="H3100" s="186">
        <f t="shared" ca="1" si="94"/>
        <v>3.8498068559883497E-2</v>
      </c>
    </row>
    <row r="3101" spans="7:8">
      <c r="G3101" s="171">
        <v>3098</v>
      </c>
      <c r="H3101" s="186">
        <f t="shared" ca="1" si="94"/>
        <v>-1.3931055530915309E-2</v>
      </c>
    </row>
    <row r="3102" spans="7:8">
      <c r="G3102" s="171">
        <v>3099</v>
      </c>
      <c r="H3102" s="186">
        <f t="shared" ca="1" si="94"/>
        <v>2.9220545353110534E-2</v>
      </c>
    </row>
    <row r="3103" spans="7:8">
      <c r="G3103" s="171">
        <v>3100</v>
      </c>
      <c r="H3103" s="186">
        <f t="shared" ca="1" si="94"/>
        <v>-3.5554733701941201E-3</v>
      </c>
    </row>
    <row r="3104" spans="7:8">
      <c r="G3104" s="171">
        <v>3101</v>
      </c>
      <c r="H3104" s="186">
        <f t="shared" ca="1" si="94"/>
        <v>1.0394557788581921E-2</v>
      </c>
    </row>
    <row r="3105" spans="7:8">
      <c r="G3105" s="171">
        <v>3102</v>
      </c>
      <c r="H3105" s="186">
        <f t="shared" ca="1" si="94"/>
        <v>-1.0800003819048777E-2</v>
      </c>
    </row>
    <row r="3106" spans="7:8">
      <c r="G3106" s="171">
        <v>3103</v>
      </c>
      <c r="H3106" s="186">
        <f t="shared" ca="1" si="94"/>
        <v>-1.901589725161194E-2</v>
      </c>
    </row>
    <row r="3107" spans="7:8">
      <c r="G3107" s="171">
        <v>3104</v>
      </c>
      <c r="H3107" s="186">
        <f t="shared" ca="1" si="94"/>
        <v>1.8470611293373445E-2</v>
      </c>
    </row>
    <row r="3108" spans="7:8">
      <c r="G3108" s="171">
        <v>3105</v>
      </c>
      <c r="H3108" s="186">
        <f t="shared" ca="1" si="94"/>
        <v>-2.3857254155011498E-2</v>
      </c>
    </row>
    <row r="3109" spans="7:8">
      <c r="G3109" s="171">
        <v>3106</v>
      </c>
      <c r="H3109" s="186">
        <f t="shared" ca="1" si="94"/>
        <v>-1.4142479349382196E-2</v>
      </c>
    </row>
    <row r="3110" spans="7:8">
      <c r="G3110" s="171">
        <v>3107</v>
      </c>
      <c r="H3110" s="186">
        <f t="shared" ca="1" si="94"/>
        <v>-2.553762344725842E-2</v>
      </c>
    </row>
    <row r="3111" spans="7:8">
      <c r="G3111" s="171">
        <v>3108</v>
      </c>
      <c r="H3111" s="186">
        <f t="shared" ca="1" si="94"/>
        <v>1.1313539982914047E-3</v>
      </c>
    </row>
    <row r="3112" spans="7:8">
      <c r="G3112" s="171">
        <v>3109</v>
      </c>
      <c r="H3112" s="186">
        <f t="shared" ca="1" si="94"/>
        <v>1.2529962742664925E-2</v>
      </c>
    </row>
    <row r="3113" spans="7:8">
      <c r="G3113" s="171">
        <v>3110</v>
      </c>
      <c r="H3113" s="186">
        <f t="shared" ca="1" si="94"/>
        <v>2.7699749036050384E-2</v>
      </c>
    </row>
    <row r="3114" spans="7:8">
      <c r="G3114" s="171">
        <v>3111</v>
      </c>
      <c r="H3114" s="186">
        <f t="shared" ca="1" si="94"/>
        <v>3.4966179231318104E-2</v>
      </c>
    </row>
    <row r="3115" spans="7:8">
      <c r="G3115" s="171">
        <v>3112</v>
      </c>
      <c r="H3115" s="186">
        <f t="shared" ca="1" si="94"/>
        <v>-1.6804400298386913E-2</v>
      </c>
    </row>
    <row r="3116" spans="7:8">
      <c r="G3116" s="171">
        <v>3113</v>
      </c>
      <c r="H3116" s="186">
        <f t="shared" ca="1" si="94"/>
        <v>-5.7064744751352718E-3</v>
      </c>
    </row>
    <row r="3117" spans="7:8">
      <c r="G3117" s="171">
        <v>3114</v>
      </c>
      <c r="H3117" s="186">
        <f t="shared" ca="1" si="94"/>
        <v>-3.102072568907157E-2</v>
      </c>
    </row>
    <row r="3118" spans="7:8">
      <c r="G3118" s="171">
        <v>3115</v>
      </c>
      <c r="H3118" s="186">
        <f t="shared" ca="1" si="94"/>
        <v>1.9189567234548833E-2</v>
      </c>
    </row>
    <row r="3119" spans="7:8">
      <c r="G3119" s="171">
        <v>3116</v>
      </c>
      <c r="H3119" s="186">
        <f t="shared" ca="1" si="94"/>
        <v>4.7349224856594908E-3</v>
      </c>
    </row>
    <row r="3120" spans="7:8">
      <c r="G3120" s="171">
        <v>3117</v>
      </c>
      <c r="H3120" s="186">
        <f t="shared" ca="1" si="94"/>
        <v>-3.9520890222672419E-4</v>
      </c>
    </row>
    <row r="3121" spans="7:8">
      <c r="G3121" s="171">
        <v>3118</v>
      </c>
      <c r="H3121" s="186">
        <f t="shared" ca="1" si="94"/>
        <v>-2.9477002855702959E-2</v>
      </c>
    </row>
    <row r="3122" spans="7:8">
      <c r="G3122" s="171">
        <v>3119</v>
      </c>
      <c r="H3122" s="186">
        <f t="shared" ca="1" si="94"/>
        <v>-1.5348752598534861E-2</v>
      </c>
    </row>
    <row r="3123" spans="7:8">
      <c r="G3123" s="171">
        <v>3120</v>
      </c>
      <c r="H3123" s="186">
        <f t="shared" ca="1" si="94"/>
        <v>2.7702607865906768E-3</v>
      </c>
    </row>
    <row r="3124" spans="7:8">
      <c r="G3124" s="171">
        <v>3121</v>
      </c>
      <c r="H3124" s="186">
        <f t="shared" ca="1" si="94"/>
        <v>2.0586239811297875E-2</v>
      </c>
    </row>
    <row r="3125" spans="7:8">
      <c r="G3125" s="171">
        <v>3122</v>
      </c>
      <c r="H3125" s="186">
        <f t="shared" ca="1" si="94"/>
        <v>-5.0948246035090201E-3</v>
      </c>
    </row>
    <row r="3126" spans="7:8">
      <c r="G3126" s="171">
        <v>3123</v>
      </c>
      <c r="H3126" s="186">
        <f t="shared" ca="1" si="94"/>
        <v>-5.2139587134273219E-3</v>
      </c>
    </row>
    <row r="3127" spans="7:8">
      <c r="G3127" s="171">
        <v>3124</v>
      </c>
      <c r="H3127" s="186">
        <f t="shared" ca="1" si="94"/>
        <v>-8.1870755345395483E-3</v>
      </c>
    </row>
    <row r="3128" spans="7:8">
      <c r="G3128" s="171">
        <v>3125</v>
      </c>
      <c r="H3128" s="186">
        <f t="shared" ca="1" si="94"/>
        <v>8.6282192455934513E-3</v>
      </c>
    </row>
    <row r="3129" spans="7:8">
      <c r="G3129" s="171">
        <v>3126</v>
      </c>
      <c r="H3129" s="186">
        <f t="shared" ca="1" si="94"/>
        <v>6.2364027006451758E-3</v>
      </c>
    </row>
    <row r="3130" spans="7:8">
      <c r="G3130" s="171">
        <v>3127</v>
      </c>
      <c r="H3130" s="186">
        <f t="shared" ca="1" si="94"/>
        <v>4.0962905510949291E-3</v>
      </c>
    </row>
    <row r="3131" spans="7:8">
      <c r="G3131" s="171">
        <v>3128</v>
      </c>
      <c r="H3131" s="186">
        <f t="shared" ca="1" si="94"/>
        <v>1.2688341668148011E-2</v>
      </c>
    </row>
    <row r="3132" spans="7:8">
      <c r="G3132" s="171">
        <v>3129</v>
      </c>
      <c r="H3132" s="186">
        <f t="shared" ca="1" si="94"/>
        <v>-2.1498786673563523E-2</v>
      </c>
    </row>
    <row r="3133" spans="7:8">
      <c r="G3133" s="171">
        <v>3130</v>
      </c>
      <c r="H3133" s="186">
        <f t="shared" ca="1" si="94"/>
        <v>-1.8052231914749271E-2</v>
      </c>
    </row>
    <row r="3134" spans="7:8">
      <c r="G3134" s="171">
        <v>3131</v>
      </c>
      <c r="H3134" s="186">
        <f t="shared" ca="1" si="94"/>
        <v>1.9275346993943579E-2</v>
      </c>
    </row>
    <row r="3135" spans="7:8">
      <c r="G3135" s="171">
        <v>3132</v>
      </c>
      <c r="H3135" s="186">
        <f t="shared" ca="1" si="94"/>
        <v>-4.5781752080913734E-3</v>
      </c>
    </row>
    <row r="3136" spans="7:8">
      <c r="G3136" s="171">
        <v>3133</v>
      </c>
      <c r="H3136" s="186">
        <f t="shared" ca="1" si="94"/>
        <v>-7.2936893660991908E-3</v>
      </c>
    </row>
    <row r="3137" spans="7:8">
      <c r="G3137" s="171">
        <v>3134</v>
      </c>
      <c r="H3137" s="186">
        <f t="shared" ca="1" si="94"/>
        <v>4.2241996390728715E-3</v>
      </c>
    </row>
    <row r="3138" spans="7:8">
      <c r="G3138" s="171">
        <v>3135</v>
      </c>
      <c r="H3138" s="186">
        <f t="shared" ca="1" si="94"/>
        <v>-1.3332219602466984E-2</v>
      </c>
    </row>
    <row r="3139" spans="7:8">
      <c r="G3139" s="171">
        <v>3136</v>
      </c>
      <c r="H3139" s="186">
        <f t="shared" ca="1" si="94"/>
        <v>-4.9362982068922442E-3</v>
      </c>
    </row>
    <row r="3140" spans="7:8">
      <c r="G3140" s="171">
        <v>3137</v>
      </c>
      <c r="H3140" s="186">
        <f t="shared" ca="1" si="94"/>
        <v>2.1553491480172122E-3</v>
      </c>
    </row>
    <row r="3141" spans="7:8">
      <c r="G3141" s="171">
        <v>3138</v>
      </c>
      <c r="H3141" s="186">
        <f t="shared" ref="H3141:H3204" ca="1" si="95">_xlfn.NORM.INV(RAND(),N$6,N$7)</f>
        <v>1.0737843781240184E-3</v>
      </c>
    </row>
    <row r="3142" spans="7:8">
      <c r="G3142" s="171">
        <v>3139</v>
      </c>
      <c r="H3142" s="186">
        <f t="shared" ca="1" si="95"/>
        <v>9.8722011590522633E-3</v>
      </c>
    </row>
    <row r="3143" spans="7:8">
      <c r="G3143" s="171">
        <v>3140</v>
      </c>
      <c r="H3143" s="186">
        <f t="shared" ca="1" si="95"/>
        <v>2.6184024082164924E-3</v>
      </c>
    </row>
    <row r="3144" spans="7:8">
      <c r="G3144" s="171">
        <v>3141</v>
      </c>
      <c r="H3144" s="186">
        <f t="shared" ca="1" si="95"/>
        <v>-2.0686271223029811E-3</v>
      </c>
    </row>
    <row r="3145" spans="7:8">
      <c r="G3145" s="171">
        <v>3142</v>
      </c>
      <c r="H3145" s="186">
        <f t="shared" ca="1" si="95"/>
        <v>7.9984537393189238E-4</v>
      </c>
    </row>
    <row r="3146" spans="7:8">
      <c r="G3146" s="171">
        <v>3143</v>
      </c>
      <c r="H3146" s="186">
        <f t="shared" ca="1" si="95"/>
        <v>2.0097532914067247E-2</v>
      </c>
    </row>
    <row r="3147" spans="7:8">
      <c r="G3147" s="171">
        <v>3144</v>
      </c>
      <c r="H3147" s="186">
        <f t="shared" ca="1" si="95"/>
        <v>-6.1779425184818795E-3</v>
      </c>
    </row>
    <row r="3148" spans="7:8">
      <c r="G3148" s="171">
        <v>3145</v>
      </c>
      <c r="H3148" s="186">
        <f t="shared" ca="1" si="95"/>
        <v>-1.1062326954946695E-2</v>
      </c>
    </row>
    <row r="3149" spans="7:8">
      <c r="G3149" s="171">
        <v>3146</v>
      </c>
      <c r="H3149" s="186">
        <f t="shared" ca="1" si="95"/>
        <v>2.3544285135613845E-2</v>
      </c>
    </row>
    <row r="3150" spans="7:8">
      <c r="G3150" s="171">
        <v>3147</v>
      </c>
      <c r="H3150" s="186">
        <f t="shared" ca="1" si="95"/>
        <v>2.1495198989473691E-3</v>
      </c>
    </row>
    <row r="3151" spans="7:8">
      <c r="G3151" s="171">
        <v>3148</v>
      </c>
      <c r="H3151" s="186">
        <f t="shared" ca="1" si="95"/>
        <v>5.9877263797153109E-3</v>
      </c>
    </row>
    <row r="3152" spans="7:8">
      <c r="G3152" s="171">
        <v>3149</v>
      </c>
      <c r="H3152" s="186">
        <f t="shared" ca="1" si="95"/>
        <v>9.7028282094350979E-3</v>
      </c>
    </row>
    <row r="3153" spans="7:8">
      <c r="G3153" s="171">
        <v>3150</v>
      </c>
      <c r="H3153" s="186">
        <f t="shared" ca="1" si="95"/>
        <v>-3.7326829778504697E-2</v>
      </c>
    </row>
    <row r="3154" spans="7:8">
      <c r="G3154" s="171">
        <v>3151</v>
      </c>
      <c r="H3154" s="186">
        <f t="shared" ca="1" si="95"/>
        <v>2.1653397979054748E-2</v>
      </c>
    </row>
    <row r="3155" spans="7:8">
      <c r="G3155" s="171">
        <v>3152</v>
      </c>
      <c r="H3155" s="186">
        <f t="shared" ca="1" si="95"/>
        <v>2.0634913857208052E-2</v>
      </c>
    </row>
    <row r="3156" spans="7:8">
      <c r="G3156" s="171">
        <v>3153</v>
      </c>
      <c r="H3156" s="186">
        <f t="shared" ca="1" si="95"/>
        <v>-1.2589266167991522E-3</v>
      </c>
    </row>
    <row r="3157" spans="7:8">
      <c r="G3157" s="171">
        <v>3154</v>
      </c>
      <c r="H3157" s="186">
        <f t="shared" ca="1" si="95"/>
        <v>-3.8027442792147592E-3</v>
      </c>
    </row>
    <row r="3158" spans="7:8">
      <c r="G3158" s="171">
        <v>3155</v>
      </c>
      <c r="H3158" s="186">
        <f t="shared" ca="1" si="95"/>
        <v>-1.8315583714062521E-2</v>
      </c>
    </row>
    <row r="3159" spans="7:8">
      <c r="G3159" s="171">
        <v>3156</v>
      </c>
      <c r="H3159" s="186">
        <f t="shared" ca="1" si="95"/>
        <v>3.650321313159267E-3</v>
      </c>
    </row>
    <row r="3160" spans="7:8">
      <c r="G3160" s="171">
        <v>3157</v>
      </c>
      <c r="H3160" s="186">
        <f t="shared" ca="1" si="95"/>
        <v>7.3254385266485721E-3</v>
      </c>
    </row>
    <row r="3161" spans="7:8">
      <c r="G3161" s="171">
        <v>3158</v>
      </c>
      <c r="H3161" s="186">
        <f t="shared" ca="1" si="95"/>
        <v>4.5818139009717092E-3</v>
      </c>
    </row>
    <row r="3162" spans="7:8">
      <c r="G3162" s="171">
        <v>3159</v>
      </c>
      <c r="H3162" s="186">
        <f t="shared" ca="1" si="95"/>
        <v>-1.6301540601832E-3</v>
      </c>
    </row>
    <row r="3163" spans="7:8">
      <c r="G3163" s="171">
        <v>3160</v>
      </c>
      <c r="H3163" s="186">
        <f t="shared" ca="1" si="95"/>
        <v>-1.2824285886088192E-2</v>
      </c>
    </row>
    <row r="3164" spans="7:8">
      <c r="G3164" s="171">
        <v>3161</v>
      </c>
      <c r="H3164" s="186">
        <f t="shared" ca="1" si="95"/>
        <v>-1.855782236054463E-2</v>
      </c>
    </row>
    <row r="3165" spans="7:8">
      <c r="G3165" s="171">
        <v>3162</v>
      </c>
      <c r="H3165" s="186">
        <f t="shared" ca="1" si="95"/>
        <v>2.0255704150222122E-2</v>
      </c>
    </row>
    <row r="3166" spans="7:8">
      <c r="G3166" s="171">
        <v>3163</v>
      </c>
      <c r="H3166" s="186">
        <f t="shared" ca="1" si="95"/>
        <v>-1.0517055880365328E-2</v>
      </c>
    </row>
    <row r="3167" spans="7:8">
      <c r="G3167" s="171">
        <v>3164</v>
      </c>
      <c r="H3167" s="186">
        <f t="shared" ca="1" si="95"/>
        <v>-4.8836929447659154E-2</v>
      </c>
    </row>
    <row r="3168" spans="7:8">
      <c r="G3168" s="171">
        <v>3165</v>
      </c>
      <c r="H3168" s="186">
        <f t="shared" ca="1" si="95"/>
        <v>-2.3682117114810917E-2</v>
      </c>
    </row>
    <row r="3169" spans="7:8">
      <c r="G3169" s="171">
        <v>3166</v>
      </c>
      <c r="H3169" s="186">
        <f t="shared" ca="1" si="95"/>
        <v>-1.4892905858158861E-3</v>
      </c>
    </row>
    <row r="3170" spans="7:8">
      <c r="G3170" s="171">
        <v>3167</v>
      </c>
      <c r="H3170" s="186">
        <f t="shared" ca="1" si="95"/>
        <v>3.0186514207063719E-3</v>
      </c>
    </row>
    <row r="3171" spans="7:8">
      <c r="G3171" s="171">
        <v>3168</v>
      </c>
      <c r="H3171" s="186">
        <f t="shared" ca="1" si="95"/>
        <v>-7.4029000918639414E-3</v>
      </c>
    </row>
    <row r="3172" spans="7:8">
      <c r="G3172" s="171">
        <v>3169</v>
      </c>
      <c r="H3172" s="186">
        <f t="shared" ca="1" si="95"/>
        <v>4.6570558427962601E-2</v>
      </c>
    </row>
    <row r="3173" spans="7:8">
      <c r="G3173" s="171">
        <v>3170</v>
      </c>
      <c r="H3173" s="186">
        <f t="shared" ca="1" si="95"/>
        <v>-1.5201668201214442E-2</v>
      </c>
    </row>
    <row r="3174" spans="7:8">
      <c r="G3174" s="171">
        <v>3171</v>
      </c>
      <c r="H3174" s="186">
        <f t="shared" ca="1" si="95"/>
        <v>-6.2254243818229901E-3</v>
      </c>
    </row>
    <row r="3175" spans="7:8">
      <c r="G3175" s="171">
        <v>3172</v>
      </c>
      <c r="H3175" s="186">
        <f t="shared" ca="1" si="95"/>
        <v>-1.4743880548792885E-2</v>
      </c>
    </row>
    <row r="3176" spans="7:8">
      <c r="G3176" s="171">
        <v>3173</v>
      </c>
      <c r="H3176" s="186">
        <f t="shared" ca="1" si="95"/>
        <v>-4.3351344619519333E-3</v>
      </c>
    </row>
    <row r="3177" spans="7:8">
      <c r="G3177" s="171">
        <v>3174</v>
      </c>
      <c r="H3177" s="186">
        <f t="shared" ca="1" si="95"/>
        <v>1.263866575057713E-2</v>
      </c>
    </row>
    <row r="3178" spans="7:8">
      <c r="G3178" s="171">
        <v>3175</v>
      </c>
      <c r="H3178" s="186">
        <f t="shared" ca="1" si="95"/>
        <v>3.8944666588126377E-2</v>
      </c>
    </row>
    <row r="3179" spans="7:8">
      <c r="G3179" s="171">
        <v>3176</v>
      </c>
      <c r="H3179" s="186">
        <f t="shared" ca="1" si="95"/>
        <v>1.5819728791411785E-2</v>
      </c>
    </row>
    <row r="3180" spans="7:8">
      <c r="G3180" s="171">
        <v>3177</v>
      </c>
      <c r="H3180" s="186">
        <f t="shared" ca="1" si="95"/>
        <v>6.0286374217280309E-3</v>
      </c>
    </row>
    <row r="3181" spans="7:8">
      <c r="G3181" s="171">
        <v>3178</v>
      </c>
      <c r="H3181" s="186">
        <f t="shared" ca="1" si="95"/>
        <v>2.1005267335694592E-3</v>
      </c>
    </row>
    <row r="3182" spans="7:8">
      <c r="G3182" s="171">
        <v>3179</v>
      </c>
      <c r="H3182" s="186">
        <f t="shared" ca="1" si="95"/>
        <v>1.1549511656887598E-2</v>
      </c>
    </row>
    <row r="3183" spans="7:8">
      <c r="G3183" s="171">
        <v>3180</v>
      </c>
      <c r="H3183" s="186">
        <f t="shared" ca="1" si="95"/>
        <v>2.6421124902936216E-2</v>
      </c>
    </row>
    <row r="3184" spans="7:8">
      <c r="G3184" s="171">
        <v>3181</v>
      </c>
      <c r="H3184" s="186">
        <f t="shared" ca="1" si="95"/>
        <v>-1.3380436992576855E-2</v>
      </c>
    </row>
    <row r="3185" spans="7:8">
      <c r="G3185" s="171">
        <v>3182</v>
      </c>
      <c r="H3185" s="186">
        <f t="shared" ca="1" si="95"/>
        <v>2.2741775238508607E-2</v>
      </c>
    </row>
    <row r="3186" spans="7:8">
      <c r="G3186" s="171">
        <v>3183</v>
      </c>
      <c r="H3186" s="186">
        <f t="shared" ca="1" si="95"/>
        <v>-6.6500168291697389E-3</v>
      </c>
    </row>
    <row r="3187" spans="7:8">
      <c r="G3187" s="171">
        <v>3184</v>
      </c>
      <c r="H3187" s="186">
        <f t="shared" ca="1" si="95"/>
        <v>1.711328078244263E-2</v>
      </c>
    </row>
    <row r="3188" spans="7:8">
      <c r="G3188" s="171">
        <v>3185</v>
      </c>
      <c r="H3188" s="186">
        <f t="shared" ca="1" si="95"/>
        <v>9.1471916675305042E-4</v>
      </c>
    </row>
    <row r="3189" spans="7:8">
      <c r="G3189" s="171">
        <v>3186</v>
      </c>
      <c r="H3189" s="186">
        <f t="shared" ca="1" si="95"/>
        <v>-6.3413133952008177E-3</v>
      </c>
    </row>
    <row r="3190" spans="7:8">
      <c r="G3190" s="171">
        <v>3187</v>
      </c>
      <c r="H3190" s="186">
        <f t="shared" ca="1" si="95"/>
        <v>-3.0727149774848188E-2</v>
      </c>
    </row>
    <row r="3191" spans="7:8">
      <c r="G3191" s="171">
        <v>3188</v>
      </c>
      <c r="H3191" s="186">
        <f t="shared" ca="1" si="95"/>
        <v>-6.3786966247974409E-3</v>
      </c>
    </row>
    <row r="3192" spans="7:8">
      <c r="G3192" s="171">
        <v>3189</v>
      </c>
      <c r="H3192" s="186">
        <f t="shared" ca="1" si="95"/>
        <v>1.6376976715410135E-2</v>
      </c>
    </row>
    <row r="3193" spans="7:8">
      <c r="G3193" s="171">
        <v>3190</v>
      </c>
      <c r="H3193" s="186">
        <f t="shared" ca="1" si="95"/>
        <v>-2.4630989064309227E-4</v>
      </c>
    </row>
    <row r="3194" spans="7:8">
      <c r="G3194" s="171">
        <v>3191</v>
      </c>
      <c r="H3194" s="186">
        <f t="shared" ca="1" si="95"/>
        <v>3.0183037136750804E-2</v>
      </c>
    </row>
    <row r="3195" spans="7:8">
      <c r="G3195" s="171">
        <v>3192</v>
      </c>
      <c r="H3195" s="186">
        <f t="shared" ca="1" si="95"/>
        <v>-9.6273253827731508E-3</v>
      </c>
    </row>
    <row r="3196" spans="7:8">
      <c r="G3196" s="171">
        <v>3193</v>
      </c>
      <c r="H3196" s="186">
        <f t="shared" ca="1" si="95"/>
        <v>-1.4753144765481462E-2</v>
      </c>
    </row>
    <row r="3197" spans="7:8">
      <c r="G3197" s="171">
        <v>3194</v>
      </c>
      <c r="H3197" s="186">
        <f t="shared" ca="1" si="95"/>
        <v>-2.7685610667178853E-2</v>
      </c>
    </row>
    <row r="3198" spans="7:8">
      <c r="G3198" s="171">
        <v>3195</v>
      </c>
      <c r="H3198" s="186">
        <f t="shared" ca="1" si="95"/>
        <v>9.8492403760602337E-3</v>
      </c>
    </row>
    <row r="3199" spans="7:8">
      <c r="G3199" s="171">
        <v>3196</v>
      </c>
      <c r="H3199" s="186">
        <f t="shared" ca="1" si="95"/>
        <v>1.6252532498959946E-2</v>
      </c>
    </row>
    <row r="3200" spans="7:8">
      <c r="G3200" s="171">
        <v>3197</v>
      </c>
      <c r="H3200" s="186">
        <f t="shared" ca="1" si="95"/>
        <v>1.0651864631396619E-2</v>
      </c>
    </row>
    <row r="3201" spans="7:8">
      <c r="G3201" s="171">
        <v>3198</v>
      </c>
      <c r="H3201" s="186">
        <f t="shared" ca="1" si="95"/>
        <v>7.1807737540749402E-3</v>
      </c>
    </row>
    <row r="3202" spans="7:8">
      <c r="G3202" s="171">
        <v>3199</v>
      </c>
      <c r="H3202" s="186">
        <f t="shared" ca="1" si="95"/>
        <v>7.8694844032419567E-3</v>
      </c>
    </row>
    <row r="3203" spans="7:8">
      <c r="G3203" s="171">
        <v>3200</v>
      </c>
      <c r="H3203" s="186">
        <f t="shared" ca="1" si="95"/>
        <v>5.0327021118255081E-3</v>
      </c>
    </row>
    <row r="3204" spans="7:8">
      <c r="G3204" s="171">
        <v>3201</v>
      </c>
      <c r="H3204" s="186">
        <f t="shared" ca="1" si="95"/>
        <v>2.5234356413273189E-2</v>
      </c>
    </row>
    <row r="3205" spans="7:8">
      <c r="G3205" s="171">
        <v>3202</v>
      </c>
      <c r="H3205" s="186">
        <f t="shared" ref="H3205:H3268" ca="1" si="96">_xlfn.NORM.INV(RAND(),N$6,N$7)</f>
        <v>-7.6471261249121134E-3</v>
      </c>
    </row>
    <row r="3206" spans="7:8">
      <c r="G3206" s="171">
        <v>3203</v>
      </c>
      <c r="H3206" s="186">
        <f t="shared" ca="1" si="96"/>
        <v>-6.9541583980531135E-4</v>
      </c>
    </row>
    <row r="3207" spans="7:8">
      <c r="G3207" s="171">
        <v>3204</v>
      </c>
      <c r="H3207" s="186">
        <f t="shared" ca="1" si="96"/>
        <v>1.1017266046221424E-2</v>
      </c>
    </row>
    <row r="3208" spans="7:8">
      <c r="G3208" s="171">
        <v>3205</v>
      </c>
      <c r="H3208" s="186">
        <f t="shared" ca="1" si="96"/>
        <v>3.9055565263008095E-2</v>
      </c>
    </row>
    <row r="3209" spans="7:8">
      <c r="G3209" s="171">
        <v>3206</v>
      </c>
      <c r="H3209" s="186">
        <f t="shared" ca="1" si="96"/>
        <v>-6.188202910136653E-3</v>
      </c>
    </row>
    <row r="3210" spans="7:8">
      <c r="G3210" s="171">
        <v>3207</v>
      </c>
      <c r="H3210" s="186">
        <f t="shared" ca="1" si="96"/>
        <v>-1.4859686514026942E-3</v>
      </c>
    </row>
    <row r="3211" spans="7:8">
      <c r="G3211" s="171">
        <v>3208</v>
      </c>
      <c r="H3211" s="186">
        <f t="shared" ca="1" si="96"/>
        <v>4.7248110183489601E-3</v>
      </c>
    </row>
    <row r="3212" spans="7:8">
      <c r="G3212" s="171">
        <v>3209</v>
      </c>
      <c r="H3212" s="186">
        <f t="shared" ca="1" si="96"/>
        <v>3.4609064865420223E-2</v>
      </c>
    </row>
    <row r="3213" spans="7:8">
      <c r="G3213" s="171">
        <v>3210</v>
      </c>
      <c r="H3213" s="186">
        <f t="shared" ca="1" si="96"/>
        <v>2.3488310681584839E-2</v>
      </c>
    </row>
    <row r="3214" spans="7:8">
      <c r="G3214" s="171">
        <v>3211</v>
      </c>
      <c r="H3214" s="186">
        <f t="shared" ca="1" si="96"/>
        <v>2.0459016175542223E-3</v>
      </c>
    </row>
    <row r="3215" spans="7:8">
      <c r="G3215" s="171">
        <v>3212</v>
      </c>
      <c r="H3215" s="186">
        <f t="shared" ca="1" si="96"/>
        <v>3.7521948803083106E-2</v>
      </c>
    </row>
    <row r="3216" spans="7:8">
      <c r="G3216" s="171">
        <v>3213</v>
      </c>
      <c r="H3216" s="186">
        <f t="shared" ca="1" si="96"/>
        <v>1.655290721126957E-3</v>
      </c>
    </row>
    <row r="3217" spans="7:8">
      <c r="G3217" s="171">
        <v>3214</v>
      </c>
      <c r="H3217" s="186">
        <f t="shared" ca="1" si="96"/>
        <v>7.2772344349717041E-3</v>
      </c>
    </row>
    <row r="3218" spans="7:8">
      <c r="G3218" s="171">
        <v>3215</v>
      </c>
      <c r="H3218" s="186">
        <f t="shared" ca="1" si="96"/>
        <v>-7.2643545135275779E-3</v>
      </c>
    </row>
    <row r="3219" spans="7:8">
      <c r="G3219" s="171">
        <v>3216</v>
      </c>
      <c r="H3219" s="186">
        <f t="shared" ca="1" si="96"/>
        <v>5.7754942072233443E-3</v>
      </c>
    </row>
    <row r="3220" spans="7:8">
      <c r="G3220" s="171">
        <v>3217</v>
      </c>
      <c r="H3220" s="186">
        <f t="shared" ca="1" si="96"/>
        <v>-8.3188721652735585E-3</v>
      </c>
    </row>
    <row r="3221" spans="7:8">
      <c r="G3221" s="171">
        <v>3218</v>
      </c>
      <c r="H3221" s="186">
        <f t="shared" ca="1" si="96"/>
        <v>1.6777670551353808E-2</v>
      </c>
    </row>
    <row r="3222" spans="7:8">
      <c r="G3222" s="171">
        <v>3219</v>
      </c>
      <c r="H3222" s="186">
        <f t="shared" ca="1" si="96"/>
        <v>1.3662151159332479E-2</v>
      </c>
    </row>
    <row r="3223" spans="7:8">
      <c r="G3223" s="171">
        <v>3220</v>
      </c>
      <c r="H3223" s="186">
        <f t="shared" ca="1" si="96"/>
        <v>-7.436061945921298E-4</v>
      </c>
    </row>
    <row r="3224" spans="7:8">
      <c r="G3224" s="171">
        <v>3221</v>
      </c>
      <c r="H3224" s="186">
        <f t="shared" ca="1" si="96"/>
        <v>-2.3937714989464731E-2</v>
      </c>
    </row>
    <row r="3225" spans="7:8">
      <c r="G3225" s="171">
        <v>3222</v>
      </c>
      <c r="H3225" s="186">
        <f t="shared" ca="1" si="96"/>
        <v>-6.2244312402293944E-3</v>
      </c>
    </row>
    <row r="3226" spans="7:8">
      <c r="G3226" s="171">
        <v>3223</v>
      </c>
      <c r="H3226" s="186">
        <f t="shared" ca="1" si="96"/>
        <v>1.2005499976741225E-3</v>
      </c>
    </row>
    <row r="3227" spans="7:8">
      <c r="G3227" s="171">
        <v>3224</v>
      </c>
      <c r="H3227" s="186">
        <f t="shared" ca="1" si="96"/>
        <v>2.4896315808674026E-2</v>
      </c>
    </row>
    <row r="3228" spans="7:8">
      <c r="G3228" s="171">
        <v>3225</v>
      </c>
      <c r="H3228" s="186">
        <f t="shared" ca="1" si="96"/>
        <v>-1.2471777626556078E-2</v>
      </c>
    </row>
    <row r="3229" spans="7:8">
      <c r="G3229" s="171">
        <v>3226</v>
      </c>
      <c r="H3229" s="186">
        <f t="shared" ca="1" si="96"/>
        <v>2.3207890377312385E-2</v>
      </c>
    </row>
    <row r="3230" spans="7:8">
      <c r="G3230" s="171">
        <v>3227</v>
      </c>
      <c r="H3230" s="186">
        <f t="shared" ca="1" si="96"/>
        <v>-3.2712320696593172E-3</v>
      </c>
    </row>
    <row r="3231" spans="7:8">
      <c r="G3231" s="171">
        <v>3228</v>
      </c>
      <c r="H3231" s="186">
        <f t="shared" ca="1" si="96"/>
        <v>-1.4562177318621023E-2</v>
      </c>
    </row>
    <row r="3232" spans="7:8">
      <c r="G3232" s="171">
        <v>3229</v>
      </c>
      <c r="H3232" s="186">
        <f t="shared" ca="1" si="96"/>
        <v>1.0595814632253854E-2</v>
      </c>
    </row>
    <row r="3233" spans="7:8">
      <c r="G3233" s="171">
        <v>3230</v>
      </c>
      <c r="H3233" s="186">
        <f t="shared" ca="1" si="96"/>
        <v>-1.0400563581173182E-2</v>
      </c>
    </row>
    <row r="3234" spans="7:8">
      <c r="G3234" s="171">
        <v>3231</v>
      </c>
      <c r="H3234" s="186">
        <f t="shared" ca="1" si="96"/>
        <v>-3.9370849471420995E-3</v>
      </c>
    </row>
    <row r="3235" spans="7:8">
      <c r="G3235" s="171">
        <v>3232</v>
      </c>
      <c r="H3235" s="186">
        <f t="shared" ca="1" si="96"/>
        <v>1.6750379370331914E-2</v>
      </c>
    </row>
    <row r="3236" spans="7:8">
      <c r="G3236" s="171">
        <v>3233</v>
      </c>
      <c r="H3236" s="186">
        <f t="shared" ca="1" si="96"/>
        <v>-1.5778436277069947E-2</v>
      </c>
    </row>
    <row r="3237" spans="7:8">
      <c r="G3237" s="171">
        <v>3234</v>
      </c>
      <c r="H3237" s="186">
        <f t="shared" ca="1" si="96"/>
        <v>-1.0476825801962434E-2</v>
      </c>
    </row>
    <row r="3238" spans="7:8">
      <c r="G3238" s="171">
        <v>3235</v>
      </c>
      <c r="H3238" s="186">
        <f t="shared" ca="1" si="96"/>
        <v>-1.1803289393874882E-2</v>
      </c>
    </row>
    <row r="3239" spans="7:8">
      <c r="G3239" s="171">
        <v>3236</v>
      </c>
      <c r="H3239" s="186">
        <f t="shared" ca="1" si="96"/>
        <v>-2.7106236044963122E-2</v>
      </c>
    </row>
    <row r="3240" spans="7:8">
      <c r="G3240" s="171">
        <v>3237</v>
      </c>
      <c r="H3240" s="186">
        <f t="shared" ca="1" si="96"/>
        <v>1.1498243237209153E-3</v>
      </c>
    </row>
    <row r="3241" spans="7:8">
      <c r="G3241" s="171">
        <v>3238</v>
      </c>
      <c r="H3241" s="186">
        <f t="shared" ca="1" si="96"/>
        <v>4.3469473744655929E-2</v>
      </c>
    </row>
    <row r="3242" spans="7:8">
      <c r="G3242" s="171">
        <v>3239</v>
      </c>
      <c r="H3242" s="186">
        <f t="shared" ca="1" si="96"/>
        <v>9.5352359185957823E-3</v>
      </c>
    </row>
    <row r="3243" spans="7:8">
      <c r="G3243" s="171">
        <v>3240</v>
      </c>
      <c r="H3243" s="186">
        <f t="shared" ca="1" si="96"/>
        <v>-5.0832201916069751E-4</v>
      </c>
    </row>
    <row r="3244" spans="7:8">
      <c r="G3244" s="171">
        <v>3241</v>
      </c>
      <c r="H3244" s="186">
        <f t="shared" ca="1" si="96"/>
        <v>1.7995652453215796E-2</v>
      </c>
    </row>
    <row r="3245" spans="7:8">
      <c r="G3245" s="171">
        <v>3242</v>
      </c>
      <c r="H3245" s="186">
        <f t="shared" ca="1" si="96"/>
        <v>3.4728513798144019E-2</v>
      </c>
    </row>
    <row r="3246" spans="7:8">
      <c r="G3246" s="171">
        <v>3243</v>
      </c>
      <c r="H3246" s="186">
        <f t="shared" ca="1" si="96"/>
        <v>2.7009455243434465E-2</v>
      </c>
    </row>
    <row r="3247" spans="7:8">
      <c r="G3247" s="171">
        <v>3244</v>
      </c>
      <c r="H3247" s="186">
        <f t="shared" ca="1" si="96"/>
        <v>-1.3963435024219949E-2</v>
      </c>
    </row>
    <row r="3248" spans="7:8">
      <c r="G3248" s="171">
        <v>3245</v>
      </c>
      <c r="H3248" s="186">
        <f t="shared" ca="1" si="96"/>
        <v>-1.2568961733529234E-2</v>
      </c>
    </row>
    <row r="3249" spans="7:8">
      <c r="G3249" s="171">
        <v>3246</v>
      </c>
      <c r="H3249" s="186">
        <f t="shared" ca="1" si="96"/>
        <v>-1.5236407281662848E-3</v>
      </c>
    </row>
    <row r="3250" spans="7:8">
      <c r="G3250" s="171">
        <v>3247</v>
      </c>
      <c r="H3250" s="186">
        <f t="shared" ca="1" si="96"/>
        <v>4.0650357971019182E-3</v>
      </c>
    </row>
    <row r="3251" spans="7:8">
      <c r="G3251" s="171">
        <v>3248</v>
      </c>
      <c r="H3251" s="186">
        <f t="shared" ca="1" si="96"/>
        <v>-3.5459283008951369E-2</v>
      </c>
    </row>
    <row r="3252" spans="7:8">
      <c r="G3252" s="171">
        <v>3249</v>
      </c>
      <c r="H3252" s="186">
        <f t="shared" ca="1" si="96"/>
        <v>7.2523823967456415E-3</v>
      </c>
    </row>
    <row r="3253" spans="7:8">
      <c r="G3253" s="171">
        <v>3250</v>
      </c>
      <c r="H3253" s="186">
        <f t="shared" ca="1" si="96"/>
        <v>4.6500023154966551E-3</v>
      </c>
    </row>
    <row r="3254" spans="7:8">
      <c r="G3254" s="171">
        <v>3251</v>
      </c>
      <c r="H3254" s="186">
        <f t="shared" ca="1" si="96"/>
        <v>-9.5770110933232448E-3</v>
      </c>
    </row>
    <row r="3255" spans="7:8">
      <c r="G3255" s="171">
        <v>3252</v>
      </c>
      <c r="H3255" s="186">
        <f t="shared" ca="1" si="96"/>
        <v>2.4753265428589725E-3</v>
      </c>
    </row>
    <row r="3256" spans="7:8">
      <c r="G3256" s="171">
        <v>3253</v>
      </c>
      <c r="H3256" s="186">
        <f t="shared" ca="1" si="96"/>
        <v>-2.6563938505574465E-3</v>
      </c>
    </row>
    <row r="3257" spans="7:8">
      <c r="G3257" s="171">
        <v>3254</v>
      </c>
      <c r="H3257" s="186">
        <f t="shared" ca="1" si="96"/>
        <v>-9.2821144439053302E-3</v>
      </c>
    </row>
    <row r="3258" spans="7:8">
      <c r="G3258" s="171">
        <v>3255</v>
      </c>
      <c r="H3258" s="186">
        <f t="shared" ca="1" si="96"/>
        <v>-1.8395218992050461E-3</v>
      </c>
    </row>
    <row r="3259" spans="7:8">
      <c r="G3259" s="171">
        <v>3256</v>
      </c>
      <c r="H3259" s="186">
        <f t="shared" ca="1" si="96"/>
        <v>-1.5762655254351046E-3</v>
      </c>
    </row>
    <row r="3260" spans="7:8">
      <c r="G3260" s="171">
        <v>3257</v>
      </c>
      <c r="H3260" s="186">
        <f t="shared" ca="1" si="96"/>
        <v>-4.0355223512173501E-3</v>
      </c>
    </row>
    <row r="3261" spans="7:8">
      <c r="G3261" s="171">
        <v>3258</v>
      </c>
      <c r="H3261" s="186">
        <f t="shared" ca="1" si="96"/>
        <v>9.0152666699874952E-3</v>
      </c>
    </row>
    <row r="3262" spans="7:8">
      <c r="G3262" s="171">
        <v>3259</v>
      </c>
      <c r="H3262" s="186">
        <f t="shared" ca="1" si="96"/>
        <v>-2.0172327750642406E-2</v>
      </c>
    </row>
    <row r="3263" spans="7:8">
      <c r="G3263" s="171">
        <v>3260</v>
      </c>
      <c r="H3263" s="186">
        <f t="shared" ca="1" si="96"/>
        <v>-2.7915981340253613E-3</v>
      </c>
    </row>
    <row r="3264" spans="7:8">
      <c r="G3264" s="171">
        <v>3261</v>
      </c>
      <c r="H3264" s="186">
        <f t="shared" ca="1" si="96"/>
        <v>9.388722455252645E-3</v>
      </c>
    </row>
    <row r="3265" spans="7:8">
      <c r="G3265" s="171">
        <v>3262</v>
      </c>
      <c r="H3265" s="186">
        <f t="shared" ca="1" si="96"/>
        <v>-1.6420801757106647E-2</v>
      </c>
    </row>
    <row r="3266" spans="7:8">
      <c r="G3266" s="171">
        <v>3263</v>
      </c>
      <c r="H3266" s="186">
        <f t="shared" ca="1" si="96"/>
        <v>8.15357692648394E-4</v>
      </c>
    </row>
    <row r="3267" spans="7:8">
      <c r="G3267" s="171">
        <v>3264</v>
      </c>
      <c r="H3267" s="186">
        <f t="shared" ca="1" si="96"/>
        <v>-7.5988084102037281E-3</v>
      </c>
    </row>
    <row r="3268" spans="7:8">
      <c r="G3268" s="171">
        <v>3265</v>
      </c>
      <c r="H3268" s="186">
        <f t="shared" ca="1" si="96"/>
        <v>1.9820310773677831E-2</v>
      </c>
    </row>
    <row r="3269" spans="7:8">
      <c r="G3269" s="171">
        <v>3266</v>
      </c>
      <c r="H3269" s="186">
        <f t="shared" ref="H3269:H3332" ca="1" si="97">_xlfn.NORM.INV(RAND(),N$6,N$7)</f>
        <v>1.2104673520054095E-2</v>
      </c>
    </row>
    <row r="3270" spans="7:8">
      <c r="G3270" s="171">
        <v>3267</v>
      </c>
      <c r="H3270" s="186">
        <f t="shared" ca="1" si="97"/>
        <v>1.4374586826182079E-2</v>
      </c>
    </row>
    <row r="3271" spans="7:8">
      <c r="G3271" s="171">
        <v>3268</v>
      </c>
      <c r="H3271" s="186">
        <f t="shared" ca="1" si="97"/>
        <v>1.3621841712595914E-3</v>
      </c>
    </row>
    <row r="3272" spans="7:8">
      <c r="G3272" s="171">
        <v>3269</v>
      </c>
      <c r="H3272" s="186">
        <f t="shared" ca="1" si="97"/>
        <v>-6.4240899356247088E-3</v>
      </c>
    </row>
    <row r="3273" spans="7:8">
      <c r="G3273" s="171">
        <v>3270</v>
      </c>
      <c r="H3273" s="186">
        <f t="shared" ca="1" si="97"/>
        <v>1.4526582971790832E-2</v>
      </c>
    </row>
    <row r="3274" spans="7:8">
      <c r="G3274" s="171">
        <v>3271</v>
      </c>
      <c r="H3274" s="186">
        <f t="shared" ca="1" si="97"/>
        <v>-1.6368504442891381E-3</v>
      </c>
    </row>
    <row r="3275" spans="7:8">
      <c r="G3275" s="171">
        <v>3272</v>
      </c>
      <c r="H3275" s="186">
        <f t="shared" ca="1" si="97"/>
        <v>-3.5391086412320319E-3</v>
      </c>
    </row>
    <row r="3276" spans="7:8">
      <c r="G3276" s="171">
        <v>3273</v>
      </c>
      <c r="H3276" s="186">
        <f t="shared" ca="1" si="97"/>
        <v>-6.2378361329986408E-3</v>
      </c>
    </row>
    <row r="3277" spans="7:8">
      <c r="G3277" s="171">
        <v>3274</v>
      </c>
      <c r="H3277" s="186">
        <f t="shared" ca="1" si="97"/>
        <v>1.8486951306078504E-2</v>
      </c>
    </row>
    <row r="3278" spans="7:8">
      <c r="G3278" s="171">
        <v>3275</v>
      </c>
      <c r="H3278" s="186">
        <f t="shared" ca="1" si="97"/>
        <v>-2.6212470506137849E-2</v>
      </c>
    </row>
    <row r="3279" spans="7:8">
      <c r="G3279" s="171">
        <v>3276</v>
      </c>
      <c r="H3279" s="186">
        <f t="shared" ca="1" si="97"/>
        <v>-2.6157370598857846E-3</v>
      </c>
    </row>
    <row r="3280" spans="7:8">
      <c r="G3280" s="171">
        <v>3277</v>
      </c>
      <c r="H3280" s="186">
        <f t="shared" ca="1" si="97"/>
        <v>-2.4988752436207504E-2</v>
      </c>
    </row>
    <row r="3281" spans="7:8">
      <c r="G3281" s="171">
        <v>3278</v>
      </c>
      <c r="H3281" s="186">
        <f t="shared" ca="1" si="97"/>
        <v>-7.9916297781359585E-3</v>
      </c>
    </row>
    <row r="3282" spans="7:8">
      <c r="G3282" s="171">
        <v>3279</v>
      </c>
      <c r="H3282" s="186">
        <f t="shared" ca="1" si="97"/>
        <v>1.1097236737104447E-2</v>
      </c>
    </row>
    <row r="3283" spans="7:8">
      <c r="G3283" s="171">
        <v>3280</v>
      </c>
      <c r="H3283" s="186">
        <f t="shared" ca="1" si="97"/>
        <v>-1.3280151335671489E-2</v>
      </c>
    </row>
    <row r="3284" spans="7:8">
      <c r="G3284" s="171">
        <v>3281</v>
      </c>
      <c r="H3284" s="186">
        <f t="shared" ca="1" si="97"/>
        <v>-1.9327802746563838E-3</v>
      </c>
    </row>
    <row r="3285" spans="7:8">
      <c r="G3285" s="171">
        <v>3282</v>
      </c>
      <c r="H3285" s="186">
        <f t="shared" ca="1" si="97"/>
        <v>-3.3683137043321338E-3</v>
      </c>
    </row>
    <row r="3286" spans="7:8">
      <c r="G3286" s="171">
        <v>3283</v>
      </c>
      <c r="H3286" s="186">
        <f t="shared" ca="1" si="97"/>
        <v>1.081585856399761E-2</v>
      </c>
    </row>
    <row r="3287" spans="7:8">
      <c r="G3287" s="171">
        <v>3284</v>
      </c>
      <c r="H3287" s="186">
        <f t="shared" ca="1" si="97"/>
        <v>6.6080182275323786E-4</v>
      </c>
    </row>
    <row r="3288" spans="7:8">
      <c r="G3288" s="171">
        <v>3285</v>
      </c>
      <c r="H3288" s="186">
        <f t="shared" ca="1" si="97"/>
        <v>1.5075439265053687E-2</v>
      </c>
    </row>
    <row r="3289" spans="7:8">
      <c r="G3289" s="171">
        <v>3286</v>
      </c>
      <c r="H3289" s="186">
        <f t="shared" ca="1" si="97"/>
        <v>-4.9422537881982807E-3</v>
      </c>
    </row>
    <row r="3290" spans="7:8">
      <c r="G3290" s="171">
        <v>3287</v>
      </c>
      <c r="H3290" s="186">
        <f t="shared" ca="1" si="97"/>
        <v>-1.7983211453071916E-2</v>
      </c>
    </row>
    <row r="3291" spans="7:8">
      <c r="G3291" s="171">
        <v>3288</v>
      </c>
      <c r="H3291" s="186">
        <f t="shared" ca="1" si="97"/>
        <v>-1.515277481542697E-2</v>
      </c>
    </row>
    <row r="3292" spans="7:8">
      <c r="G3292" s="171">
        <v>3289</v>
      </c>
      <c r="H3292" s="186">
        <f t="shared" ca="1" si="97"/>
        <v>1.6951281451337511E-2</v>
      </c>
    </row>
    <row r="3293" spans="7:8">
      <c r="G3293" s="171">
        <v>3290</v>
      </c>
      <c r="H3293" s="186">
        <f t="shared" ca="1" si="97"/>
        <v>1.0923593328962774E-3</v>
      </c>
    </row>
    <row r="3294" spans="7:8">
      <c r="G3294" s="171">
        <v>3291</v>
      </c>
      <c r="H3294" s="186">
        <f t="shared" ca="1" si="97"/>
        <v>9.3471407830701368E-3</v>
      </c>
    </row>
    <row r="3295" spans="7:8">
      <c r="G3295" s="171">
        <v>3292</v>
      </c>
      <c r="H3295" s="186">
        <f t="shared" ca="1" si="97"/>
        <v>-3.7161608442976106E-2</v>
      </c>
    </row>
    <row r="3296" spans="7:8">
      <c r="G3296" s="171">
        <v>3293</v>
      </c>
      <c r="H3296" s="186">
        <f t="shared" ca="1" si="97"/>
        <v>-1.8213811522935983E-2</v>
      </c>
    </row>
    <row r="3297" spans="7:8">
      <c r="G3297" s="171">
        <v>3294</v>
      </c>
      <c r="H3297" s="186">
        <f t="shared" ca="1" si="97"/>
        <v>-2.3429846555973067E-2</v>
      </c>
    </row>
    <row r="3298" spans="7:8">
      <c r="G3298" s="171">
        <v>3295</v>
      </c>
      <c r="H3298" s="186">
        <f t="shared" ca="1" si="97"/>
        <v>1.0350389607177371E-2</v>
      </c>
    </row>
    <row r="3299" spans="7:8">
      <c r="G3299" s="171">
        <v>3296</v>
      </c>
      <c r="H3299" s="186">
        <f t="shared" ca="1" si="97"/>
        <v>1.5243393665223072E-2</v>
      </c>
    </row>
    <row r="3300" spans="7:8">
      <c r="G3300" s="171">
        <v>3297</v>
      </c>
      <c r="H3300" s="186">
        <f t="shared" ca="1" si="97"/>
        <v>-2.3319360477500727E-2</v>
      </c>
    </row>
    <row r="3301" spans="7:8">
      <c r="G3301" s="171">
        <v>3298</v>
      </c>
      <c r="H3301" s="186">
        <f t="shared" ca="1" si="97"/>
        <v>-2.4566330232907801E-2</v>
      </c>
    </row>
    <row r="3302" spans="7:8">
      <c r="G3302" s="171">
        <v>3299</v>
      </c>
      <c r="H3302" s="186">
        <f t="shared" ca="1" si="97"/>
        <v>9.6107879428421368E-3</v>
      </c>
    </row>
    <row r="3303" spans="7:8">
      <c r="G3303" s="171">
        <v>3300</v>
      </c>
      <c r="H3303" s="186">
        <f t="shared" ca="1" si="97"/>
        <v>-9.030298486534841E-3</v>
      </c>
    </row>
    <row r="3304" spans="7:8">
      <c r="G3304" s="171">
        <v>3301</v>
      </c>
      <c r="H3304" s="186">
        <f t="shared" ca="1" si="97"/>
        <v>-8.1929809723129254E-3</v>
      </c>
    </row>
    <row r="3305" spans="7:8">
      <c r="G3305" s="171">
        <v>3302</v>
      </c>
      <c r="H3305" s="186">
        <f t="shared" ca="1" si="97"/>
        <v>1.7726235777125215E-2</v>
      </c>
    </row>
    <row r="3306" spans="7:8">
      <c r="G3306" s="171">
        <v>3303</v>
      </c>
      <c r="H3306" s="186">
        <f t="shared" ca="1" si="97"/>
        <v>7.888412036409451E-3</v>
      </c>
    </row>
    <row r="3307" spans="7:8">
      <c r="G3307" s="171">
        <v>3304</v>
      </c>
      <c r="H3307" s="186">
        <f t="shared" ca="1" si="97"/>
        <v>1.5667442370257762E-2</v>
      </c>
    </row>
    <row r="3308" spans="7:8">
      <c r="G3308" s="171">
        <v>3305</v>
      </c>
      <c r="H3308" s="186">
        <f t="shared" ca="1" si="97"/>
        <v>-1.4322735208154051E-3</v>
      </c>
    </row>
    <row r="3309" spans="7:8">
      <c r="G3309" s="171">
        <v>3306</v>
      </c>
      <c r="H3309" s="186">
        <f t="shared" ca="1" si="97"/>
        <v>9.4675823966282619E-3</v>
      </c>
    </row>
    <row r="3310" spans="7:8">
      <c r="G3310" s="171">
        <v>3307</v>
      </c>
      <c r="H3310" s="186">
        <f t="shared" ca="1" si="97"/>
        <v>3.9296769099995974E-3</v>
      </c>
    </row>
    <row r="3311" spans="7:8">
      <c r="G3311" s="171">
        <v>3308</v>
      </c>
      <c r="H3311" s="186">
        <f t="shared" ca="1" si="97"/>
        <v>1.2215953798140574E-2</v>
      </c>
    </row>
    <row r="3312" spans="7:8">
      <c r="G3312" s="171">
        <v>3309</v>
      </c>
      <c r="H3312" s="186">
        <f t="shared" ca="1" si="97"/>
        <v>-6.8989141842911378E-3</v>
      </c>
    </row>
    <row r="3313" spans="7:8">
      <c r="G3313" s="171">
        <v>3310</v>
      </c>
      <c r="H3313" s="186">
        <f t="shared" ca="1" si="97"/>
        <v>-2.2058365807662195E-3</v>
      </c>
    </row>
    <row r="3314" spans="7:8">
      <c r="G3314" s="171">
        <v>3311</v>
      </c>
      <c r="H3314" s="186">
        <f t="shared" ca="1" si="97"/>
        <v>1.2695385560704963E-2</v>
      </c>
    </row>
    <row r="3315" spans="7:8">
      <c r="G3315" s="171">
        <v>3312</v>
      </c>
      <c r="H3315" s="186">
        <f t="shared" ca="1" si="97"/>
        <v>-6.9479301477945871E-3</v>
      </c>
    </row>
    <row r="3316" spans="7:8">
      <c r="G3316" s="171">
        <v>3313</v>
      </c>
      <c r="H3316" s="186">
        <f t="shared" ca="1" si="97"/>
        <v>5.1946685979354854E-3</v>
      </c>
    </row>
    <row r="3317" spans="7:8">
      <c r="G3317" s="171">
        <v>3314</v>
      </c>
      <c r="H3317" s="186">
        <f t="shared" ca="1" si="97"/>
        <v>1.7821813363470416E-2</v>
      </c>
    </row>
    <row r="3318" spans="7:8">
      <c r="G3318" s="171">
        <v>3315</v>
      </c>
      <c r="H3318" s="186">
        <f t="shared" ca="1" si="97"/>
        <v>2.1475937188524571E-2</v>
      </c>
    </row>
    <row r="3319" spans="7:8">
      <c r="G3319" s="171">
        <v>3316</v>
      </c>
      <c r="H3319" s="186">
        <f t="shared" ca="1" si="97"/>
        <v>1.5027404029321812E-2</v>
      </c>
    </row>
    <row r="3320" spans="7:8">
      <c r="G3320" s="171">
        <v>3317</v>
      </c>
      <c r="H3320" s="186">
        <f t="shared" ca="1" si="97"/>
        <v>-2.7441594658076843E-2</v>
      </c>
    </row>
    <row r="3321" spans="7:8">
      <c r="G3321" s="171">
        <v>3318</v>
      </c>
      <c r="H3321" s="186">
        <f t="shared" ca="1" si="97"/>
        <v>-4.7415123143721817E-3</v>
      </c>
    </row>
    <row r="3322" spans="7:8">
      <c r="G3322" s="171">
        <v>3319</v>
      </c>
      <c r="H3322" s="186">
        <f t="shared" ca="1" si="97"/>
        <v>-4.5981926708312509E-3</v>
      </c>
    </row>
    <row r="3323" spans="7:8">
      <c r="G3323" s="171">
        <v>3320</v>
      </c>
      <c r="H3323" s="186">
        <f t="shared" ca="1" si="97"/>
        <v>2.2023823295042461E-2</v>
      </c>
    </row>
    <row r="3324" spans="7:8">
      <c r="G3324" s="171">
        <v>3321</v>
      </c>
      <c r="H3324" s="186">
        <f t="shared" ca="1" si="97"/>
        <v>-4.8886001747774832E-3</v>
      </c>
    </row>
    <row r="3325" spans="7:8">
      <c r="G3325" s="171">
        <v>3322</v>
      </c>
      <c r="H3325" s="186">
        <f t="shared" ca="1" si="97"/>
        <v>6.4316076890702685E-3</v>
      </c>
    </row>
    <row r="3326" spans="7:8">
      <c r="G3326" s="171">
        <v>3323</v>
      </c>
      <c r="H3326" s="186">
        <f t="shared" ca="1" si="97"/>
        <v>-1.682602252075717E-2</v>
      </c>
    </row>
    <row r="3327" spans="7:8">
      <c r="G3327" s="171">
        <v>3324</v>
      </c>
      <c r="H3327" s="186">
        <f t="shared" ca="1" si="97"/>
        <v>-3.7905658181259752E-2</v>
      </c>
    </row>
    <row r="3328" spans="7:8">
      <c r="G3328" s="171">
        <v>3325</v>
      </c>
      <c r="H3328" s="186">
        <f t="shared" ca="1" si="97"/>
        <v>-4.6524032955903962E-3</v>
      </c>
    </row>
    <row r="3329" spans="7:8">
      <c r="G3329" s="171">
        <v>3326</v>
      </c>
      <c r="H3329" s="186">
        <f t="shared" ca="1" si="97"/>
        <v>-7.0169142722722117E-3</v>
      </c>
    </row>
    <row r="3330" spans="7:8">
      <c r="G3330" s="171">
        <v>3327</v>
      </c>
      <c r="H3330" s="186">
        <f t="shared" ca="1" si="97"/>
        <v>7.4447792598452082E-3</v>
      </c>
    </row>
    <row r="3331" spans="7:8">
      <c r="G3331" s="171">
        <v>3328</v>
      </c>
      <c r="H3331" s="186">
        <f t="shared" ca="1" si="97"/>
        <v>6.372868866863393E-3</v>
      </c>
    </row>
    <row r="3332" spans="7:8">
      <c r="G3332" s="171">
        <v>3329</v>
      </c>
      <c r="H3332" s="186">
        <f t="shared" ca="1" si="97"/>
        <v>1.7307814108363025E-2</v>
      </c>
    </row>
    <row r="3333" spans="7:8">
      <c r="G3333" s="171">
        <v>3330</v>
      </c>
      <c r="H3333" s="186">
        <f t="shared" ref="H3333:H3396" ca="1" si="98">_xlfn.NORM.INV(RAND(),N$6,N$7)</f>
        <v>2.2263430584813946E-3</v>
      </c>
    </row>
    <row r="3334" spans="7:8">
      <c r="G3334" s="171">
        <v>3331</v>
      </c>
      <c r="H3334" s="186">
        <f t="shared" ca="1" si="98"/>
        <v>4.9158887900075405E-3</v>
      </c>
    </row>
    <row r="3335" spans="7:8">
      <c r="G3335" s="171">
        <v>3332</v>
      </c>
      <c r="H3335" s="186">
        <f t="shared" ca="1" si="98"/>
        <v>2.5860845379953568E-3</v>
      </c>
    </row>
    <row r="3336" spans="7:8">
      <c r="G3336" s="171">
        <v>3333</v>
      </c>
      <c r="H3336" s="186">
        <f t="shared" ca="1" si="98"/>
        <v>-2.5192894775010688E-2</v>
      </c>
    </row>
    <row r="3337" spans="7:8">
      <c r="G3337" s="171">
        <v>3334</v>
      </c>
      <c r="H3337" s="186">
        <f t="shared" ca="1" si="98"/>
        <v>7.5347089920559419E-3</v>
      </c>
    </row>
    <row r="3338" spans="7:8">
      <c r="G3338" s="171">
        <v>3335</v>
      </c>
      <c r="H3338" s="186">
        <f t="shared" ca="1" si="98"/>
        <v>-1.2592423249051615E-2</v>
      </c>
    </row>
    <row r="3339" spans="7:8">
      <c r="G3339" s="171">
        <v>3336</v>
      </c>
      <c r="H3339" s="186">
        <f t="shared" ca="1" si="98"/>
        <v>-1.1593326266879332E-3</v>
      </c>
    </row>
    <row r="3340" spans="7:8">
      <c r="G3340" s="171">
        <v>3337</v>
      </c>
      <c r="H3340" s="186">
        <f t="shared" ca="1" si="98"/>
        <v>-3.1385465945762137E-2</v>
      </c>
    </row>
    <row r="3341" spans="7:8">
      <c r="G3341" s="171">
        <v>3338</v>
      </c>
      <c r="H3341" s="186">
        <f t="shared" ca="1" si="98"/>
        <v>2.806020661293944E-2</v>
      </c>
    </row>
    <row r="3342" spans="7:8">
      <c r="G3342" s="171">
        <v>3339</v>
      </c>
      <c r="H3342" s="186">
        <f t="shared" ca="1" si="98"/>
        <v>1.3569853372088809E-2</v>
      </c>
    </row>
    <row r="3343" spans="7:8">
      <c r="G3343" s="171">
        <v>3340</v>
      </c>
      <c r="H3343" s="186">
        <f t="shared" ca="1" si="98"/>
        <v>7.0886037238897647E-3</v>
      </c>
    </row>
    <row r="3344" spans="7:8">
      <c r="G3344" s="171">
        <v>3341</v>
      </c>
      <c r="H3344" s="186">
        <f t="shared" ca="1" si="98"/>
        <v>9.5475436400925678E-3</v>
      </c>
    </row>
    <row r="3345" spans="7:8">
      <c r="G3345" s="171">
        <v>3342</v>
      </c>
      <c r="H3345" s="186">
        <f t="shared" ca="1" si="98"/>
        <v>3.4401367592280269E-2</v>
      </c>
    </row>
    <row r="3346" spans="7:8">
      <c r="G3346" s="171">
        <v>3343</v>
      </c>
      <c r="H3346" s="186">
        <f t="shared" ca="1" si="98"/>
        <v>-1.3022987103165988E-2</v>
      </c>
    </row>
    <row r="3347" spans="7:8">
      <c r="G3347" s="171">
        <v>3344</v>
      </c>
      <c r="H3347" s="186">
        <f t="shared" ca="1" si="98"/>
        <v>-6.4630110710398635E-3</v>
      </c>
    </row>
    <row r="3348" spans="7:8">
      <c r="G3348" s="171">
        <v>3345</v>
      </c>
      <c r="H3348" s="186">
        <f t="shared" ca="1" si="98"/>
        <v>-7.9555642590519553E-3</v>
      </c>
    </row>
    <row r="3349" spans="7:8">
      <c r="G3349" s="171">
        <v>3346</v>
      </c>
      <c r="H3349" s="186">
        <f t="shared" ca="1" si="98"/>
        <v>-8.8217553048652031E-3</v>
      </c>
    </row>
    <row r="3350" spans="7:8">
      <c r="G3350" s="171">
        <v>3347</v>
      </c>
      <c r="H3350" s="186">
        <f t="shared" ca="1" si="98"/>
        <v>1.1673612904574031E-3</v>
      </c>
    </row>
    <row r="3351" spans="7:8">
      <c r="G3351" s="171">
        <v>3348</v>
      </c>
      <c r="H3351" s="186">
        <f t="shared" ca="1" si="98"/>
        <v>-1.0195821496365141E-2</v>
      </c>
    </row>
    <row r="3352" spans="7:8">
      <c r="G3352" s="171">
        <v>3349</v>
      </c>
      <c r="H3352" s="186">
        <f t="shared" ca="1" si="98"/>
        <v>9.7588327717900315E-3</v>
      </c>
    </row>
    <row r="3353" spans="7:8">
      <c r="G3353" s="171">
        <v>3350</v>
      </c>
      <c r="H3353" s="186">
        <f t="shared" ca="1" si="98"/>
        <v>-4.1782222890054529E-3</v>
      </c>
    </row>
    <row r="3354" spans="7:8">
      <c r="G3354" s="171">
        <v>3351</v>
      </c>
      <c r="H3354" s="186">
        <f t="shared" ca="1" si="98"/>
        <v>8.4470605632257344E-3</v>
      </c>
    </row>
    <row r="3355" spans="7:8">
      <c r="G3355" s="171">
        <v>3352</v>
      </c>
      <c r="H3355" s="186">
        <f t="shared" ca="1" si="98"/>
        <v>1.2537833404724093E-2</v>
      </c>
    </row>
    <row r="3356" spans="7:8">
      <c r="G3356" s="171">
        <v>3353</v>
      </c>
      <c r="H3356" s="186">
        <f t="shared" ca="1" si="98"/>
        <v>-4.4014410864885601E-3</v>
      </c>
    </row>
    <row r="3357" spans="7:8">
      <c r="G3357" s="171">
        <v>3354</v>
      </c>
      <c r="H3357" s="186">
        <f t="shared" ca="1" si="98"/>
        <v>-3.3505123438301093E-3</v>
      </c>
    </row>
    <row r="3358" spans="7:8">
      <c r="G3358" s="171">
        <v>3355</v>
      </c>
      <c r="H3358" s="186">
        <f t="shared" ca="1" si="98"/>
        <v>1.991899125397572E-4</v>
      </c>
    </row>
    <row r="3359" spans="7:8">
      <c r="G3359" s="171">
        <v>3356</v>
      </c>
      <c r="H3359" s="186">
        <f t="shared" ca="1" si="98"/>
        <v>1.021301971593099E-3</v>
      </c>
    </row>
    <row r="3360" spans="7:8">
      <c r="G3360" s="171">
        <v>3357</v>
      </c>
      <c r="H3360" s="186">
        <f t="shared" ca="1" si="98"/>
        <v>-2.1507976907728137E-2</v>
      </c>
    </row>
    <row r="3361" spans="7:8">
      <c r="G3361" s="171">
        <v>3358</v>
      </c>
      <c r="H3361" s="186">
        <f t="shared" ca="1" si="98"/>
        <v>8.0092568746695948E-3</v>
      </c>
    </row>
    <row r="3362" spans="7:8">
      <c r="G3362" s="171">
        <v>3359</v>
      </c>
      <c r="H3362" s="186">
        <f t="shared" ca="1" si="98"/>
        <v>-1.6464537142504537E-2</v>
      </c>
    </row>
    <row r="3363" spans="7:8">
      <c r="G3363" s="171">
        <v>3360</v>
      </c>
      <c r="H3363" s="186">
        <f t="shared" ca="1" si="98"/>
        <v>-2.6509510563884248E-2</v>
      </c>
    </row>
    <row r="3364" spans="7:8">
      <c r="G3364" s="171">
        <v>3361</v>
      </c>
      <c r="H3364" s="186">
        <f t="shared" ca="1" si="98"/>
        <v>4.1576314509892728E-2</v>
      </c>
    </row>
    <row r="3365" spans="7:8">
      <c r="G3365" s="171">
        <v>3362</v>
      </c>
      <c r="H3365" s="186">
        <f t="shared" ca="1" si="98"/>
        <v>3.6429539793204823E-3</v>
      </c>
    </row>
    <row r="3366" spans="7:8">
      <c r="G3366" s="171">
        <v>3363</v>
      </c>
      <c r="H3366" s="186">
        <f t="shared" ca="1" si="98"/>
        <v>4.6504981108851503E-3</v>
      </c>
    </row>
    <row r="3367" spans="7:8">
      <c r="G3367" s="171">
        <v>3364</v>
      </c>
      <c r="H3367" s="186">
        <f t="shared" ca="1" si="98"/>
        <v>1.473614178169211E-2</v>
      </c>
    </row>
    <row r="3368" spans="7:8">
      <c r="G3368" s="171">
        <v>3365</v>
      </c>
      <c r="H3368" s="186">
        <f t="shared" ca="1" si="98"/>
        <v>-8.5036340173437787E-3</v>
      </c>
    </row>
    <row r="3369" spans="7:8">
      <c r="G3369" s="171">
        <v>3366</v>
      </c>
      <c r="H3369" s="186">
        <f t="shared" ca="1" si="98"/>
        <v>1.0254384161818082E-2</v>
      </c>
    </row>
    <row r="3370" spans="7:8">
      <c r="G3370" s="171">
        <v>3367</v>
      </c>
      <c r="H3370" s="186">
        <f t="shared" ca="1" si="98"/>
        <v>-3.4978671982442693E-2</v>
      </c>
    </row>
    <row r="3371" spans="7:8">
      <c r="G3371" s="171">
        <v>3368</v>
      </c>
      <c r="H3371" s="186">
        <f t="shared" ca="1" si="98"/>
        <v>-1.4182340794427722E-4</v>
      </c>
    </row>
    <row r="3372" spans="7:8">
      <c r="G3372" s="171">
        <v>3369</v>
      </c>
      <c r="H3372" s="186">
        <f t="shared" ca="1" si="98"/>
        <v>-1.9162061433575812E-2</v>
      </c>
    </row>
    <row r="3373" spans="7:8">
      <c r="G3373" s="171">
        <v>3370</v>
      </c>
      <c r="H3373" s="186">
        <f t="shared" ca="1" si="98"/>
        <v>-2.0692366150691768E-2</v>
      </c>
    </row>
    <row r="3374" spans="7:8">
      <c r="G3374" s="171">
        <v>3371</v>
      </c>
      <c r="H3374" s="186">
        <f t="shared" ca="1" si="98"/>
        <v>1.2325006632851212E-2</v>
      </c>
    </row>
    <row r="3375" spans="7:8">
      <c r="G3375" s="171">
        <v>3372</v>
      </c>
      <c r="H3375" s="186">
        <f t="shared" ca="1" si="98"/>
        <v>-1.2671416374366386E-2</v>
      </c>
    </row>
    <row r="3376" spans="7:8">
      <c r="G3376" s="171">
        <v>3373</v>
      </c>
      <c r="H3376" s="186">
        <f t="shared" ca="1" si="98"/>
        <v>-2.6121874001383286E-2</v>
      </c>
    </row>
    <row r="3377" spans="7:8">
      <c r="G3377" s="171">
        <v>3374</v>
      </c>
      <c r="H3377" s="186">
        <f t="shared" ca="1" si="98"/>
        <v>1.1165631030060153E-2</v>
      </c>
    </row>
    <row r="3378" spans="7:8">
      <c r="G3378" s="171">
        <v>3375</v>
      </c>
      <c r="H3378" s="186">
        <f t="shared" ca="1" si="98"/>
        <v>1.7219286571269872E-2</v>
      </c>
    </row>
    <row r="3379" spans="7:8">
      <c r="G3379" s="171">
        <v>3376</v>
      </c>
      <c r="H3379" s="186">
        <f t="shared" ca="1" si="98"/>
        <v>-2.3734932419482269E-2</v>
      </c>
    </row>
    <row r="3380" spans="7:8">
      <c r="G3380" s="171">
        <v>3377</v>
      </c>
      <c r="H3380" s="186">
        <f t="shared" ca="1" si="98"/>
        <v>2.8311936990686351E-3</v>
      </c>
    </row>
    <row r="3381" spans="7:8">
      <c r="G3381" s="171">
        <v>3378</v>
      </c>
      <c r="H3381" s="186">
        <f t="shared" ca="1" si="98"/>
        <v>6.9906852391647808E-4</v>
      </c>
    </row>
    <row r="3382" spans="7:8">
      <c r="G3382" s="171">
        <v>3379</v>
      </c>
      <c r="H3382" s="186">
        <f t="shared" ca="1" si="98"/>
        <v>1.774483743991312E-3</v>
      </c>
    </row>
    <row r="3383" spans="7:8">
      <c r="G3383" s="171">
        <v>3380</v>
      </c>
      <c r="H3383" s="186">
        <f t="shared" ca="1" si="98"/>
        <v>1.4595348886899562E-2</v>
      </c>
    </row>
    <row r="3384" spans="7:8">
      <c r="G3384" s="171">
        <v>3381</v>
      </c>
      <c r="H3384" s="186">
        <f t="shared" ca="1" si="98"/>
        <v>-4.8749776805606018E-3</v>
      </c>
    </row>
    <row r="3385" spans="7:8">
      <c r="G3385" s="171">
        <v>3382</v>
      </c>
      <c r="H3385" s="186">
        <f t="shared" ca="1" si="98"/>
        <v>8.2606715236934643E-3</v>
      </c>
    </row>
    <row r="3386" spans="7:8">
      <c r="G3386" s="171">
        <v>3383</v>
      </c>
      <c r="H3386" s="186">
        <f t="shared" ca="1" si="98"/>
        <v>2.6540032728026408E-2</v>
      </c>
    </row>
    <row r="3387" spans="7:8">
      <c r="G3387" s="171">
        <v>3384</v>
      </c>
      <c r="H3387" s="186">
        <f t="shared" ca="1" si="98"/>
        <v>8.8180427868352722E-3</v>
      </c>
    </row>
    <row r="3388" spans="7:8">
      <c r="G3388" s="171">
        <v>3385</v>
      </c>
      <c r="H3388" s="186">
        <f t="shared" ca="1" si="98"/>
        <v>4.6505012390785447E-3</v>
      </c>
    </row>
    <row r="3389" spans="7:8">
      <c r="G3389" s="171">
        <v>3386</v>
      </c>
      <c r="H3389" s="186">
        <f t="shared" ca="1" si="98"/>
        <v>-3.2494526450115128E-3</v>
      </c>
    </row>
    <row r="3390" spans="7:8">
      <c r="G3390" s="171">
        <v>3387</v>
      </c>
      <c r="H3390" s="186">
        <f t="shared" ca="1" si="98"/>
        <v>4.6496156007698975E-3</v>
      </c>
    </row>
    <row r="3391" spans="7:8">
      <c r="G3391" s="171">
        <v>3388</v>
      </c>
      <c r="H3391" s="186">
        <f t="shared" ca="1" si="98"/>
        <v>2.5363242078033151E-2</v>
      </c>
    </row>
    <row r="3392" spans="7:8">
      <c r="G3392" s="171">
        <v>3389</v>
      </c>
      <c r="H3392" s="186">
        <f t="shared" ca="1" si="98"/>
        <v>-1.8132466408864473E-2</v>
      </c>
    </row>
    <row r="3393" spans="7:8">
      <c r="G3393" s="171">
        <v>3390</v>
      </c>
      <c r="H3393" s="186">
        <f t="shared" ca="1" si="98"/>
        <v>1.5024452125091759E-2</v>
      </c>
    </row>
    <row r="3394" spans="7:8">
      <c r="G3394" s="171">
        <v>3391</v>
      </c>
      <c r="H3394" s="186">
        <f t="shared" ca="1" si="98"/>
        <v>2.2498555754344909E-2</v>
      </c>
    </row>
    <row r="3395" spans="7:8">
      <c r="G3395" s="171">
        <v>3392</v>
      </c>
      <c r="H3395" s="186">
        <f t="shared" ca="1" si="98"/>
        <v>1.7084047072924571E-2</v>
      </c>
    </row>
    <row r="3396" spans="7:8">
      <c r="G3396" s="171">
        <v>3393</v>
      </c>
      <c r="H3396" s="186">
        <f t="shared" ca="1" si="98"/>
        <v>-2.2296999937777861E-5</v>
      </c>
    </row>
    <row r="3397" spans="7:8">
      <c r="G3397" s="171">
        <v>3394</v>
      </c>
      <c r="H3397" s="186">
        <f t="shared" ref="H3397:H3460" ca="1" si="99">_xlfn.NORM.INV(RAND(),N$6,N$7)</f>
        <v>1.4825567687078085E-2</v>
      </c>
    </row>
    <row r="3398" spans="7:8">
      <c r="G3398" s="171">
        <v>3395</v>
      </c>
      <c r="H3398" s="186">
        <f t="shared" ca="1" si="99"/>
        <v>2.0594506828725895E-2</v>
      </c>
    </row>
    <row r="3399" spans="7:8">
      <c r="G3399" s="171">
        <v>3396</v>
      </c>
      <c r="H3399" s="186">
        <f t="shared" ca="1" si="99"/>
        <v>-4.9542824008405231E-3</v>
      </c>
    </row>
    <row r="3400" spans="7:8">
      <c r="G3400" s="171">
        <v>3397</v>
      </c>
      <c r="H3400" s="186">
        <f t="shared" ca="1" si="99"/>
        <v>-1.6325413364568029E-4</v>
      </c>
    </row>
    <row r="3401" spans="7:8">
      <c r="G3401" s="171">
        <v>3398</v>
      </c>
      <c r="H3401" s="186">
        <f t="shared" ca="1" si="99"/>
        <v>2.834293636325742E-3</v>
      </c>
    </row>
    <row r="3402" spans="7:8">
      <c r="G3402" s="171">
        <v>3399</v>
      </c>
      <c r="H3402" s="186">
        <f t="shared" ca="1" si="99"/>
        <v>1.4286058936382866E-2</v>
      </c>
    </row>
    <row r="3403" spans="7:8">
      <c r="G3403" s="171">
        <v>3400</v>
      </c>
      <c r="H3403" s="186">
        <f t="shared" ca="1" si="99"/>
        <v>7.2661081418657833E-4</v>
      </c>
    </row>
    <row r="3404" spans="7:8">
      <c r="G3404" s="171">
        <v>3401</v>
      </c>
      <c r="H3404" s="186">
        <f t="shared" ca="1" si="99"/>
        <v>9.3862888534689722E-3</v>
      </c>
    </row>
    <row r="3405" spans="7:8">
      <c r="G3405" s="171">
        <v>3402</v>
      </c>
      <c r="H3405" s="186">
        <f t="shared" ca="1" si="99"/>
        <v>-3.7019300597915847E-2</v>
      </c>
    </row>
    <row r="3406" spans="7:8">
      <c r="G3406" s="171">
        <v>3403</v>
      </c>
      <c r="H3406" s="186">
        <f t="shared" ca="1" si="99"/>
        <v>-8.2197291428610826E-3</v>
      </c>
    </row>
    <row r="3407" spans="7:8">
      <c r="G3407" s="171">
        <v>3404</v>
      </c>
      <c r="H3407" s="186">
        <f t="shared" ca="1" si="99"/>
        <v>3.8798912348257837E-3</v>
      </c>
    </row>
    <row r="3408" spans="7:8">
      <c r="G3408" s="171">
        <v>3405</v>
      </c>
      <c r="H3408" s="186">
        <f t="shared" ca="1" si="99"/>
        <v>1.0573083096384519E-2</v>
      </c>
    </row>
    <row r="3409" spans="7:8">
      <c r="G3409" s="171">
        <v>3406</v>
      </c>
      <c r="H3409" s="186">
        <f t="shared" ca="1" si="99"/>
        <v>3.0538035146592032E-2</v>
      </c>
    </row>
    <row r="3410" spans="7:8">
      <c r="G3410" s="171">
        <v>3407</v>
      </c>
      <c r="H3410" s="186">
        <f t="shared" ca="1" si="99"/>
        <v>-1.5683474942782966E-2</v>
      </c>
    </row>
    <row r="3411" spans="7:8">
      <c r="G3411" s="171">
        <v>3408</v>
      </c>
      <c r="H3411" s="186">
        <f t="shared" ca="1" si="99"/>
        <v>-2.8035410907886894E-2</v>
      </c>
    </row>
    <row r="3412" spans="7:8">
      <c r="G3412" s="171">
        <v>3409</v>
      </c>
      <c r="H3412" s="186">
        <f t="shared" ca="1" si="99"/>
        <v>-1.2507247154924411E-2</v>
      </c>
    </row>
    <row r="3413" spans="7:8">
      <c r="G3413" s="171">
        <v>3410</v>
      </c>
      <c r="H3413" s="186">
        <f t="shared" ca="1" si="99"/>
        <v>-1.1565927290685505E-2</v>
      </c>
    </row>
    <row r="3414" spans="7:8">
      <c r="G3414" s="171">
        <v>3411</v>
      </c>
      <c r="H3414" s="186">
        <f t="shared" ca="1" si="99"/>
        <v>-5.2105142409007172E-3</v>
      </c>
    </row>
    <row r="3415" spans="7:8">
      <c r="G3415" s="171">
        <v>3412</v>
      </c>
      <c r="H3415" s="186">
        <f t="shared" ca="1" si="99"/>
        <v>2.8928176293170842E-2</v>
      </c>
    </row>
    <row r="3416" spans="7:8">
      <c r="G3416" s="171">
        <v>3413</v>
      </c>
      <c r="H3416" s="186">
        <f t="shared" ca="1" si="99"/>
        <v>1.0194976188956184E-2</v>
      </c>
    </row>
    <row r="3417" spans="7:8">
      <c r="G3417" s="171">
        <v>3414</v>
      </c>
      <c r="H3417" s="186">
        <f t="shared" ca="1" si="99"/>
        <v>-5.1116789882966231E-3</v>
      </c>
    </row>
    <row r="3418" spans="7:8">
      <c r="G3418" s="171">
        <v>3415</v>
      </c>
      <c r="H3418" s="186">
        <f t="shared" ca="1" si="99"/>
        <v>-2.1503037484494718E-3</v>
      </c>
    </row>
    <row r="3419" spans="7:8">
      <c r="G3419" s="171">
        <v>3416</v>
      </c>
      <c r="H3419" s="186">
        <f t="shared" ca="1" si="99"/>
        <v>1.7322435701079414E-2</v>
      </c>
    </row>
    <row r="3420" spans="7:8">
      <c r="G3420" s="171">
        <v>3417</v>
      </c>
      <c r="H3420" s="186">
        <f t="shared" ca="1" si="99"/>
        <v>2.3593118838543741E-2</v>
      </c>
    </row>
    <row r="3421" spans="7:8">
      <c r="G3421" s="171">
        <v>3418</v>
      </c>
      <c r="H3421" s="186">
        <f t="shared" ca="1" si="99"/>
        <v>1.4033668438274031E-2</v>
      </c>
    </row>
    <row r="3422" spans="7:8">
      <c r="G3422" s="171">
        <v>3419</v>
      </c>
      <c r="H3422" s="186">
        <f t="shared" ca="1" si="99"/>
        <v>-5.3598673542030963E-4</v>
      </c>
    </row>
    <row r="3423" spans="7:8">
      <c r="G3423" s="171">
        <v>3420</v>
      </c>
      <c r="H3423" s="186">
        <f t="shared" ca="1" si="99"/>
        <v>2.2477289412528023E-2</v>
      </c>
    </row>
    <row r="3424" spans="7:8">
      <c r="G3424" s="171">
        <v>3421</v>
      </c>
      <c r="H3424" s="186">
        <f t="shared" ca="1" si="99"/>
        <v>-1.8837404309751515E-3</v>
      </c>
    </row>
    <row r="3425" spans="7:8">
      <c r="G3425" s="171">
        <v>3422</v>
      </c>
      <c r="H3425" s="186">
        <f t="shared" ca="1" si="99"/>
        <v>-2.9783133975750643E-2</v>
      </c>
    </row>
    <row r="3426" spans="7:8">
      <c r="G3426" s="171">
        <v>3423</v>
      </c>
      <c r="H3426" s="186">
        <f t="shared" ca="1" si="99"/>
        <v>-4.950335185195362E-4</v>
      </c>
    </row>
    <row r="3427" spans="7:8">
      <c r="G3427" s="171">
        <v>3424</v>
      </c>
      <c r="H3427" s="186">
        <f t="shared" ca="1" si="99"/>
        <v>8.2151280013406127E-4</v>
      </c>
    </row>
    <row r="3428" spans="7:8">
      <c r="G3428" s="171">
        <v>3425</v>
      </c>
      <c r="H3428" s="186">
        <f t="shared" ca="1" si="99"/>
        <v>3.2528844993572272E-3</v>
      </c>
    </row>
    <row r="3429" spans="7:8">
      <c r="G3429" s="171">
        <v>3426</v>
      </c>
      <c r="H3429" s="186">
        <f t="shared" ca="1" si="99"/>
        <v>5.4977224565707864E-3</v>
      </c>
    </row>
    <row r="3430" spans="7:8">
      <c r="G3430" s="171">
        <v>3427</v>
      </c>
      <c r="H3430" s="186">
        <f t="shared" ca="1" si="99"/>
        <v>1.2372137616162029E-2</v>
      </c>
    </row>
    <row r="3431" spans="7:8">
      <c r="G3431" s="171">
        <v>3428</v>
      </c>
      <c r="H3431" s="186">
        <f t="shared" ca="1" si="99"/>
        <v>-5.2926368441451859E-3</v>
      </c>
    </row>
    <row r="3432" spans="7:8">
      <c r="G3432" s="171">
        <v>3429</v>
      </c>
      <c r="H3432" s="186">
        <f t="shared" ca="1" si="99"/>
        <v>1.9250271848412229E-2</v>
      </c>
    </row>
    <row r="3433" spans="7:8">
      <c r="G3433" s="171">
        <v>3430</v>
      </c>
      <c r="H3433" s="186">
        <f t="shared" ca="1" si="99"/>
        <v>3.5129997839576763E-3</v>
      </c>
    </row>
    <row r="3434" spans="7:8">
      <c r="G3434" s="171">
        <v>3431</v>
      </c>
      <c r="H3434" s="186">
        <f t="shared" ca="1" si="99"/>
        <v>1.5094402344999506E-2</v>
      </c>
    </row>
    <row r="3435" spans="7:8">
      <c r="G3435" s="171">
        <v>3432</v>
      </c>
      <c r="H3435" s="186">
        <f t="shared" ca="1" si="99"/>
        <v>3.0315940323046169E-2</v>
      </c>
    </row>
    <row r="3436" spans="7:8">
      <c r="G3436" s="171">
        <v>3433</v>
      </c>
      <c r="H3436" s="186">
        <f t="shared" ca="1" si="99"/>
        <v>-1.1999819978762236E-3</v>
      </c>
    </row>
    <row r="3437" spans="7:8">
      <c r="G3437" s="171">
        <v>3434</v>
      </c>
      <c r="H3437" s="186">
        <f t="shared" ca="1" si="99"/>
        <v>-7.6893399584011032E-5</v>
      </c>
    </row>
    <row r="3438" spans="7:8">
      <c r="G3438" s="171">
        <v>3435</v>
      </c>
      <c r="H3438" s="186">
        <f t="shared" ca="1" si="99"/>
        <v>-2.6047259596398573E-2</v>
      </c>
    </row>
    <row r="3439" spans="7:8">
      <c r="G3439" s="171">
        <v>3436</v>
      </c>
      <c r="H3439" s="186">
        <f t="shared" ca="1" si="99"/>
        <v>-4.1266928766134766E-3</v>
      </c>
    </row>
    <row r="3440" spans="7:8">
      <c r="G3440" s="171">
        <v>3437</v>
      </c>
      <c r="H3440" s="186">
        <f t="shared" ca="1" si="99"/>
        <v>1.311511195793863E-2</v>
      </c>
    </row>
    <row r="3441" spans="7:8">
      <c r="G3441" s="171">
        <v>3438</v>
      </c>
      <c r="H3441" s="186">
        <f t="shared" ca="1" si="99"/>
        <v>-8.2924008433757997E-4</v>
      </c>
    </row>
    <row r="3442" spans="7:8">
      <c r="G3442" s="171">
        <v>3439</v>
      </c>
      <c r="H3442" s="186">
        <f t="shared" ca="1" si="99"/>
        <v>-7.2261421699589207E-3</v>
      </c>
    </row>
    <row r="3443" spans="7:8">
      <c r="G3443" s="171">
        <v>3440</v>
      </c>
      <c r="H3443" s="186">
        <f t="shared" ca="1" si="99"/>
        <v>-9.4254213666675156E-3</v>
      </c>
    </row>
    <row r="3444" spans="7:8">
      <c r="G3444" s="171">
        <v>3441</v>
      </c>
      <c r="H3444" s="186">
        <f t="shared" ca="1" si="99"/>
        <v>-2.0242098175064626E-2</v>
      </c>
    </row>
    <row r="3445" spans="7:8">
      <c r="G3445" s="171">
        <v>3442</v>
      </c>
      <c r="H3445" s="186">
        <f t="shared" ca="1" si="99"/>
        <v>5.2373413317179252E-3</v>
      </c>
    </row>
    <row r="3446" spans="7:8">
      <c r="G3446" s="171">
        <v>3443</v>
      </c>
      <c r="H3446" s="186">
        <f t="shared" ca="1" si="99"/>
        <v>-1.8754869911086054E-2</v>
      </c>
    </row>
    <row r="3447" spans="7:8">
      <c r="G3447" s="171">
        <v>3444</v>
      </c>
      <c r="H3447" s="186">
        <f t="shared" ca="1" si="99"/>
        <v>1.3767832631978651E-2</v>
      </c>
    </row>
    <row r="3448" spans="7:8">
      <c r="G3448" s="171">
        <v>3445</v>
      </c>
      <c r="H3448" s="186">
        <f t="shared" ca="1" si="99"/>
        <v>1.0631197144817656E-2</v>
      </c>
    </row>
    <row r="3449" spans="7:8">
      <c r="G3449" s="171">
        <v>3446</v>
      </c>
      <c r="H3449" s="186">
        <f t="shared" ca="1" si="99"/>
        <v>3.0248072309025219E-2</v>
      </c>
    </row>
    <row r="3450" spans="7:8">
      <c r="G3450" s="171">
        <v>3447</v>
      </c>
      <c r="H3450" s="186">
        <f t="shared" ca="1" si="99"/>
        <v>-3.2353319560385579E-3</v>
      </c>
    </row>
    <row r="3451" spans="7:8">
      <c r="G3451" s="171">
        <v>3448</v>
      </c>
      <c r="H3451" s="186">
        <f t="shared" ca="1" si="99"/>
        <v>-4.4414505914319525E-3</v>
      </c>
    </row>
    <row r="3452" spans="7:8">
      <c r="G3452" s="171">
        <v>3449</v>
      </c>
      <c r="H3452" s="186">
        <f t="shared" ca="1" si="99"/>
        <v>7.9953315797529397E-3</v>
      </c>
    </row>
    <row r="3453" spans="7:8">
      <c r="G3453" s="171">
        <v>3450</v>
      </c>
      <c r="H3453" s="186">
        <f t="shared" ca="1" si="99"/>
        <v>1.0115984674091026E-2</v>
      </c>
    </row>
    <row r="3454" spans="7:8">
      <c r="G3454" s="171">
        <v>3451</v>
      </c>
      <c r="H3454" s="186">
        <f t="shared" ca="1" si="99"/>
        <v>-4.5397247385901424E-2</v>
      </c>
    </row>
    <row r="3455" spans="7:8">
      <c r="G3455" s="171">
        <v>3452</v>
      </c>
      <c r="H3455" s="186">
        <f t="shared" ca="1" si="99"/>
        <v>2.5416972022012452E-3</v>
      </c>
    </row>
    <row r="3456" spans="7:8">
      <c r="G3456" s="171">
        <v>3453</v>
      </c>
      <c r="H3456" s="186">
        <f t="shared" ca="1" si="99"/>
        <v>3.6863296301213617E-3</v>
      </c>
    </row>
    <row r="3457" spans="7:8">
      <c r="G3457" s="171">
        <v>3454</v>
      </c>
      <c r="H3457" s="186">
        <f t="shared" ca="1" si="99"/>
        <v>-1.1429946392656173E-2</v>
      </c>
    </row>
    <row r="3458" spans="7:8">
      <c r="G3458" s="171">
        <v>3455</v>
      </c>
      <c r="H3458" s="186">
        <f t="shared" ca="1" si="99"/>
        <v>1.6310984929259149E-2</v>
      </c>
    </row>
    <row r="3459" spans="7:8">
      <c r="G3459" s="171">
        <v>3456</v>
      </c>
      <c r="H3459" s="186">
        <f t="shared" ca="1" si="99"/>
        <v>-5.0025034685394747E-3</v>
      </c>
    </row>
    <row r="3460" spans="7:8">
      <c r="G3460" s="171">
        <v>3457</v>
      </c>
      <c r="H3460" s="186">
        <f t="shared" ca="1" si="99"/>
        <v>-8.4867405536077876E-3</v>
      </c>
    </row>
    <row r="3461" spans="7:8">
      <c r="G3461" s="171">
        <v>3458</v>
      </c>
      <c r="H3461" s="186">
        <f t="shared" ref="H3461:H3524" ca="1" si="100">_xlfn.NORM.INV(RAND(),N$6,N$7)</f>
        <v>6.8343392344883897E-3</v>
      </c>
    </row>
    <row r="3462" spans="7:8">
      <c r="G3462" s="171">
        <v>3459</v>
      </c>
      <c r="H3462" s="186">
        <f t="shared" ca="1" si="100"/>
        <v>1.3852079038723536E-2</v>
      </c>
    </row>
    <row r="3463" spans="7:8">
      <c r="G3463" s="171">
        <v>3460</v>
      </c>
      <c r="H3463" s="186">
        <f t="shared" ca="1" si="100"/>
        <v>9.3861182070918963E-3</v>
      </c>
    </row>
    <row r="3464" spans="7:8">
      <c r="G3464" s="171">
        <v>3461</v>
      </c>
      <c r="H3464" s="186">
        <f t="shared" ca="1" si="100"/>
        <v>1.2500504013773398E-2</v>
      </c>
    </row>
    <row r="3465" spans="7:8">
      <c r="G3465" s="171">
        <v>3462</v>
      </c>
      <c r="H3465" s="186">
        <f t="shared" ca="1" si="100"/>
        <v>-1.0805161441808684E-2</v>
      </c>
    </row>
    <row r="3466" spans="7:8">
      <c r="G3466" s="171">
        <v>3463</v>
      </c>
      <c r="H3466" s="186">
        <f t="shared" ca="1" si="100"/>
        <v>1.5672677303716975E-2</v>
      </c>
    </row>
    <row r="3467" spans="7:8">
      <c r="G3467" s="171">
        <v>3464</v>
      </c>
      <c r="H3467" s="186">
        <f t="shared" ca="1" si="100"/>
        <v>1.7546810110361595E-3</v>
      </c>
    </row>
    <row r="3468" spans="7:8">
      <c r="G3468" s="171">
        <v>3465</v>
      </c>
      <c r="H3468" s="186">
        <f t="shared" ca="1" si="100"/>
        <v>1.3153666950917062E-2</v>
      </c>
    </row>
    <row r="3469" spans="7:8">
      <c r="G3469" s="171">
        <v>3466</v>
      </c>
      <c r="H3469" s="186">
        <f t="shared" ca="1" si="100"/>
        <v>2.8766604853490267E-5</v>
      </c>
    </row>
    <row r="3470" spans="7:8">
      <c r="G3470" s="171">
        <v>3467</v>
      </c>
      <c r="H3470" s="186">
        <f t="shared" ca="1" si="100"/>
        <v>-7.2655333508442185E-3</v>
      </c>
    </row>
    <row r="3471" spans="7:8">
      <c r="G3471" s="171">
        <v>3468</v>
      </c>
      <c r="H3471" s="186">
        <f t="shared" ca="1" si="100"/>
        <v>-1.2412991572247329E-2</v>
      </c>
    </row>
    <row r="3472" spans="7:8">
      <c r="G3472" s="171">
        <v>3469</v>
      </c>
      <c r="H3472" s="186">
        <f t="shared" ca="1" si="100"/>
        <v>1.3231813147537039E-3</v>
      </c>
    </row>
    <row r="3473" spans="7:8">
      <c r="G3473" s="171">
        <v>3470</v>
      </c>
      <c r="H3473" s="186">
        <f t="shared" ca="1" si="100"/>
        <v>-3.2714525200131746E-2</v>
      </c>
    </row>
    <row r="3474" spans="7:8">
      <c r="G3474" s="171">
        <v>3471</v>
      </c>
      <c r="H3474" s="186">
        <f t="shared" ca="1" si="100"/>
        <v>-1.375602036720803E-2</v>
      </c>
    </row>
    <row r="3475" spans="7:8">
      <c r="G3475" s="171">
        <v>3472</v>
      </c>
      <c r="H3475" s="186">
        <f t="shared" ca="1" si="100"/>
        <v>1.4784750535988154E-2</v>
      </c>
    </row>
    <row r="3476" spans="7:8">
      <c r="G3476" s="171">
        <v>3473</v>
      </c>
      <c r="H3476" s="186">
        <f t="shared" ca="1" si="100"/>
        <v>-3.2725605044761196E-3</v>
      </c>
    </row>
    <row r="3477" spans="7:8">
      <c r="G3477" s="171">
        <v>3474</v>
      </c>
      <c r="H3477" s="186">
        <f t="shared" ca="1" si="100"/>
        <v>-1.675012220565663E-3</v>
      </c>
    </row>
    <row r="3478" spans="7:8">
      <c r="G3478" s="171">
        <v>3475</v>
      </c>
      <c r="H3478" s="186">
        <f t="shared" ca="1" si="100"/>
        <v>-2.434245101698114E-2</v>
      </c>
    </row>
    <row r="3479" spans="7:8">
      <c r="G3479" s="171">
        <v>3476</v>
      </c>
      <c r="H3479" s="186">
        <f t="shared" ca="1" si="100"/>
        <v>-1.2982085293002602E-2</v>
      </c>
    </row>
    <row r="3480" spans="7:8">
      <c r="G3480" s="171">
        <v>3477</v>
      </c>
      <c r="H3480" s="186">
        <f t="shared" ca="1" si="100"/>
        <v>-9.768896067613532E-3</v>
      </c>
    </row>
    <row r="3481" spans="7:8">
      <c r="G3481" s="171">
        <v>3478</v>
      </c>
      <c r="H3481" s="186">
        <f t="shared" ca="1" si="100"/>
        <v>-2.3197156465794046E-2</v>
      </c>
    </row>
    <row r="3482" spans="7:8">
      <c r="G3482" s="171">
        <v>3479</v>
      </c>
      <c r="H3482" s="186">
        <f t="shared" ca="1" si="100"/>
        <v>8.6192597174383524E-3</v>
      </c>
    </row>
    <row r="3483" spans="7:8">
      <c r="G3483" s="171">
        <v>3480</v>
      </c>
      <c r="H3483" s="186">
        <f t="shared" ca="1" si="100"/>
        <v>1.997899561622014E-2</v>
      </c>
    </row>
    <row r="3484" spans="7:8">
      <c r="G3484" s="171">
        <v>3481</v>
      </c>
      <c r="H3484" s="186">
        <f t="shared" ca="1" si="100"/>
        <v>-2.3725273577877938E-2</v>
      </c>
    </row>
    <row r="3485" spans="7:8">
      <c r="G3485" s="171">
        <v>3482</v>
      </c>
      <c r="H3485" s="186">
        <f t="shared" ca="1" si="100"/>
        <v>2.5177241205349268E-2</v>
      </c>
    </row>
    <row r="3486" spans="7:8">
      <c r="G3486" s="171">
        <v>3483</v>
      </c>
      <c r="H3486" s="186">
        <f t="shared" ca="1" si="100"/>
        <v>-1.7992632794643231E-2</v>
      </c>
    </row>
    <row r="3487" spans="7:8">
      <c r="G3487" s="171">
        <v>3484</v>
      </c>
      <c r="H3487" s="186">
        <f t="shared" ca="1" si="100"/>
        <v>-8.6706217493781757E-3</v>
      </c>
    </row>
    <row r="3488" spans="7:8">
      <c r="G3488" s="171">
        <v>3485</v>
      </c>
      <c r="H3488" s="186">
        <f t="shared" ca="1" si="100"/>
        <v>1.8096187243447578E-2</v>
      </c>
    </row>
    <row r="3489" spans="7:8">
      <c r="G3489" s="171">
        <v>3486</v>
      </c>
      <c r="H3489" s="186">
        <f t="shared" ca="1" si="100"/>
        <v>-5.2699729081748629E-3</v>
      </c>
    </row>
    <row r="3490" spans="7:8">
      <c r="G3490" s="171">
        <v>3487</v>
      </c>
      <c r="H3490" s="186">
        <f t="shared" ca="1" si="100"/>
        <v>1.4686041008155565E-3</v>
      </c>
    </row>
    <row r="3491" spans="7:8">
      <c r="G3491" s="171">
        <v>3488</v>
      </c>
      <c r="H3491" s="186">
        <f t="shared" ca="1" si="100"/>
        <v>-9.0397455086144631E-3</v>
      </c>
    </row>
    <row r="3492" spans="7:8">
      <c r="G3492" s="171">
        <v>3489</v>
      </c>
      <c r="H3492" s="186">
        <f t="shared" ca="1" si="100"/>
        <v>-8.9278408901396489E-3</v>
      </c>
    </row>
    <row r="3493" spans="7:8">
      <c r="G3493" s="171">
        <v>3490</v>
      </c>
      <c r="H3493" s="186">
        <f t="shared" ca="1" si="100"/>
        <v>1.5209467562090097E-3</v>
      </c>
    </row>
    <row r="3494" spans="7:8">
      <c r="G3494" s="171">
        <v>3491</v>
      </c>
      <c r="H3494" s="186">
        <f t="shared" ca="1" si="100"/>
        <v>5.9457812314102328E-3</v>
      </c>
    </row>
    <row r="3495" spans="7:8">
      <c r="G3495" s="171">
        <v>3492</v>
      </c>
      <c r="H3495" s="186">
        <f t="shared" ca="1" si="100"/>
        <v>1.0275823216889617E-2</v>
      </c>
    </row>
    <row r="3496" spans="7:8">
      <c r="G3496" s="171">
        <v>3493</v>
      </c>
      <c r="H3496" s="186">
        <f t="shared" ca="1" si="100"/>
        <v>1.9637770435106259E-2</v>
      </c>
    </row>
    <row r="3497" spans="7:8">
      <c r="G3497" s="171">
        <v>3494</v>
      </c>
      <c r="H3497" s="186">
        <f t="shared" ca="1" si="100"/>
        <v>-5.7128448506101326E-3</v>
      </c>
    </row>
    <row r="3498" spans="7:8">
      <c r="G3498" s="171">
        <v>3495</v>
      </c>
      <c r="H3498" s="186">
        <f t="shared" ca="1" si="100"/>
        <v>1.8355514682158918E-3</v>
      </c>
    </row>
    <row r="3499" spans="7:8">
      <c r="G3499" s="171">
        <v>3496</v>
      </c>
      <c r="H3499" s="186">
        <f t="shared" ca="1" si="100"/>
        <v>-1.3961057737150381E-2</v>
      </c>
    </row>
    <row r="3500" spans="7:8">
      <c r="G3500" s="171">
        <v>3497</v>
      </c>
      <c r="H3500" s="186">
        <f t="shared" ca="1" si="100"/>
        <v>-2.7222797891884375E-2</v>
      </c>
    </row>
    <row r="3501" spans="7:8">
      <c r="G3501" s="171">
        <v>3498</v>
      </c>
      <c r="H3501" s="186">
        <f t="shared" ca="1" si="100"/>
        <v>-2.5991781056400022E-2</v>
      </c>
    </row>
    <row r="3502" spans="7:8">
      <c r="G3502" s="171">
        <v>3499</v>
      </c>
      <c r="H3502" s="186">
        <f t="shared" ca="1" si="100"/>
        <v>-1.3629319159086449E-4</v>
      </c>
    </row>
    <row r="3503" spans="7:8">
      <c r="G3503" s="171">
        <v>3500</v>
      </c>
      <c r="H3503" s="186">
        <f t="shared" ca="1" si="100"/>
        <v>1.5918038126673533E-3</v>
      </c>
    </row>
    <row r="3504" spans="7:8">
      <c r="G3504" s="171">
        <v>3501</v>
      </c>
      <c r="H3504" s="186">
        <f t="shared" ca="1" si="100"/>
        <v>1.7355246086634791E-2</v>
      </c>
    </row>
    <row r="3505" spans="7:8">
      <c r="G3505" s="171">
        <v>3502</v>
      </c>
      <c r="H3505" s="186">
        <f t="shared" ca="1" si="100"/>
        <v>9.5805566335755675E-3</v>
      </c>
    </row>
    <row r="3506" spans="7:8">
      <c r="G3506" s="171">
        <v>3503</v>
      </c>
      <c r="H3506" s="186">
        <f t="shared" ca="1" si="100"/>
        <v>-6.8490487334900473E-3</v>
      </c>
    </row>
    <row r="3507" spans="7:8">
      <c r="G3507" s="171">
        <v>3504</v>
      </c>
      <c r="H3507" s="186">
        <f t="shared" ca="1" si="100"/>
        <v>-3.7385044698405499E-2</v>
      </c>
    </row>
    <row r="3508" spans="7:8">
      <c r="G3508" s="171">
        <v>3505</v>
      </c>
      <c r="H3508" s="186">
        <f t="shared" ca="1" si="100"/>
        <v>-8.4412991486030441E-3</v>
      </c>
    </row>
    <row r="3509" spans="7:8">
      <c r="G3509" s="171">
        <v>3506</v>
      </c>
      <c r="H3509" s="186">
        <f t="shared" ca="1" si="100"/>
        <v>-3.9184368078408749E-3</v>
      </c>
    </row>
    <row r="3510" spans="7:8">
      <c r="G3510" s="171">
        <v>3507</v>
      </c>
      <c r="H3510" s="186">
        <f t="shared" ca="1" si="100"/>
        <v>1.4130775824152999E-2</v>
      </c>
    </row>
    <row r="3511" spans="7:8">
      <c r="G3511" s="171">
        <v>3508</v>
      </c>
      <c r="H3511" s="186">
        <f t="shared" ca="1" si="100"/>
        <v>1.2990339380127898E-2</v>
      </c>
    </row>
    <row r="3512" spans="7:8">
      <c r="G3512" s="171">
        <v>3509</v>
      </c>
      <c r="H3512" s="186">
        <f t="shared" ca="1" si="100"/>
        <v>-1.77984322025454E-2</v>
      </c>
    </row>
    <row r="3513" spans="7:8">
      <c r="G3513" s="171">
        <v>3510</v>
      </c>
      <c r="H3513" s="186">
        <f t="shared" ca="1" si="100"/>
        <v>-2.4424489846009683E-2</v>
      </c>
    </row>
    <row r="3514" spans="7:8">
      <c r="G3514" s="171">
        <v>3511</v>
      </c>
      <c r="H3514" s="186">
        <f t="shared" ca="1" si="100"/>
        <v>-1.2568782368227267E-2</v>
      </c>
    </row>
    <row r="3515" spans="7:8">
      <c r="G3515" s="171">
        <v>3512</v>
      </c>
      <c r="H3515" s="186">
        <f t="shared" ca="1" si="100"/>
        <v>-5.3867164372013452E-3</v>
      </c>
    </row>
    <row r="3516" spans="7:8">
      <c r="G3516" s="171">
        <v>3513</v>
      </c>
      <c r="H3516" s="186">
        <f t="shared" ca="1" si="100"/>
        <v>1.3838499001009192E-2</v>
      </c>
    </row>
    <row r="3517" spans="7:8">
      <c r="G3517" s="171">
        <v>3514</v>
      </c>
      <c r="H3517" s="186">
        <f t="shared" ca="1" si="100"/>
        <v>-4.4786844247569617E-2</v>
      </c>
    </row>
    <row r="3518" spans="7:8">
      <c r="G3518" s="171">
        <v>3515</v>
      </c>
      <c r="H3518" s="186">
        <f t="shared" ca="1" si="100"/>
        <v>4.2171646803604848E-3</v>
      </c>
    </row>
    <row r="3519" spans="7:8">
      <c r="G3519" s="171">
        <v>3516</v>
      </c>
      <c r="H3519" s="186">
        <f t="shared" ca="1" si="100"/>
        <v>-3.0047177390203463E-3</v>
      </c>
    </row>
    <row r="3520" spans="7:8">
      <c r="G3520" s="171">
        <v>3517</v>
      </c>
      <c r="H3520" s="186">
        <f t="shared" ca="1" si="100"/>
        <v>-2.7020795966486953E-2</v>
      </c>
    </row>
    <row r="3521" spans="7:8">
      <c r="G3521" s="171">
        <v>3518</v>
      </c>
      <c r="H3521" s="186">
        <f t="shared" ca="1" si="100"/>
        <v>-1.2497657789071933E-2</v>
      </c>
    </row>
    <row r="3522" spans="7:8">
      <c r="G3522" s="171">
        <v>3519</v>
      </c>
      <c r="H3522" s="186">
        <f t="shared" ca="1" si="100"/>
        <v>-1.5386499952312081E-2</v>
      </c>
    </row>
    <row r="3523" spans="7:8">
      <c r="G3523" s="171">
        <v>3520</v>
      </c>
      <c r="H3523" s="186">
        <f t="shared" ca="1" si="100"/>
        <v>-1.0017023086237085E-2</v>
      </c>
    </row>
    <row r="3524" spans="7:8">
      <c r="G3524" s="171">
        <v>3521</v>
      </c>
      <c r="H3524" s="186">
        <f t="shared" ca="1" si="100"/>
        <v>-2.7874307804775705E-2</v>
      </c>
    </row>
    <row r="3525" spans="7:8">
      <c r="G3525" s="171">
        <v>3522</v>
      </c>
      <c r="H3525" s="186">
        <f t="shared" ref="H3525:H3588" ca="1" si="101">_xlfn.NORM.INV(RAND(),N$6,N$7)</f>
        <v>1.7815740446668747E-2</v>
      </c>
    </row>
    <row r="3526" spans="7:8">
      <c r="G3526" s="171">
        <v>3523</v>
      </c>
      <c r="H3526" s="186">
        <f t="shared" ca="1" si="101"/>
        <v>1.2670948610051818E-2</v>
      </c>
    </row>
    <row r="3527" spans="7:8">
      <c r="G3527" s="171">
        <v>3524</v>
      </c>
      <c r="H3527" s="186">
        <f t="shared" ca="1" si="101"/>
        <v>1.0927433415784237E-2</v>
      </c>
    </row>
    <row r="3528" spans="7:8">
      <c r="G3528" s="171">
        <v>3525</v>
      </c>
      <c r="H3528" s="186">
        <f t="shared" ca="1" si="101"/>
        <v>1.9003527147937831E-2</v>
      </c>
    </row>
    <row r="3529" spans="7:8">
      <c r="G3529" s="171">
        <v>3526</v>
      </c>
      <c r="H3529" s="186">
        <f t="shared" ca="1" si="101"/>
        <v>1.8166164750255672E-2</v>
      </c>
    </row>
    <row r="3530" spans="7:8">
      <c r="G3530" s="171">
        <v>3527</v>
      </c>
      <c r="H3530" s="186">
        <f t="shared" ca="1" si="101"/>
        <v>-4.3957035063679536E-3</v>
      </c>
    </row>
    <row r="3531" spans="7:8">
      <c r="G3531" s="171">
        <v>3528</v>
      </c>
      <c r="H3531" s="186">
        <f t="shared" ca="1" si="101"/>
        <v>-2.2568477452605762E-2</v>
      </c>
    </row>
    <row r="3532" spans="7:8">
      <c r="G3532" s="171">
        <v>3529</v>
      </c>
      <c r="H3532" s="186">
        <f t="shared" ca="1" si="101"/>
        <v>-1.0516265685240158E-2</v>
      </c>
    </row>
    <row r="3533" spans="7:8">
      <c r="G3533" s="171">
        <v>3530</v>
      </c>
      <c r="H3533" s="186">
        <f t="shared" ca="1" si="101"/>
        <v>1.3180142675913175E-2</v>
      </c>
    </row>
    <row r="3534" spans="7:8">
      <c r="G3534" s="171">
        <v>3531</v>
      </c>
      <c r="H3534" s="186">
        <f t="shared" ca="1" si="101"/>
        <v>1.405023802232149E-2</v>
      </c>
    </row>
    <row r="3535" spans="7:8">
      <c r="G3535" s="171">
        <v>3532</v>
      </c>
      <c r="H3535" s="186">
        <f t="shared" ca="1" si="101"/>
        <v>-9.6945945352830444E-3</v>
      </c>
    </row>
    <row r="3536" spans="7:8">
      <c r="G3536" s="171">
        <v>3533</v>
      </c>
      <c r="H3536" s="186">
        <f t="shared" ca="1" si="101"/>
        <v>-4.1568238125617066E-2</v>
      </c>
    </row>
    <row r="3537" spans="7:8">
      <c r="G3537" s="171">
        <v>3534</v>
      </c>
      <c r="H3537" s="186">
        <f t="shared" ca="1" si="101"/>
        <v>1.663542393403256E-2</v>
      </c>
    </row>
    <row r="3538" spans="7:8">
      <c r="G3538" s="171">
        <v>3535</v>
      </c>
      <c r="H3538" s="186">
        <f t="shared" ca="1" si="101"/>
        <v>-2.1666085967359892E-2</v>
      </c>
    </row>
    <row r="3539" spans="7:8">
      <c r="G3539" s="171">
        <v>3536</v>
      </c>
      <c r="H3539" s="186">
        <f t="shared" ca="1" si="101"/>
        <v>-7.0445859238900668E-3</v>
      </c>
    </row>
    <row r="3540" spans="7:8">
      <c r="G3540" s="171">
        <v>3537</v>
      </c>
      <c r="H3540" s="186">
        <f t="shared" ca="1" si="101"/>
        <v>-1.0637150237788062E-2</v>
      </c>
    </row>
    <row r="3541" spans="7:8">
      <c r="G3541" s="171">
        <v>3538</v>
      </c>
      <c r="H3541" s="186">
        <f t="shared" ca="1" si="101"/>
        <v>-2.6133327631987318E-2</v>
      </c>
    </row>
    <row r="3542" spans="7:8">
      <c r="G3542" s="171">
        <v>3539</v>
      </c>
      <c r="H3542" s="186">
        <f t="shared" ca="1" si="101"/>
        <v>9.3722863894274994E-3</v>
      </c>
    </row>
    <row r="3543" spans="7:8">
      <c r="G3543" s="171">
        <v>3540</v>
      </c>
      <c r="H3543" s="186">
        <f t="shared" ca="1" si="101"/>
        <v>1.1478015177958961E-2</v>
      </c>
    </row>
    <row r="3544" spans="7:8">
      <c r="G3544" s="171">
        <v>3541</v>
      </c>
      <c r="H3544" s="186">
        <f t="shared" ca="1" si="101"/>
        <v>-2.6878764285058667E-2</v>
      </c>
    </row>
    <row r="3545" spans="7:8">
      <c r="G3545" s="171">
        <v>3542</v>
      </c>
      <c r="H3545" s="186">
        <f t="shared" ca="1" si="101"/>
        <v>1.9391728416319857E-2</v>
      </c>
    </row>
    <row r="3546" spans="7:8">
      <c r="G3546" s="171">
        <v>3543</v>
      </c>
      <c r="H3546" s="186">
        <f t="shared" ca="1" si="101"/>
        <v>5.6414118692705716E-4</v>
      </c>
    </row>
    <row r="3547" spans="7:8">
      <c r="G3547" s="171">
        <v>3544</v>
      </c>
      <c r="H3547" s="186">
        <f t="shared" ca="1" si="101"/>
        <v>2.5646960666798582E-2</v>
      </c>
    </row>
    <row r="3548" spans="7:8">
      <c r="G3548" s="171">
        <v>3545</v>
      </c>
      <c r="H3548" s="186">
        <f t="shared" ca="1" si="101"/>
        <v>-1.1599166711950019E-3</v>
      </c>
    </row>
    <row r="3549" spans="7:8">
      <c r="G3549" s="171">
        <v>3546</v>
      </c>
      <c r="H3549" s="186">
        <f t="shared" ca="1" si="101"/>
        <v>-2.7581553305700821E-2</v>
      </c>
    </row>
    <row r="3550" spans="7:8">
      <c r="G3550" s="171">
        <v>3547</v>
      </c>
      <c r="H3550" s="186">
        <f t="shared" ca="1" si="101"/>
        <v>1.6049774954228387E-2</v>
      </c>
    </row>
    <row r="3551" spans="7:8">
      <c r="G3551" s="171">
        <v>3548</v>
      </c>
      <c r="H3551" s="186">
        <f t="shared" ca="1" si="101"/>
        <v>1.1835394928759716E-2</v>
      </c>
    </row>
    <row r="3552" spans="7:8">
      <c r="G3552" s="171">
        <v>3549</v>
      </c>
      <c r="H3552" s="186">
        <f t="shared" ca="1" si="101"/>
        <v>-5.7155961693661555E-3</v>
      </c>
    </row>
    <row r="3553" spans="7:8">
      <c r="G3553" s="171">
        <v>3550</v>
      </c>
      <c r="H3553" s="186">
        <f t="shared" ca="1" si="101"/>
        <v>3.6606054217740519E-2</v>
      </c>
    </row>
    <row r="3554" spans="7:8">
      <c r="G3554" s="171">
        <v>3551</v>
      </c>
      <c r="H3554" s="186">
        <f t="shared" ca="1" si="101"/>
        <v>4.8547128921486698E-3</v>
      </c>
    </row>
    <row r="3555" spans="7:8">
      <c r="G3555" s="171">
        <v>3552</v>
      </c>
      <c r="H3555" s="186">
        <f t="shared" ca="1" si="101"/>
        <v>-8.2500441431799729E-3</v>
      </c>
    </row>
    <row r="3556" spans="7:8">
      <c r="G3556" s="171">
        <v>3553</v>
      </c>
      <c r="H3556" s="186">
        <f t="shared" ca="1" si="101"/>
        <v>6.5808121868282032E-3</v>
      </c>
    </row>
    <row r="3557" spans="7:8">
      <c r="G3557" s="171">
        <v>3554</v>
      </c>
      <c r="H3557" s="186">
        <f t="shared" ca="1" si="101"/>
        <v>-8.842857481097514E-4</v>
      </c>
    </row>
    <row r="3558" spans="7:8">
      <c r="G3558" s="171">
        <v>3555</v>
      </c>
      <c r="H3558" s="186">
        <f t="shared" ca="1" si="101"/>
        <v>-1.1283828479690573E-2</v>
      </c>
    </row>
    <row r="3559" spans="7:8">
      <c r="G3559" s="171">
        <v>3556</v>
      </c>
      <c r="H3559" s="186">
        <f t="shared" ca="1" si="101"/>
        <v>3.989748113047138E-4</v>
      </c>
    </row>
    <row r="3560" spans="7:8">
      <c r="G3560" s="171">
        <v>3557</v>
      </c>
      <c r="H3560" s="186">
        <f t="shared" ca="1" si="101"/>
        <v>7.9638731418480088E-3</v>
      </c>
    </row>
    <row r="3561" spans="7:8">
      <c r="G3561" s="171">
        <v>3558</v>
      </c>
      <c r="H3561" s="186">
        <f t="shared" ca="1" si="101"/>
        <v>1.2935362160480577E-2</v>
      </c>
    </row>
    <row r="3562" spans="7:8">
      <c r="G3562" s="171">
        <v>3559</v>
      </c>
      <c r="H3562" s="186">
        <f t="shared" ca="1" si="101"/>
        <v>-4.8459970545278131E-3</v>
      </c>
    </row>
    <row r="3563" spans="7:8">
      <c r="G3563" s="171">
        <v>3560</v>
      </c>
      <c r="H3563" s="186">
        <f t="shared" ca="1" si="101"/>
        <v>-2.3997671292321523E-2</v>
      </c>
    </row>
    <row r="3564" spans="7:8">
      <c r="G3564" s="171">
        <v>3561</v>
      </c>
      <c r="H3564" s="186">
        <f t="shared" ca="1" si="101"/>
        <v>-3.7894669240127301E-3</v>
      </c>
    </row>
    <row r="3565" spans="7:8">
      <c r="G3565" s="171">
        <v>3562</v>
      </c>
      <c r="H3565" s="186">
        <f t="shared" ca="1" si="101"/>
        <v>1.4020353476908927E-2</v>
      </c>
    </row>
    <row r="3566" spans="7:8">
      <c r="G3566" s="171">
        <v>3563</v>
      </c>
      <c r="H3566" s="186">
        <f t="shared" ca="1" si="101"/>
        <v>2.4600438520122114E-2</v>
      </c>
    </row>
    <row r="3567" spans="7:8">
      <c r="G3567" s="171">
        <v>3564</v>
      </c>
      <c r="H3567" s="186">
        <f t="shared" ca="1" si="101"/>
        <v>-1.6783849662847131E-2</v>
      </c>
    </row>
    <row r="3568" spans="7:8">
      <c r="G3568" s="171">
        <v>3565</v>
      </c>
      <c r="H3568" s="186">
        <f t="shared" ca="1" si="101"/>
        <v>-8.80820277475893E-3</v>
      </c>
    </row>
    <row r="3569" spans="7:8">
      <c r="G3569" s="171">
        <v>3566</v>
      </c>
      <c r="H3569" s="186">
        <f t="shared" ca="1" si="101"/>
        <v>1.8678355298132805E-3</v>
      </c>
    </row>
    <row r="3570" spans="7:8">
      <c r="G3570" s="171">
        <v>3567</v>
      </c>
      <c r="H3570" s="186">
        <f t="shared" ca="1" si="101"/>
        <v>1.1009985302466916E-2</v>
      </c>
    </row>
    <row r="3571" spans="7:8">
      <c r="G3571" s="171">
        <v>3568</v>
      </c>
      <c r="H3571" s="186">
        <f t="shared" ca="1" si="101"/>
        <v>-1.9875448189758425E-2</v>
      </c>
    </row>
    <row r="3572" spans="7:8">
      <c r="G3572" s="171">
        <v>3569</v>
      </c>
      <c r="H3572" s="186">
        <f t="shared" ca="1" si="101"/>
        <v>-2.9629712442374835E-3</v>
      </c>
    </row>
    <row r="3573" spans="7:8">
      <c r="G3573" s="171">
        <v>3570</v>
      </c>
      <c r="H3573" s="186">
        <f t="shared" ca="1" si="101"/>
        <v>6.5977308896743962E-3</v>
      </c>
    </row>
    <row r="3574" spans="7:8">
      <c r="G3574" s="171">
        <v>3571</v>
      </c>
      <c r="H3574" s="186">
        <f t="shared" ca="1" si="101"/>
        <v>8.5336435501134709E-3</v>
      </c>
    </row>
    <row r="3575" spans="7:8">
      <c r="G3575" s="171">
        <v>3572</v>
      </c>
      <c r="H3575" s="186">
        <f t="shared" ca="1" si="101"/>
        <v>-1.2132294691468934E-2</v>
      </c>
    </row>
    <row r="3576" spans="7:8">
      <c r="G3576" s="171">
        <v>3573</v>
      </c>
      <c r="H3576" s="186">
        <f t="shared" ca="1" si="101"/>
        <v>1.155010891358272E-2</v>
      </c>
    </row>
    <row r="3577" spans="7:8">
      <c r="G3577" s="171">
        <v>3574</v>
      </c>
      <c r="H3577" s="186">
        <f t="shared" ca="1" si="101"/>
        <v>1.4975351448807905E-2</v>
      </c>
    </row>
    <row r="3578" spans="7:8">
      <c r="G3578" s="171">
        <v>3575</v>
      </c>
      <c r="H3578" s="186">
        <f t="shared" ca="1" si="101"/>
        <v>8.7868563705151333E-3</v>
      </c>
    </row>
    <row r="3579" spans="7:8">
      <c r="G3579" s="171">
        <v>3576</v>
      </c>
      <c r="H3579" s="186">
        <f t="shared" ca="1" si="101"/>
        <v>4.28528678859763E-3</v>
      </c>
    </row>
    <row r="3580" spans="7:8">
      <c r="G3580" s="171">
        <v>3577</v>
      </c>
      <c r="H3580" s="186">
        <f t="shared" ca="1" si="101"/>
        <v>-3.13922837291914E-3</v>
      </c>
    </row>
    <row r="3581" spans="7:8">
      <c r="G3581" s="171">
        <v>3578</v>
      </c>
      <c r="H3581" s="186">
        <f t="shared" ca="1" si="101"/>
        <v>2.3585072533154582E-3</v>
      </c>
    </row>
    <row r="3582" spans="7:8">
      <c r="G3582" s="171">
        <v>3579</v>
      </c>
      <c r="H3582" s="186">
        <f t="shared" ca="1" si="101"/>
        <v>-1.3790802825088802E-2</v>
      </c>
    </row>
    <row r="3583" spans="7:8">
      <c r="G3583" s="171">
        <v>3580</v>
      </c>
      <c r="H3583" s="186">
        <f t="shared" ca="1" si="101"/>
        <v>-1.8379513303316285E-2</v>
      </c>
    </row>
    <row r="3584" spans="7:8">
      <c r="G3584" s="171">
        <v>3581</v>
      </c>
      <c r="H3584" s="186">
        <f t="shared" ca="1" si="101"/>
        <v>1.5367709293643152E-2</v>
      </c>
    </row>
    <row r="3585" spans="7:8">
      <c r="G3585" s="171">
        <v>3582</v>
      </c>
      <c r="H3585" s="186">
        <f t="shared" ca="1" si="101"/>
        <v>-1.5997285515582629E-2</v>
      </c>
    </row>
    <row r="3586" spans="7:8">
      <c r="G3586" s="171">
        <v>3583</v>
      </c>
      <c r="H3586" s="186">
        <f t="shared" ca="1" si="101"/>
        <v>1.2753302561100514E-2</v>
      </c>
    </row>
    <row r="3587" spans="7:8">
      <c r="G3587" s="171">
        <v>3584</v>
      </c>
      <c r="H3587" s="186">
        <f t="shared" ca="1" si="101"/>
        <v>1.3384395881973172E-2</v>
      </c>
    </row>
    <row r="3588" spans="7:8">
      <c r="G3588" s="171">
        <v>3585</v>
      </c>
      <c r="H3588" s="186">
        <f t="shared" ca="1" si="101"/>
        <v>-9.6927956168522626E-3</v>
      </c>
    </row>
    <row r="3589" spans="7:8">
      <c r="G3589" s="171">
        <v>3586</v>
      </c>
      <c r="H3589" s="186">
        <f t="shared" ref="H3589:H3652" ca="1" si="102">_xlfn.NORM.INV(RAND(),N$6,N$7)</f>
        <v>4.0608247852719683E-3</v>
      </c>
    </row>
    <row r="3590" spans="7:8">
      <c r="G3590" s="171">
        <v>3587</v>
      </c>
      <c r="H3590" s="186">
        <f t="shared" ca="1" si="102"/>
        <v>-5.2174232939065533E-3</v>
      </c>
    </row>
    <row r="3591" spans="7:8">
      <c r="G3591" s="171">
        <v>3588</v>
      </c>
      <c r="H3591" s="186">
        <f t="shared" ca="1" si="102"/>
        <v>-1.7119097182797995E-3</v>
      </c>
    </row>
    <row r="3592" spans="7:8">
      <c r="G3592" s="171">
        <v>3589</v>
      </c>
      <c r="H3592" s="186">
        <f t="shared" ca="1" si="102"/>
        <v>-8.3462727590617077E-3</v>
      </c>
    </row>
    <row r="3593" spans="7:8">
      <c r="G3593" s="171">
        <v>3590</v>
      </c>
      <c r="H3593" s="186">
        <f t="shared" ca="1" si="102"/>
        <v>1.6256638665534057E-3</v>
      </c>
    </row>
    <row r="3594" spans="7:8">
      <c r="G3594" s="171">
        <v>3591</v>
      </c>
      <c r="H3594" s="186">
        <f t="shared" ca="1" si="102"/>
        <v>-1.8742925466102654E-2</v>
      </c>
    </row>
    <row r="3595" spans="7:8">
      <c r="G3595" s="171">
        <v>3592</v>
      </c>
      <c r="H3595" s="186">
        <f t="shared" ca="1" si="102"/>
        <v>-1.5500557229898491E-2</v>
      </c>
    </row>
    <row r="3596" spans="7:8">
      <c r="G3596" s="171">
        <v>3593</v>
      </c>
      <c r="H3596" s="186">
        <f t="shared" ca="1" si="102"/>
        <v>1.1030432732142104E-2</v>
      </c>
    </row>
    <row r="3597" spans="7:8">
      <c r="G3597" s="171">
        <v>3594</v>
      </c>
      <c r="H3597" s="186">
        <f t="shared" ca="1" si="102"/>
        <v>-3.9836700082085928E-4</v>
      </c>
    </row>
    <row r="3598" spans="7:8">
      <c r="G3598" s="171">
        <v>3595</v>
      </c>
      <c r="H3598" s="186">
        <f t="shared" ca="1" si="102"/>
        <v>1.5175538383984163E-2</v>
      </c>
    </row>
    <row r="3599" spans="7:8">
      <c r="G3599" s="171">
        <v>3596</v>
      </c>
      <c r="H3599" s="186">
        <f t="shared" ca="1" si="102"/>
        <v>-4.951418040269908E-3</v>
      </c>
    </row>
    <row r="3600" spans="7:8">
      <c r="G3600" s="171">
        <v>3597</v>
      </c>
      <c r="H3600" s="186">
        <f t="shared" ca="1" si="102"/>
        <v>-1.1987709426964726E-3</v>
      </c>
    </row>
    <row r="3601" spans="7:8">
      <c r="G3601" s="171">
        <v>3598</v>
      </c>
      <c r="H3601" s="186">
        <f t="shared" ca="1" si="102"/>
        <v>1.9289572394815623E-2</v>
      </c>
    </row>
    <row r="3602" spans="7:8">
      <c r="G3602" s="171">
        <v>3599</v>
      </c>
      <c r="H3602" s="186">
        <f t="shared" ca="1" si="102"/>
        <v>-3.7094865803473671E-3</v>
      </c>
    </row>
    <row r="3603" spans="7:8">
      <c r="G3603" s="171">
        <v>3600</v>
      </c>
      <c r="H3603" s="186">
        <f t="shared" ca="1" si="102"/>
        <v>6.2666668389816374E-3</v>
      </c>
    </row>
    <row r="3604" spans="7:8">
      <c r="G3604" s="171">
        <v>3601</v>
      </c>
      <c r="H3604" s="186">
        <f t="shared" ca="1" si="102"/>
        <v>7.4066319710103324E-3</v>
      </c>
    </row>
    <row r="3605" spans="7:8">
      <c r="G3605" s="171">
        <v>3602</v>
      </c>
      <c r="H3605" s="186">
        <f t="shared" ca="1" si="102"/>
        <v>1.0363505091537958E-2</v>
      </c>
    </row>
    <row r="3606" spans="7:8">
      <c r="G3606" s="171">
        <v>3603</v>
      </c>
      <c r="H3606" s="186">
        <f t="shared" ca="1" si="102"/>
        <v>-3.65966765802419E-3</v>
      </c>
    </row>
    <row r="3607" spans="7:8">
      <c r="G3607" s="171">
        <v>3604</v>
      </c>
      <c r="H3607" s="186">
        <f t="shared" ca="1" si="102"/>
        <v>1.9111489645366321E-3</v>
      </c>
    </row>
    <row r="3608" spans="7:8">
      <c r="G3608" s="171">
        <v>3605</v>
      </c>
      <c r="H3608" s="186">
        <f t="shared" ca="1" si="102"/>
        <v>2.1380295025299815E-2</v>
      </c>
    </row>
    <row r="3609" spans="7:8">
      <c r="G3609" s="171">
        <v>3606</v>
      </c>
      <c r="H3609" s="186">
        <f t="shared" ca="1" si="102"/>
        <v>-1.3821793012270349E-2</v>
      </c>
    </row>
    <row r="3610" spans="7:8">
      <c r="G3610" s="171">
        <v>3607</v>
      </c>
      <c r="H3610" s="186">
        <f t="shared" ca="1" si="102"/>
        <v>-2.3203471010933636E-2</v>
      </c>
    </row>
    <row r="3611" spans="7:8">
      <c r="G3611" s="171">
        <v>3608</v>
      </c>
      <c r="H3611" s="186">
        <f t="shared" ca="1" si="102"/>
        <v>-1.7721855339536206E-2</v>
      </c>
    </row>
    <row r="3612" spans="7:8">
      <c r="G3612" s="171">
        <v>3609</v>
      </c>
      <c r="H3612" s="186">
        <f t="shared" ca="1" si="102"/>
        <v>-1.8969072663672371E-3</v>
      </c>
    </row>
    <row r="3613" spans="7:8">
      <c r="G3613" s="171">
        <v>3610</v>
      </c>
      <c r="H3613" s="186">
        <f t="shared" ca="1" si="102"/>
        <v>-4.9074316533454145E-3</v>
      </c>
    </row>
    <row r="3614" spans="7:8">
      <c r="G3614" s="171">
        <v>3611</v>
      </c>
      <c r="H3614" s="186">
        <f t="shared" ca="1" si="102"/>
        <v>4.5584858418759773E-4</v>
      </c>
    </row>
    <row r="3615" spans="7:8">
      <c r="G3615" s="171">
        <v>3612</v>
      </c>
      <c r="H3615" s="186">
        <f t="shared" ca="1" si="102"/>
        <v>-1.6790437367106816E-2</v>
      </c>
    </row>
    <row r="3616" spans="7:8">
      <c r="G3616" s="171">
        <v>3613</v>
      </c>
      <c r="H3616" s="186">
        <f t="shared" ca="1" si="102"/>
        <v>-1.9719536615012852E-2</v>
      </c>
    </row>
    <row r="3617" spans="7:8">
      <c r="G3617" s="171">
        <v>3614</v>
      </c>
      <c r="H3617" s="186">
        <f t="shared" ca="1" si="102"/>
        <v>1.4531074192604028E-2</v>
      </c>
    </row>
    <row r="3618" spans="7:8">
      <c r="G3618" s="171">
        <v>3615</v>
      </c>
      <c r="H3618" s="186">
        <f t="shared" ca="1" si="102"/>
        <v>-3.0229982265008986E-2</v>
      </c>
    </row>
    <row r="3619" spans="7:8">
      <c r="G3619" s="171">
        <v>3616</v>
      </c>
      <c r="H3619" s="186">
        <f t="shared" ca="1" si="102"/>
        <v>-3.851444187536715E-2</v>
      </c>
    </row>
    <row r="3620" spans="7:8">
      <c r="G3620" s="171">
        <v>3617</v>
      </c>
      <c r="H3620" s="186">
        <f t="shared" ca="1" si="102"/>
        <v>-7.7061455486717421E-4</v>
      </c>
    </row>
    <row r="3621" spans="7:8">
      <c r="G3621" s="171">
        <v>3618</v>
      </c>
      <c r="H3621" s="186">
        <f t="shared" ca="1" si="102"/>
        <v>-3.8375315815897789E-3</v>
      </c>
    </row>
    <row r="3622" spans="7:8">
      <c r="G3622" s="171">
        <v>3619</v>
      </c>
      <c r="H3622" s="186">
        <f t="shared" ca="1" si="102"/>
        <v>1.557356345266337E-3</v>
      </c>
    </row>
    <row r="3623" spans="7:8">
      <c r="G3623" s="171">
        <v>3620</v>
      </c>
      <c r="H3623" s="186">
        <f t="shared" ca="1" si="102"/>
        <v>5.2427976097292519E-3</v>
      </c>
    </row>
    <row r="3624" spans="7:8">
      <c r="G3624" s="171">
        <v>3621</v>
      </c>
      <c r="H3624" s="186">
        <f t="shared" ca="1" si="102"/>
        <v>2.866141723757517E-3</v>
      </c>
    </row>
    <row r="3625" spans="7:8">
      <c r="G3625" s="171">
        <v>3622</v>
      </c>
      <c r="H3625" s="186">
        <f t="shared" ca="1" si="102"/>
        <v>-7.6758818275355441E-4</v>
      </c>
    </row>
    <row r="3626" spans="7:8">
      <c r="G3626" s="171">
        <v>3623</v>
      </c>
      <c r="H3626" s="186">
        <f t="shared" ca="1" si="102"/>
        <v>-4.2114711861112883E-3</v>
      </c>
    </row>
    <row r="3627" spans="7:8">
      <c r="G3627" s="171">
        <v>3624</v>
      </c>
      <c r="H3627" s="186">
        <f t="shared" ca="1" si="102"/>
        <v>3.27453995605314E-2</v>
      </c>
    </row>
    <row r="3628" spans="7:8">
      <c r="G3628" s="171">
        <v>3625</v>
      </c>
      <c r="H3628" s="186">
        <f t="shared" ca="1" si="102"/>
        <v>2.1198070929597097E-2</v>
      </c>
    </row>
    <row r="3629" spans="7:8">
      <c r="G3629" s="171">
        <v>3626</v>
      </c>
      <c r="H3629" s="186">
        <f t="shared" ca="1" si="102"/>
        <v>7.9916372615847636E-3</v>
      </c>
    </row>
    <row r="3630" spans="7:8">
      <c r="G3630" s="171">
        <v>3627</v>
      </c>
      <c r="H3630" s="186">
        <f t="shared" ca="1" si="102"/>
        <v>2.1634581437092498E-2</v>
      </c>
    </row>
    <row r="3631" spans="7:8">
      <c r="G3631" s="171">
        <v>3628</v>
      </c>
      <c r="H3631" s="186">
        <f t="shared" ca="1" si="102"/>
        <v>-1.6987135183287712E-2</v>
      </c>
    </row>
    <row r="3632" spans="7:8">
      <c r="G3632" s="171">
        <v>3629</v>
      </c>
      <c r="H3632" s="186">
        <f t="shared" ca="1" si="102"/>
        <v>1.6250631076440525E-3</v>
      </c>
    </row>
    <row r="3633" spans="7:8">
      <c r="G3633" s="171">
        <v>3630</v>
      </c>
      <c r="H3633" s="186">
        <f t="shared" ca="1" si="102"/>
        <v>-1.5994904952952974E-2</v>
      </c>
    </row>
    <row r="3634" spans="7:8">
      <c r="G3634" s="171">
        <v>3631</v>
      </c>
      <c r="H3634" s="186">
        <f t="shared" ca="1" si="102"/>
        <v>-1.3012792010232192E-2</v>
      </c>
    </row>
    <row r="3635" spans="7:8">
      <c r="G3635" s="171">
        <v>3632</v>
      </c>
      <c r="H3635" s="186">
        <f t="shared" ca="1" si="102"/>
        <v>2.5983244204416403E-2</v>
      </c>
    </row>
    <row r="3636" spans="7:8">
      <c r="G3636" s="171">
        <v>3633</v>
      </c>
      <c r="H3636" s="186">
        <f t="shared" ca="1" si="102"/>
        <v>-9.2042773112263384E-3</v>
      </c>
    </row>
    <row r="3637" spans="7:8">
      <c r="G3637" s="171">
        <v>3634</v>
      </c>
      <c r="H3637" s="186">
        <f t="shared" ca="1" si="102"/>
        <v>3.8131814841780201E-2</v>
      </c>
    </row>
    <row r="3638" spans="7:8">
      <c r="G3638" s="171">
        <v>3635</v>
      </c>
      <c r="H3638" s="186">
        <f t="shared" ca="1" si="102"/>
        <v>-2.059774659642823E-2</v>
      </c>
    </row>
    <row r="3639" spans="7:8">
      <c r="G3639" s="171">
        <v>3636</v>
      </c>
      <c r="H3639" s="186">
        <f t="shared" ca="1" si="102"/>
        <v>4.8677356055972882E-3</v>
      </c>
    </row>
    <row r="3640" spans="7:8">
      <c r="G3640" s="171">
        <v>3637</v>
      </c>
      <c r="H3640" s="186">
        <f t="shared" ca="1" si="102"/>
        <v>-1.4592546271898281E-2</v>
      </c>
    </row>
    <row r="3641" spans="7:8">
      <c r="G3641" s="171">
        <v>3638</v>
      </c>
      <c r="H3641" s="186">
        <f t="shared" ca="1" si="102"/>
        <v>-2.4156828140913272E-2</v>
      </c>
    </row>
    <row r="3642" spans="7:8">
      <c r="G3642" s="171">
        <v>3639</v>
      </c>
      <c r="H3642" s="186">
        <f t="shared" ca="1" si="102"/>
        <v>6.9007442882394075E-3</v>
      </c>
    </row>
    <row r="3643" spans="7:8">
      <c r="G3643" s="171">
        <v>3640</v>
      </c>
      <c r="H3643" s="186">
        <f t="shared" ca="1" si="102"/>
        <v>-2.1827912778114151E-2</v>
      </c>
    </row>
    <row r="3644" spans="7:8">
      <c r="G3644" s="171">
        <v>3641</v>
      </c>
      <c r="H3644" s="186">
        <f t="shared" ca="1" si="102"/>
        <v>-5.7939606362194251E-3</v>
      </c>
    </row>
    <row r="3645" spans="7:8">
      <c r="G3645" s="171">
        <v>3642</v>
      </c>
      <c r="H3645" s="186">
        <f t="shared" ca="1" si="102"/>
        <v>-1.1142921746323453E-2</v>
      </c>
    </row>
    <row r="3646" spans="7:8">
      <c r="G3646" s="171">
        <v>3643</v>
      </c>
      <c r="H3646" s="186">
        <f t="shared" ca="1" si="102"/>
        <v>1.7988672897717842E-2</v>
      </c>
    </row>
    <row r="3647" spans="7:8">
      <c r="G3647" s="171">
        <v>3644</v>
      </c>
      <c r="H3647" s="186">
        <f t="shared" ca="1" si="102"/>
        <v>-9.9746225230240137E-4</v>
      </c>
    </row>
    <row r="3648" spans="7:8">
      <c r="G3648" s="171">
        <v>3645</v>
      </c>
      <c r="H3648" s="186">
        <f t="shared" ca="1" si="102"/>
        <v>-8.0937852870741275E-3</v>
      </c>
    </row>
    <row r="3649" spans="7:8">
      <c r="G3649" s="171">
        <v>3646</v>
      </c>
      <c r="H3649" s="186">
        <f t="shared" ca="1" si="102"/>
        <v>7.0854435849236775E-3</v>
      </c>
    </row>
    <row r="3650" spans="7:8">
      <c r="G3650" s="171">
        <v>3647</v>
      </c>
      <c r="H3650" s="186">
        <f t="shared" ca="1" si="102"/>
        <v>2.7364033192071834E-3</v>
      </c>
    </row>
    <row r="3651" spans="7:8">
      <c r="G3651" s="171">
        <v>3648</v>
      </c>
      <c r="H3651" s="186">
        <f t="shared" ca="1" si="102"/>
        <v>-8.8907918405621426E-4</v>
      </c>
    </row>
    <row r="3652" spans="7:8">
      <c r="G3652" s="171">
        <v>3649</v>
      </c>
      <c r="H3652" s="186">
        <f t="shared" ca="1" si="102"/>
        <v>7.8443785976896607E-3</v>
      </c>
    </row>
    <row r="3653" spans="7:8">
      <c r="G3653" s="171">
        <v>3650</v>
      </c>
      <c r="H3653" s="186">
        <f t="shared" ref="H3653:H3716" ca="1" si="103">_xlfn.NORM.INV(RAND(),N$6,N$7)</f>
        <v>1.0408775505340105E-2</v>
      </c>
    </row>
    <row r="3654" spans="7:8">
      <c r="G3654" s="171">
        <v>3651</v>
      </c>
      <c r="H3654" s="186">
        <f t="shared" ca="1" si="103"/>
        <v>8.7260272088747516E-3</v>
      </c>
    </row>
    <row r="3655" spans="7:8">
      <c r="G3655" s="171">
        <v>3652</v>
      </c>
      <c r="H3655" s="186">
        <f t="shared" ca="1" si="103"/>
        <v>-3.7494989993898723E-4</v>
      </c>
    </row>
    <row r="3656" spans="7:8">
      <c r="G3656" s="171">
        <v>3653</v>
      </c>
      <c r="H3656" s="186">
        <f t="shared" ca="1" si="103"/>
        <v>-1.1065513274696095E-2</v>
      </c>
    </row>
    <row r="3657" spans="7:8">
      <c r="G3657" s="171">
        <v>3654</v>
      </c>
      <c r="H3657" s="186">
        <f t="shared" ca="1" si="103"/>
        <v>8.996248356103017E-3</v>
      </c>
    </row>
    <row r="3658" spans="7:8">
      <c r="G3658" s="171">
        <v>3655</v>
      </c>
      <c r="H3658" s="186">
        <f t="shared" ca="1" si="103"/>
        <v>1.1545790960901466E-2</v>
      </c>
    </row>
    <row r="3659" spans="7:8">
      <c r="G3659" s="171">
        <v>3656</v>
      </c>
      <c r="H3659" s="186">
        <f t="shared" ca="1" si="103"/>
        <v>-1.3217379670806906E-2</v>
      </c>
    </row>
    <row r="3660" spans="7:8">
      <c r="G3660" s="171">
        <v>3657</v>
      </c>
      <c r="H3660" s="186">
        <f t="shared" ca="1" si="103"/>
        <v>6.5882912232300677E-3</v>
      </c>
    </row>
    <row r="3661" spans="7:8">
      <c r="G3661" s="171">
        <v>3658</v>
      </c>
      <c r="H3661" s="186">
        <f t="shared" ca="1" si="103"/>
        <v>-8.2995707731401067E-3</v>
      </c>
    </row>
    <row r="3662" spans="7:8">
      <c r="G3662" s="171">
        <v>3659</v>
      </c>
      <c r="H3662" s="186">
        <f t="shared" ca="1" si="103"/>
        <v>-5.3974469554134768E-3</v>
      </c>
    </row>
    <row r="3663" spans="7:8">
      <c r="G3663" s="171">
        <v>3660</v>
      </c>
      <c r="H3663" s="186">
        <f t="shared" ca="1" si="103"/>
        <v>1.3531310736064599E-2</v>
      </c>
    </row>
    <row r="3664" spans="7:8">
      <c r="G3664" s="171">
        <v>3661</v>
      </c>
      <c r="H3664" s="186">
        <f t="shared" ca="1" si="103"/>
        <v>-1.8426905453735973E-2</v>
      </c>
    </row>
    <row r="3665" spans="7:8">
      <c r="G3665" s="171">
        <v>3662</v>
      </c>
      <c r="H3665" s="186">
        <f t="shared" ca="1" si="103"/>
        <v>-1.8973192682597763E-2</v>
      </c>
    </row>
    <row r="3666" spans="7:8">
      <c r="G3666" s="171">
        <v>3663</v>
      </c>
      <c r="H3666" s="186">
        <f t="shared" ca="1" si="103"/>
        <v>1.0371991809905614E-2</v>
      </c>
    </row>
    <row r="3667" spans="7:8">
      <c r="G3667" s="171">
        <v>3664</v>
      </c>
      <c r="H3667" s="186">
        <f t="shared" ca="1" si="103"/>
        <v>-6.2634941614818744E-3</v>
      </c>
    </row>
    <row r="3668" spans="7:8">
      <c r="G3668" s="171">
        <v>3665</v>
      </c>
      <c r="H3668" s="186">
        <f t="shared" ca="1" si="103"/>
        <v>-1.5624663881093066E-4</v>
      </c>
    </row>
    <row r="3669" spans="7:8">
      <c r="G3669" s="171">
        <v>3666</v>
      </c>
      <c r="H3669" s="186">
        <f t="shared" ca="1" si="103"/>
        <v>-3.5053378181020139E-2</v>
      </c>
    </row>
    <row r="3670" spans="7:8">
      <c r="G3670" s="171">
        <v>3667</v>
      </c>
      <c r="H3670" s="186">
        <f t="shared" ca="1" si="103"/>
        <v>2.0449621122245049E-2</v>
      </c>
    </row>
    <row r="3671" spans="7:8">
      <c r="G3671" s="171">
        <v>3668</v>
      </c>
      <c r="H3671" s="186">
        <f t="shared" ca="1" si="103"/>
        <v>-4.6273763841899367E-3</v>
      </c>
    </row>
    <row r="3672" spans="7:8">
      <c r="G3672" s="171">
        <v>3669</v>
      </c>
      <c r="H3672" s="186">
        <f t="shared" ca="1" si="103"/>
        <v>4.9105413558428361E-3</v>
      </c>
    </row>
    <row r="3673" spans="7:8">
      <c r="G3673" s="171">
        <v>3670</v>
      </c>
      <c r="H3673" s="186">
        <f t="shared" ca="1" si="103"/>
        <v>2.4155580423836308E-3</v>
      </c>
    </row>
    <row r="3674" spans="7:8">
      <c r="G3674" s="171">
        <v>3671</v>
      </c>
      <c r="H3674" s="186">
        <f t="shared" ca="1" si="103"/>
        <v>-6.2252841763815658E-3</v>
      </c>
    </row>
    <row r="3675" spans="7:8">
      <c r="G3675" s="171">
        <v>3672</v>
      </c>
      <c r="H3675" s="186">
        <f t="shared" ca="1" si="103"/>
        <v>3.8428758531291424E-3</v>
      </c>
    </row>
    <row r="3676" spans="7:8">
      <c r="G3676" s="171">
        <v>3673</v>
      </c>
      <c r="H3676" s="186">
        <f t="shared" ca="1" si="103"/>
        <v>4.3021008635830353E-2</v>
      </c>
    </row>
    <row r="3677" spans="7:8">
      <c r="G3677" s="171">
        <v>3674</v>
      </c>
      <c r="H3677" s="186">
        <f t="shared" ca="1" si="103"/>
        <v>-1.2268077637582033E-2</v>
      </c>
    </row>
    <row r="3678" spans="7:8">
      <c r="G3678" s="171">
        <v>3675</v>
      </c>
      <c r="H3678" s="186">
        <f t="shared" ca="1" si="103"/>
        <v>-6.6410696974260122E-3</v>
      </c>
    </row>
    <row r="3679" spans="7:8">
      <c r="G3679" s="171">
        <v>3676</v>
      </c>
      <c r="H3679" s="186">
        <f t="shared" ca="1" si="103"/>
        <v>-1.0563367868044992E-2</v>
      </c>
    </row>
    <row r="3680" spans="7:8">
      <c r="G3680" s="171">
        <v>3677</v>
      </c>
      <c r="H3680" s="186">
        <f t="shared" ca="1" si="103"/>
        <v>-9.6070692587137702E-3</v>
      </c>
    </row>
    <row r="3681" spans="7:8">
      <c r="G3681" s="171">
        <v>3678</v>
      </c>
      <c r="H3681" s="186">
        <f t="shared" ca="1" si="103"/>
        <v>4.3427600080107156E-3</v>
      </c>
    </row>
    <row r="3682" spans="7:8">
      <c r="G3682" s="171">
        <v>3679</v>
      </c>
      <c r="H3682" s="186">
        <f t="shared" ca="1" si="103"/>
        <v>-2.4993260909493508E-2</v>
      </c>
    </row>
    <row r="3683" spans="7:8">
      <c r="G3683" s="171">
        <v>3680</v>
      </c>
      <c r="H3683" s="186">
        <f t="shared" ca="1" si="103"/>
        <v>-1.2016975155076218E-2</v>
      </c>
    </row>
    <row r="3684" spans="7:8">
      <c r="G3684" s="171">
        <v>3681</v>
      </c>
      <c r="H3684" s="186">
        <f t="shared" ca="1" si="103"/>
        <v>1.4629287301348512E-2</v>
      </c>
    </row>
    <row r="3685" spans="7:8">
      <c r="G3685" s="171">
        <v>3682</v>
      </c>
      <c r="H3685" s="186">
        <f t="shared" ca="1" si="103"/>
        <v>1.2201711676738499E-2</v>
      </c>
    </row>
    <row r="3686" spans="7:8">
      <c r="G3686" s="171">
        <v>3683</v>
      </c>
      <c r="H3686" s="186">
        <f t="shared" ca="1" si="103"/>
        <v>1.4252019314520845E-2</v>
      </c>
    </row>
    <row r="3687" spans="7:8">
      <c r="G3687" s="171">
        <v>3684</v>
      </c>
      <c r="H3687" s="186">
        <f t="shared" ca="1" si="103"/>
        <v>1.9731346557754628E-2</v>
      </c>
    </row>
    <row r="3688" spans="7:8">
      <c r="G3688" s="171">
        <v>3685</v>
      </c>
      <c r="H3688" s="186">
        <f t="shared" ca="1" si="103"/>
        <v>-3.6119653089601023E-3</v>
      </c>
    </row>
    <row r="3689" spans="7:8">
      <c r="G3689" s="171">
        <v>3686</v>
      </c>
      <c r="H3689" s="186">
        <f t="shared" ca="1" si="103"/>
        <v>8.3758166722105905E-3</v>
      </c>
    </row>
    <row r="3690" spans="7:8">
      <c r="G3690" s="171">
        <v>3687</v>
      </c>
      <c r="H3690" s="186">
        <f t="shared" ca="1" si="103"/>
        <v>5.2743804858983289E-3</v>
      </c>
    </row>
    <row r="3691" spans="7:8">
      <c r="G3691" s="171">
        <v>3688</v>
      </c>
      <c r="H3691" s="186">
        <f t="shared" ca="1" si="103"/>
        <v>1.8667486207549773E-2</v>
      </c>
    </row>
    <row r="3692" spans="7:8">
      <c r="G3692" s="171">
        <v>3689</v>
      </c>
      <c r="H3692" s="186">
        <f t="shared" ca="1" si="103"/>
        <v>1.8892660016115028E-2</v>
      </c>
    </row>
    <row r="3693" spans="7:8">
      <c r="G3693" s="171">
        <v>3690</v>
      </c>
      <c r="H3693" s="186">
        <f t="shared" ca="1" si="103"/>
        <v>6.8101340804683393E-3</v>
      </c>
    </row>
    <row r="3694" spans="7:8">
      <c r="G3694" s="171">
        <v>3691</v>
      </c>
      <c r="H3694" s="186">
        <f t="shared" ca="1" si="103"/>
        <v>4.4749173078248231E-3</v>
      </c>
    </row>
    <row r="3695" spans="7:8">
      <c r="G3695" s="171">
        <v>3692</v>
      </c>
      <c r="H3695" s="186">
        <f t="shared" ca="1" si="103"/>
        <v>7.9323755841691711E-4</v>
      </c>
    </row>
    <row r="3696" spans="7:8">
      <c r="G3696" s="171">
        <v>3693</v>
      </c>
      <c r="H3696" s="186">
        <f t="shared" ca="1" si="103"/>
        <v>-8.5537811044325701E-3</v>
      </c>
    </row>
    <row r="3697" spans="7:8">
      <c r="G3697" s="171">
        <v>3694</v>
      </c>
      <c r="H3697" s="186">
        <f t="shared" ca="1" si="103"/>
        <v>2.7511474498772732E-2</v>
      </c>
    </row>
    <row r="3698" spans="7:8">
      <c r="G3698" s="171">
        <v>3695</v>
      </c>
      <c r="H3698" s="186">
        <f t="shared" ca="1" si="103"/>
        <v>7.5599590201601789E-3</v>
      </c>
    </row>
    <row r="3699" spans="7:8">
      <c r="G3699" s="171">
        <v>3696</v>
      </c>
      <c r="H3699" s="186">
        <f t="shared" ca="1" si="103"/>
        <v>1.7321627033338258E-3</v>
      </c>
    </row>
    <row r="3700" spans="7:8">
      <c r="G3700" s="171">
        <v>3697</v>
      </c>
      <c r="H3700" s="186">
        <f t="shared" ca="1" si="103"/>
        <v>6.2276506953175296E-3</v>
      </c>
    </row>
    <row r="3701" spans="7:8">
      <c r="G3701" s="171">
        <v>3698</v>
      </c>
      <c r="H3701" s="186">
        <f t="shared" ca="1" si="103"/>
        <v>-1.4188110284335803E-2</v>
      </c>
    </row>
    <row r="3702" spans="7:8">
      <c r="G3702" s="171">
        <v>3699</v>
      </c>
      <c r="H3702" s="186">
        <f t="shared" ca="1" si="103"/>
        <v>-1.1578410410331494E-2</v>
      </c>
    </row>
    <row r="3703" spans="7:8">
      <c r="G3703" s="171">
        <v>3700</v>
      </c>
      <c r="H3703" s="186">
        <f t="shared" ca="1" si="103"/>
        <v>2.276236218408628E-5</v>
      </c>
    </row>
    <row r="3704" spans="7:8">
      <c r="G3704" s="171">
        <v>3701</v>
      </c>
      <c r="H3704" s="186">
        <f t="shared" ca="1" si="103"/>
        <v>-6.0863936795019554E-3</v>
      </c>
    </row>
    <row r="3705" spans="7:8">
      <c r="G3705" s="171">
        <v>3702</v>
      </c>
      <c r="H3705" s="186">
        <f t="shared" ca="1" si="103"/>
        <v>1.6225226501443101E-2</v>
      </c>
    </row>
    <row r="3706" spans="7:8">
      <c r="G3706" s="171">
        <v>3703</v>
      </c>
      <c r="H3706" s="186">
        <f t="shared" ca="1" si="103"/>
        <v>1.8192837443363266E-2</v>
      </c>
    </row>
    <row r="3707" spans="7:8">
      <c r="G3707" s="171">
        <v>3704</v>
      </c>
      <c r="H3707" s="186">
        <f t="shared" ca="1" si="103"/>
        <v>9.6501174317170126E-3</v>
      </c>
    </row>
    <row r="3708" spans="7:8">
      <c r="G3708" s="171">
        <v>3705</v>
      </c>
      <c r="H3708" s="186">
        <f t="shared" ca="1" si="103"/>
        <v>-7.1581498552516435E-4</v>
      </c>
    </row>
    <row r="3709" spans="7:8">
      <c r="G3709" s="171">
        <v>3706</v>
      </c>
      <c r="H3709" s="186">
        <f t="shared" ca="1" si="103"/>
        <v>1.3865690884929189E-2</v>
      </c>
    </row>
    <row r="3710" spans="7:8">
      <c r="G3710" s="171">
        <v>3707</v>
      </c>
      <c r="H3710" s="186">
        <f t="shared" ca="1" si="103"/>
        <v>-2.9641495443808144E-3</v>
      </c>
    </row>
    <row r="3711" spans="7:8">
      <c r="G3711" s="171">
        <v>3708</v>
      </c>
      <c r="H3711" s="186">
        <f t="shared" ca="1" si="103"/>
        <v>3.3145715548814604E-2</v>
      </c>
    </row>
    <row r="3712" spans="7:8">
      <c r="G3712" s="171">
        <v>3709</v>
      </c>
      <c r="H3712" s="186">
        <f t="shared" ca="1" si="103"/>
        <v>-2.3257192656068156E-3</v>
      </c>
    </row>
    <row r="3713" spans="7:8">
      <c r="G3713" s="171">
        <v>3710</v>
      </c>
      <c r="H3713" s="186">
        <f t="shared" ca="1" si="103"/>
        <v>-6.4543464020381074E-3</v>
      </c>
    </row>
    <row r="3714" spans="7:8">
      <c r="G3714" s="171">
        <v>3711</v>
      </c>
      <c r="H3714" s="186">
        <f t="shared" ca="1" si="103"/>
        <v>1.6636862690526989E-2</v>
      </c>
    </row>
    <row r="3715" spans="7:8">
      <c r="G3715" s="171">
        <v>3712</v>
      </c>
      <c r="H3715" s="186">
        <f t="shared" ca="1" si="103"/>
        <v>3.578695997277604E-2</v>
      </c>
    </row>
    <row r="3716" spans="7:8">
      <c r="G3716" s="171">
        <v>3713</v>
      </c>
      <c r="H3716" s="186">
        <f t="shared" ca="1" si="103"/>
        <v>8.2418934186963139E-3</v>
      </c>
    </row>
    <row r="3717" spans="7:8">
      <c r="G3717" s="171">
        <v>3714</v>
      </c>
      <c r="H3717" s="186">
        <f t="shared" ref="H3717:H3780" ca="1" si="104">_xlfn.NORM.INV(RAND(),N$6,N$7)</f>
        <v>2.4841212086789379E-2</v>
      </c>
    </row>
    <row r="3718" spans="7:8">
      <c r="G3718" s="171">
        <v>3715</v>
      </c>
      <c r="H3718" s="186">
        <f t="shared" ca="1" si="104"/>
        <v>-4.1136002748865974E-2</v>
      </c>
    </row>
    <row r="3719" spans="7:8">
      <c r="G3719" s="171">
        <v>3716</v>
      </c>
      <c r="H3719" s="186">
        <f t="shared" ca="1" si="104"/>
        <v>-1.762327345305776E-2</v>
      </c>
    </row>
    <row r="3720" spans="7:8">
      <c r="G3720" s="171">
        <v>3717</v>
      </c>
      <c r="H3720" s="186">
        <f t="shared" ca="1" si="104"/>
        <v>-9.2944414133533243E-3</v>
      </c>
    </row>
    <row r="3721" spans="7:8">
      <c r="G3721" s="171">
        <v>3718</v>
      </c>
      <c r="H3721" s="186">
        <f t="shared" ca="1" si="104"/>
        <v>-1.6570241250447065E-2</v>
      </c>
    </row>
    <row r="3722" spans="7:8">
      <c r="G3722" s="171">
        <v>3719</v>
      </c>
      <c r="H3722" s="186">
        <f t="shared" ca="1" si="104"/>
        <v>4.0845265630814892E-3</v>
      </c>
    </row>
    <row r="3723" spans="7:8">
      <c r="G3723" s="171">
        <v>3720</v>
      </c>
      <c r="H3723" s="186">
        <f t="shared" ca="1" si="104"/>
        <v>1.3798349545167941E-3</v>
      </c>
    </row>
    <row r="3724" spans="7:8">
      <c r="G3724" s="171">
        <v>3721</v>
      </c>
      <c r="H3724" s="186">
        <f t="shared" ca="1" si="104"/>
        <v>-1.459354386199457E-2</v>
      </c>
    </row>
    <row r="3725" spans="7:8">
      <c r="G3725" s="171">
        <v>3722</v>
      </c>
      <c r="H3725" s="186">
        <f t="shared" ca="1" si="104"/>
        <v>-1.4729485522918611E-3</v>
      </c>
    </row>
    <row r="3726" spans="7:8">
      <c r="G3726" s="171">
        <v>3723</v>
      </c>
      <c r="H3726" s="186">
        <f t="shared" ca="1" si="104"/>
        <v>-2.7677438739672048E-2</v>
      </c>
    </row>
    <row r="3727" spans="7:8">
      <c r="G3727" s="171">
        <v>3724</v>
      </c>
      <c r="H3727" s="186">
        <f t="shared" ca="1" si="104"/>
        <v>-1.698871357798296E-3</v>
      </c>
    </row>
    <row r="3728" spans="7:8">
      <c r="G3728" s="171">
        <v>3725</v>
      </c>
      <c r="H3728" s="186">
        <f t="shared" ca="1" si="104"/>
        <v>2.7573339167014068E-2</v>
      </c>
    </row>
    <row r="3729" spans="7:8">
      <c r="G3729" s="171">
        <v>3726</v>
      </c>
      <c r="H3729" s="186">
        <f t="shared" ca="1" si="104"/>
        <v>1.0164972063756994E-2</v>
      </c>
    </row>
    <row r="3730" spans="7:8">
      <c r="G3730" s="171">
        <v>3727</v>
      </c>
      <c r="H3730" s="186">
        <f t="shared" ca="1" si="104"/>
        <v>1.7682101583026189E-2</v>
      </c>
    </row>
    <row r="3731" spans="7:8">
      <c r="G3731" s="171">
        <v>3728</v>
      </c>
      <c r="H3731" s="186">
        <f t="shared" ca="1" si="104"/>
        <v>5.0749151218954748E-3</v>
      </c>
    </row>
    <row r="3732" spans="7:8">
      <c r="G3732" s="171">
        <v>3729</v>
      </c>
      <c r="H3732" s="186">
        <f t="shared" ca="1" si="104"/>
        <v>-3.1570599669622406E-3</v>
      </c>
    </row>
    <row r="3733" spans="7:8">
      <c r="G3733" s="171">
        <v>3730</v>
      </c>
      <c r="H3733" s="186">
        <f t="shared" ca="1" si="104"/>
        <v>4.6781439845513875E-3</v>
      </c>
    </row>
    <row r="3734" spans="7:8">
      <c r="G3734" s="171">
        <v>3731</v>
      </c>
      <c r="H3734" s="186">
        <f t="shared" ca="1" si="104"/>
        <v>1.8165311807041826E-2</v>
      </c>
    </row>
    <row r="3735" spans="7:8">
      <c r="G3735" s="171">
        <v>3732</v>
      </c>
      <c r="H3735" s="186">
        <f t="shared" ca="1" si="104"/>
        <v>1.5023683296668202E-2</v>
      </c>
    </row>
    <row r="3736" spans="7:8">
      <c r="G3736" s="171">
        <v>3733</v>
      </c>
      <c r="H3736" s="186">
        <f t="shared" ca="1" si="104"/>
        <v>-1.051602303191667E-2</v>
      </c>
    </row>
    <row r="3737" spans="7:8">
      <c r="G3737" s="171">
        <v>3734</v>
      </c>
      <c r="H3737" s="186">
        <f t="shared" ca="1" si="104"/>
        <v>3.2019085468828527E-2</v>
      </c>
    </row>
    <row r="3738" spans="7:8">
      <c r="G3738" s="171">
        <v>3735</v>
      </c>
      <c r="H3738" s="186">
        <f t="shared" ca="1" si="104"/>
        <v>-4.1826933819596275E-3</v>
      </c>
    </row>
    <row r="3739" spans="7:8">
      <c r="G3739" s="171">
        <v>3736</v>
      </c>
      <c r="H3739" s="186">
        <f t="shared" ca="1" si="104"/>
        <v>-1.8861063926829279E-4</v>
      </c>
    </row>
    <row r="3740" spans="7:8">
      <c r="G3740" s="171">
        <v>3737</v>
      </c>
      <c r="H3740" s="186">
        <f t="shared" ca="1" si="104"/>
        <v>-1.2188923373487016E-2</v>
      </c>
    </row>
    <row r="3741" spans="7:8">
      <c r="G3741" s="171">
        <v>3738</v>
      </c>
      <c r="H3741" s="186">
        <f t="shared" ca="1" si="104"/>
        <v>-3.3526482480488999E-2</v>
      </c>
    </row>
    <row r="3742" spans="7:8">
      <c r="G3742" s="171">
        <v>3739</v>
      </c>
      <c r="H3742" s="186">
        <f t="shared" ca="1" si="104"/>
        <v>-2.2110504416972356E-2</v>
      </c>
    </row>
    <row r="3743" spans="7:8">
      <c r="G3743" s="171">
        <v>3740</v>
      </c>
      <c r="H3743" s="186">
        <f t="shared" ca="1" si="104"/>
        <v>-1.070671068032931E-2</v>
      </c>
    </row>
    <row r="3744" spans="7:8">
      <c r="G3744" s="171">
        <v>3741</v>
      </c>
      <c r="H3744" s="186">
        <f t="shared" ca="1" si="104"/>
        <v>-2.0758761858265019E-2</v>
      </c>
    </row>
    <row r="3745" spans="7:8">
      <c r="G3745" s="171">
        <v>3742</v>
      </c>
      <c r="H3745" s="186">
        <f t="shared" ca="1" si="104"/>
        <v>-6.6658956485481395E-3</v>
      </c>
    </row>
    <row r="3746" spans="7:8">
      <c r="G3746" s="171">
        <v>3743</v>
      </c>
      <c r="H3746" s="186">
        <f t="shared" ca="1" si="104"/>
        <v>1.3309077629952388E-2</v>
      </c>
    </row>
    <row r="3747" spans="7:8">
      <c r="G3747" s="171">
        <v>3744</v>
      </c>
      <c r="H3747" s="186">
        <f t="shared" ca="1" si="104"/>
        <v>-3.4991009548173364E-2</v>
      </c>
    </row>
    <row r="3748" spans="7:8">
      <c r="G3748" s="171">
        <v>3745</v>
      </c>
      <c r="H3748" s="186">
        <f t="shared" ca="1" si="104"/>
        <v>-2.233004074397911E-2</v>
      </c>
    </row>
    <row r="3749" spans="7:8">
      <c r="G3749" s="171">
        <v>3746</v>
      </c>
      <c r="H3749" s="186">
        <f t="shared" ca="1" si="104"/>
        <v>-2.6355519783940625E-2</v>
      </c>
    </row>
    <row r="3750" spans="7:8">
      <c r="G3750" s="171">
        <v>3747</v>
      </c>
      <c r="H3750" s="186">
        <f t="shared" ca="1" si="104"/>
        <v>-9.8351932163978553E-3</v>
      </c>
    </row>
    <row r="3751" spans="7:8">
      <c r="G3751" s="171">
        <v>3748</v>
      </c>
      <c r="H3751" s="186">
        <f t="shared" ca="1" si="104"/>
        <v>6.0736444856439612E-3</v>
      </c>
    </row>
    <row r="3752" spans="7:8">
      <c r="G3752" s="171">
        <v>3749</v>
      </c>
      <c r="H3752" s="186">
        <f t="shared" ca="1" si="104"/>
        <v>1.583948872100965E-2</v>
      </c>
    </row>
    <row r="3753" spans="7:8">
      <c r="G3753" s="171">
        <v>3750</v>
      </c>
      <c r="H3753" s="186">
        <f t="shared" ca="1" si="104"/>
        <v>5.8631439765866617E-3</v>
      </c>
    </row>
    <row r="3754" spans="7:8">
      <c r="G3754" s="171">
        <v>3751</v>
      </c>
      <c r="H3754" s="186">
        <f t="shared" ca="1" si="104"/>
        <v>-1.6403417491394082E-2</v>
      </c>
    </row>
    <row r="3755" spans="7:8">
      <c r="G3755" s="171">
        <v>3752</v>
      </c>
      <c r="H3755" s="186">
        <f t="shared" ca="1" si="104"/>
        <v>6.9616932866473956E-3</v>
      </c>
    </row>
    <row r="3756" spans="7:8">
      <c r="G3756" s="171">
        <v>3753</v>
      </c>
      <c r="H3756" s="186">
        <f t="shared" ca="1" si="104"/>
        <v>4.9718269945377364E-4</v>
      </c>
    </row>
    <row r="3757" spans="7:8">
      <c r="G3757" s="171">
        <v>3754</v>
      </c>
      <c r="H3757" s="186">
        <f t="shared" ca="1" si="104"/>
        <v>-4.0554539089134841E-3</v>
      </c>
    </row>
    <row r="3758" spans="7:8">
      <c r="G3758" s="171">
        <v>3755</v>
      </c>
      <c r="H3758" s="186">
        <f t="shared" ca="1" si="104"/>
        <v>-9.4516799956289206E-3</v>
      </c>
    </row>
    <row r="3759" spans="7:8">
      <c r="G3759" s="171">
        <v>3756</v>
      </c>
      <c r="H3759" s="186">
        <f t="shared" ca="1" si="104"/>
        <v>7.9370528441266765E-3</v>
      </c>
    </row>
    <row r="3760" spans="7:8">
      <c r="G3760" s="171">
        <v>3757</v>
      </c>
      <c r="H3760" s="186">
        <f t="shared" ca="1" si="104"/>
        <v>8.462612172991487E-3</v>
      </c>
    </row>
    <row r="3761" spans="7:8">
      <c r="G3761" s="171">
        <v>3758</v>
      </c>
      <c r="H3761" s="186">
        <f t="shared" ca="1" si="104"/>
        <v>-9.5934304668212639E-3</v>
      </c>
    </row>
    <row r="3762" spans="7:8">
      <c r="G3762" s="171">
        <v>3759</v>
      </c>
      <c r="H3762" s="186">
        <f t="shared" ca="1" si="104"/>
        <v>-2.335595354452661E-3</v>
      </c>
    </row>
    <row r="3763" spans="7:8">
      <c r="G3763" s="171">
        <v>3760</v>
      </c>
      <c r="H3763" s="186">
        <f t="shared" ca="1" si="104"/>
        <v>2.3787414699226361E-2</v>
      </c>
    </row>
    <row r="3764" spans="7:8">
      <c r="G3764" s="171">
        <v>3761</v>
      </c>
      <c r="H3764" s="186">
        <f t="shared" ca="1" si="104"/>
        <v>1.1837886302606137E-3</v>
      </c>
    </row>
    <row r="3765" spans="7:8">
      <c r="G3765" s="171">
        <v>3762</v>
      </c>
      <c r="H3765" s="186">
        <f t="shared" ca="1" si="104"/>
        <v>1.1647874808571632E-2</v>
      </c>
    </row>
    <row r="3766" spans="7:8">
      <c r="G3766" s="171">
        <v>3763</v>
      </c>
      <c r="H3766" s="186">
        <f t="shared" ca="1" si="104"/>
        <v>1.3288611014675046E-2</v>
      </c>
    </row>
    <row r="3767" spans="7:8">
      <c r="G3767" s="171">
        <v>3764</v>
      </c>
      <c r="H3767" s="186">
        <f t="shared" ca="1" si="104"/>
        <v>1.9210193616944725E-2</v>
      </c>
    </row>
    <row r="3768" spans="7:8">
      <c r="G3768" s="171">
        <v>3765</v>
      </c>
      <c r="H3768" s="186">
        <f t="shared" ca="1" si="104"/>
        <v>-1.4422080864308972E-2</v>
      </c>
    </row>
    <row r="3769" spans="7:8">
      <c r="G3769" s="171">
        <v>3766</v>
      </c>
      <c r="H3769" s="186">
        <f t="shared" ca="1" si="104"/>
        <v>-1.8354755630140711E-2</v>
      </c>
    </row>
    <row r="3770" spans="7:8">
      <c r="G3770" s="171">
        <v>3767</v>
      </c>
      <c r="H3770" s="186">
        <f t="shared" ca="1" si="104"/>
        <v>3.7451911398723981E-3</v>
      </c>
    </row>
    <row r="3771" spans="7:8">
      <c r="G3771" s="171">
        <v>3768</v>
      </c>
      <c r="H3771" s="186">
        <f t="shared" ca="1" si="104"/>
        <v>-5.5543501889743852E-3</v>
      </c>
    </row>
    <row r="3772" spans="7:8">
      <c r="G3772" s="171">
        <v>3769</v>
      </c>
      <c r="H3772" s="186">
        <f t="shared" ca="1" si="104"/>
        <v>-9.2487930499921354E-3</v>
      </c>
    </row>
    <row r="3773" spans="7:8">
      <c r="G3773" s="171">
        <v>3770</v>
      </c>
      <c r="H3773" s="186">
        <f t="shared" ca="1" si="104"/>
        <v>-3.4630042445686363E-2</v>
      </c>
    </row>
    <row r="3774" spans="7:8">
      <c r="G3774" s="171">
        <v>3771</v>
      </c>
      <c r="H3774" s="186">
        <f t="shared" ca="1" si="104"/>
        <v>2.1765996695036628E-2</v>
      </c>
    </row>
    <row r="3775" spans="7:8">
      <c r="G3775" s="171">
        <v>3772</v>
      </c>
      <c r="H3775" s="186">
        <f t="shared" ca="1" si="104"/>
        <v>9.9041298627388363E-3</v>
      </c>
    </row>
    <row r="3776" spans="7:8">
      <c r="G3776" s="171">
        <v>3773</v>
      </c>
      <c r="H3776" s="186">
        <f t="shared" ca="1" si="104"/>
        <v>2.235586516084606E-3</v>
      </c>
    </row>
    <row r="3777" spans="7:8">
      <c r="G3777" s="171">
        <v>3774</v>
      </c>
      <c r="H3777" s="186">
        <f t="shared" ca="1" si="104"/>
        <v>-9.7545056986277374E-3</v>
      </c>
    </row>
    <row r="3778" spans="7:8">
      <c r="G3778" s="171">
        <v>3775</v>
      </c>
      <c r="H3778" s="186">
        <f t="shared" ca="1" si="104"/>
        <v>9.9197678694894799E-3</v>
      </c>
    </row>
    <row r="3779" spans="7:8">
      <c r="G3779" s="171">
        <v>3776</v>
      </c>
      <c r="H3779" s="186">
        <f t="shared" ca="1" si="104"/>
        <v>8.4076720691127187E-3</v>
      </c>
    </row>
    <row r="3780" spans="7:8">
      <c r="G3780" s="171">
        <v>3777</v>
      </c>
      <c r="H3780" s="186">
        <f t="shared" ca="1" si="104"/>
        <v>1.5714406078219296E-2</v>
      </c>
    </row>
    <row r="3781" spans="7:8">
      <c r="G3781" s="171">
        <v>3778</v>
      </c>
      <c r="H3781" s="186">
        <f t="shared" ref="H3781:H3844" ca="1" si="105">_xlfn.NORM.INV(RAND(),N$6,N$7)</f>
        <v>2.5253482640887503E-2</v>
      </c>
    </row>
    <row r="3782" spans="7:8">
      <c r="G3782" s="171">
        <v>3779</v>
      </c>
      <c r="H3782" s="186">
        <f t="shared" ca="1" si="105"/>
        <v>-1.4637457973258427E-3</v>
      </c>
    </row>
    <row r="3783" spans="7:8">
      <c r="G3783" s="171">
        <v>3780</v>
      </c>
      <c r="H3783" s="186">
        <f t="shared" ca="1" si="105"/>
        <v>1.53287182402217E-2</v>
      </c>
    </row>
    <row r="3784" spans="7:8">
      <c r="G3784" s="171">
        <v>3781</v>
      </c>
      <c r="H3784" s="186">
        <f t="shared" ca="1" si="105"/>
        <v>-5.8621939558104819E-3</v>
      </c>
    </row>
    <row r="3785" spans="7:8">
      <c r="G3785" s="171">
        <v>3782</v>
      </c>
      <c r="H3785" s="186">
        <f t="shared" ca="1" si="105"/>
        <v>5.9898869181899805E-3</v>
      </c>
    </row>
    <row r="3786" spans="7:8">
      <c r="G3786" s="171">
        <v>3783</v>
      </c>
      <c r="H3786" s="186">
        <f t="shared" ca="1" si="105"/>
        <v>-2.2139637694756568E-2</v>
      </c>
    </row>
    <row r="3787" spans="7:8">
      <c r="G3787" s="171">
        <v>3784</v>
      </c>
      <c r="H3787" s="186">
        <f t="shared" ca="1" si="105"/>
        <v>-4.3450233799290578E-3</v>
      </c>
    </row>
    <row r="3788" spans="7:8">
      <c r="G3788" s="171">
        <v>3785</v>
      </c>
      <c r="H3788" s="186">
        <f t="shared" ca="1" si="105"/>
        <v>-6.0285114446259891E-3</v>
      </c>
    </row>
    <row r="3789" spans="7:8">
      <c r="G3789" s="171">
        <v>3786</v>
      </c>
      <c r="H3789" s="186">
        <f t="shared" ca="1" si="105"/>
        <v>-4.4762600796024845E-3</v>
      </c>
    </row>
    <row r="3790" spans="7:8">
      <c r="G3790" s="171">
        <v>3787</v>
      </c>
      <c r="H3790" s="186">
        <f t="shared" ca="1" si="105"/>
        <v>-8.6073890546998644E-3</v>
      </c>
    </row>
    <row r="3791" spans="7:8">
      <c r="G3791" s="171">
        <v>3788</v>
      </c>
      <c r="H3791" s="186">
        <f t="shared" ca="1" si="105"/>
        <v>1.4503267273429018E-2</v>
      </c>
    </row>
    <row r="3792" spans="7:8">
      <c r="G3792" s="171">
        <v>3789</v>
      </c>
      <c r="H3792" s="186">
        <f t="shared" ca="1" si="105"/>
        <v>3.8993058859480376E-3</v>
      </c>
    </row>
    <row r="3793" spans="7:8">
      <c r="G3793" s="171">
        <v>3790</v>
      </c>
      <c r="H3793" s="186">
        <f t="shared" ca="1" si="105"/>
        <v>-2.186804234906789E-2</v>
      </c>
    </row>
    <row r="3794" spans="7:8">
      <c r="G3794" s="171">
        <v>3791</v>
      </c>
      <c r="H3794" s="186">
        <f t="shared" ca="1" si="105"/>
        <v>-2.8986542744947927E-2</v>
      </c>
    </row>
    <row r="3795" spans="7:8">
      <c r="G3795" s="171">
        <v>3792</v>
      </c>
      <c r="H3795" s="186">
        <f t="shared" ca="1" si="105"/>
        <v>-1.7428806852645496E-3</v>
      </c>
    </row>
    <row r="3796" spans="7:8">
      <c r="G3796" s="171">
        <v>3793</v>
      </c>
      <c r="H3796" s="186">
        <f t="shared" ca="1" si="105"/>
        <v>1.4447267964918638E-2</v>
      </c>
    </row>
    <row r="3797" spans="7:8">
      <c r="G3797" s="171">
        <v>3794</v>
      </c>
      <c r="H3797" s="186">
        <f t="shared" ca="1" si="105"/>
        <v>6.8094287412254467E-3</v>
      </c>
    </row>
    <row r="3798" spans="7:8">
      <c r="G3798" s="171">
        <v>3795</v>
      </c>
      <c r="H3798" s="186">
        <f t="shared" ca="1" si="105"/>
        <v>-1.0525829358607621E-2</v>
      </c>
    </row>
    <row r="3799" spans="7:8">
      <c r="G3799" s="171">
        <v>3796</v>
      </c>
      <c r="H3799" s="186">
        <f t="shared" ca="1" si="105"/>
        <v>8.1755177346977837E-3</v>
      </c>
    </row>
    <row r="3800" spans="7:8">
      <c r="G3800" s="171">
        <v>3797</v>
      </c>
      <c r="H3800" s="186">
        <f t="shared" ca="1" si="105"/>
        <v>-5.0876116468323478E-3</v>
      </c>
    </row>
    <row r="3801" spans="7:8">
      <c r="G3801" s="171">
        <v>3798</v>
      </c>
      <c r="H3801" s="186">
        <f t="shared" ca="1" si="105"/>
        <v>-6.5725205193862017E-3</v>
      </c>
    </row>
    <row r="3802" spans="7:8">
      <c r="G3802" s="171">
        <v>3799</v>
      </c>
      <c r="H3802" s="186">
        <f t="shared" ca="1" si="105"/>
        <v>-1.6325244849451068E-2</v>
      </c>
    </row>
    <row r="3803" spans="7:8">
      <c r="G3803" s="171">
        <v>3800</v>
      </c>
      <c r="H3803" s="186">
        <f t="shared" ca="1" si="105"/>
        <v>-1.8578266916698942E-2</v>
      </c>
    </row>
    <row r="3804" spans="7:8">
      <c r="G3804" s="171">
        <v>3801</v>
      </c>
      <c r="H3804" s="186">
        <f t="shared" ca="1" si="105"/>
        <v>-4.2525472915693037E-2</v>
      </c>
    </row>
    <row r="3805" spans="7:8">
      <c r="G3805" s="171">
        <v>3802</v>
      </c>
      <c r="H3805" s="186">
        <f t="shared" ca="1" si="105"/>
        <v>-1.0565480931158501E-3</v>
      </c>
    </row>
    <row r="3806" spans="7:8">
      <c r="G3806" s="171">
        <v>3803</v>
      </c>
      <c r="H3806" s="186">
        <f t="shared" ca="1" si="105"/>
        <v>-1.7209825779207155E-2</v>
      </c>
    </row>
    <row r="3807" spans="7:8">
      <c r="G3807" s="171">
        <v>3804</v>
      </c>
      <c r="H3807" s="186">
        <f t="shared" ca="1" si="105"/>
        <v>-1.3978060531741266E-2</v>
      </c>
    </row>
    <row r="3808" spans="7:8">
      <c r="G3808" s="171">
        <v>3805</v>
      </c>
      <c r="H3808" s="186">
        <f t="shared" ca="1" si="105"/>
        <v>2.6015421462007152E-2</v>
      </c>
    </row>
    <row r="3809" spans="7:8">
      <c r="G3809" s="171">
        <v>3806</v>
      </c>
      <c r="H3809" s="186">
        <f t="shared" ca="1" si="105"/>
        <v>1.8626044881189063E-3</v>
      </c>
    </row>
    <row r="3810" spans="7:8">
      <c r="G3810" s="171">
        <v>3807</v>
      </c>
      <c r="H3810" s="186">
        <f t="shared" ca="1" si="105"/>
        <v>2.6015007824940714E-3</v>
      </c>
    </row>
    <row r="3811" spans="7:8">
      <c r="G3811" s="171">
        <v>3808</v>
      </c>
      <c r="H3811" s="186">
        <f t="shared" ca="1" si="105"/>
        <v>-1.5823227088972481E-2</v>
      </c>
    </row>
    <row r="3812" spans="7:8">
      <c r="G3812" s="171">
        <v>3809</v>
      </c>
      <c r="H3812" s="186">
        <f t="shared" ca="1" si="105"/>
        <v>-1.6517028227306798E-2</v>
      </c>
    </row>
    <row r="3813" spans="7:8">
      <c r="G3813" s="171">
        <v>3810</v>
      </c>
      <c r="H3813" s="186">
        <f t="shared" ca="1" si="105"/>
        <v>-2.0722182300831393E-2</v>
      </c>
    </row>
    <row r="3814" spans="7:8">
      <c r="G3814" s="171">
        <v>3811</v>
      </c>
      <c r="H3814" s="186">
        <f t="shared" ca="1" si="105"/>
        <v>-1.9126610257682065E-3</v>
      </c>
    </row>
    <row r="3815" spans="7:8">
      <c r="G3815" s="171">
        <v>3812</v>
      </c>
      <c r="H3815" s="186">
        <f t="shared" ca="1" si="105"/>
        <v>3.6003745161040956E-3</v>
      </c>
    </row>
    <row r="3816" spans="7:8">
      <c r="G3816" s="171">
        <v>3813</v>
      </c>
      <c r="H3816" s="186">
        <f t="shared" ca="1" si="105"/>
        <v>1.3022289067965256E-2</v>
      </c>
    </row>
    <row r="3817" spans="7:8">
      <c r="G3817" s="171">
        <v>3814</v>
      </c>
      <c r="H3817" s="186">
        <f t="shared" ca="1" si="105"/>
        <v>2.7337110677362358E-2</v>
      </c>
    </row>
    <row r="3818" spans="7:8">
      <c r="G3818" s="171">
        <v>3815</v>
      </c>
      <c r="H3818" s="186">
        <f t="shared" ca="1" si="105"/>
        <v>1.0823071679600458E-2</v>
      </c>
    </row>
    <row r="3819" spans="7:8">
      <c r="G3819" s="171">
        <v>3816</v>
      </c>
      <c r="H3819" s="186">
        <f t="shared" ca="1" si="105"/>
        <v>3.0922513421030345E-2</v>
      </c>
    </row>
    <row r="3820" spans="7:8">
      <c r="G3820" s="171">
        <v>3817</v>
      </c>
      <c r="H3820" s="186">
        <f t="shared" ca="1" si="105"/>
        <v>-2.4339078435355353E-2</v>
      </c>
    </row>
    <row r="3821" spans="7:8">
      <c r="G3821" s="171">
        <v>3818</v>
      </c>
      <c r="H3821" s="186">
        <f t="shared" ca="1" si="105"/>
        <v>-3.5388142513587698E-2</v>
      </c>
    </row>
    <row r="3822" spans="7:8">
      <c r="G3822" s="171">
        <v>3819</v>
      </c>
      <c r="H3822" s="186">
        <f t="shared" ca="1" si="105"/>
        <v>-1.0408125521342416E-2</v>
      </c>
    </row>
    <row r="3823" spans="7:8">
      <c r="G3823" s="171">
        <v>3820</v>
      </c>
      <c r="H3823" s="186">
        <f t="shared" ca="1" si="105"/>
        <v>3.098889336281203E-2</v>
      </c>
    </row>
    <row r="3824" spans="7:8">
      <c r="G3824" s="171">
        <v>3821</v>
      </c>
      <c r="H3824" s="186">
        <f t="shared" ca="1" si="105"/>
        <v>-1.8842858970266531E-2</v>
      </c>
    </row>
    <row r="3825" spans="7:8">
      <c r="G3825" s="171">
        <v>3822</v>
      </c>
      <c r="H3825" s="186">
        <f t="shared" ca="1" si="105"/>
        <v>-2.6049796988507741E-2</v>
      </c>
    </row>
    <row r="3826" spans="7:8">
      <c r="G3826" s="171">
        <v>3823</v>
      </c>
      <c r="H3826" s="186">
        <f t="shared" ca="1" si="105"/>
        <v>-4.3172419008434349E-3</v>
      </c>
    </row>
    <row r="3827" spans="7:8">
      <c r="G3827" s="171">
        <v>3824</v>
      </c>
      <c r="H3827" s="186">
        <f t="shared" ca="1" si="105"/>
        <v>-2.2223582060898934E-2</v>
      </c>
    </row>
    <row r="3828" spans="7:8">
      <c r="G3828" s="171">
        <v>3825</v>
      </c>
      <c r="H3828" s="186">
        <f t="shared" ca="1" si="105"/>
        <v>-2.5204319256878463E-3</v>
      </c>
    </row>
    <row r="3829" spans="7:8">
      <c r="G3829" s="171">
        <v>3826</v>
      </c>
      <c r="H3829" s="186">
        <f t="shared" ca="1" si="105"/>
        <v>1.0876208804529077E-2</v>
      </c>
    </row>
    <row r="3830" spans="7:8">
      <c r="G3830" s="171">
        <v>3827</v>
      </c>
      <c r="H3830" s="186">
        <f t="shared" ca="1" si="105"/>
        <v>-1.0530888688143801E-2</v>
      </c>
    </row>
    <row r="3831" spans="7:8">
      <c r="G3831" s="171">
        <v>3828</v>
      </c>
      <c r="H3831" s="186">
        <f t="shared" ca="1" si="105"/>
        <v>1.6436477200688221E-2</v>
      </c>
    </row>
    <row r="3832" spans="7:8">
      <c r="G3832" s="171">
        <v>3829</v>
      </c>
      <c r="H3832" s="186">
        <f t="shared" ca="1" si="105"/>
        <v>9.4691406619425277E-3</v>
      </c>
    </row>
    <row r="3833" spans="7:8">
      <c r="G3833" s="171">
        <v>3830</v>
      </c>
      <c r="H3833" s="186">
        <f t="shared" ca="1" si="105"/>
        <v>1.1261314698336248E-2</v>
      </c>
    </row>
    <row r="3834" spans="7:8">
      <c r="G3834" s="171">
        <v>3831</v>
      </c>
      <c r="H3834" s="186">
        <f t="shared" ca="1" si="105"/>
        <v>-3.5587598862901349E-3</v>
      </c>
    </row>
    <row r="3835" spans="7:8">
      <c r="G3835" s="171">
        <v>3832</v>
      </c>
      <c r="H3835" s="186">
        <f t="shared" ca="1" si="105"/>
        <v>-1.0166268217158166E-2</v>
      </c>
    </row>
    <row r="3836" spans="7:8">
      <c r="G3836" s="171">
        <v>3833</v>
      </c>
      <c r="H3836" s="186">
        <f t="shared" ca="1" si="105"/>
        <v>2.4689483305064704E-2</v>
      </c>
    </row>
    <row r="3837" spans="7:8">
      <c r="G3837" s="171">
        <v>3834</v>
      </c>
      <c r="H3837" s="186">
        <f t="shared" ca="1" si="105"/>
        <v>5.0054551301732136E-4</v>
      </c>
    </row>
    <row r="3838" spans="7:8">
      <c r="G3838" s="171">
        <v>3835</v>
      </c>
      <c r="H3838" s="186">
        <f t="shared" ca="1" si="105"/>
        <v>3.4792677055013231E-2</v>
      </c>
    </row>
    <row r="3839" spans="7:8">
      <c r="G3839" s="171">
        <v>3836</v>
      </c>
      <c r="H3839" s="186">
        <f t="shared" ca="1" si="105"/>
        <v>1.3506255064216507E-2</v>
      </c>
    </row>
    <row r="3840" spans="7:8">
      <c r="G3840" s="171">
        <v>3837</v>
      </c>
      <c r="H3840" s="186">
        <f t="shared" ca="1" si="105"/>
        <v>-4.5894118853579968E-3</v>
      </c>
    </row>
    <row r="3841" spans="7:8">
      <c r="G3841" s="171">
        <v>3838</v>
      </c>
      <c r="H3841" s="186">
        <f t="shared" ca="1" si="105"/>
        <v>1.5973873795403415E-3</v>
      </c>
    </row>
    <row r="3842" spans="7:8">
      <c r="G3842" s="171">
        <v>3839</v>
      </c>
      <c r="H3842" s="186">
        <f t="shared" ca="1" si="105"/>
        <v>2.8001704424690972E-2</v>
      </c>
    </row>
    <row r="3843" spans="7:8">
      <c r="G3843" s="171">
        <v>3840</v>
      </c>
      <c r="H3843" s="186">
        <f t="shared" ca="1" si="105"/>
        <v>1.9166913630129356E-3</v>
      </c>
    </row>
    <row r="3844" spans="7:8">
      <c r="G3844" s="171">
        <v>3841</v>
      </c>
      <c r="H3844" s="186">
        <f t="shared" ca="1" si="105"/>
        <v>-3.2344779476416682E-3</v>
      </c>
    </row>
    <row r="3845" spans="7:8">
      <c r="G3845" s="171">
        <v>3842</v>
      </c>
      <c r="H3845" s="186">
        <f t="shared" ref="H3845:H3908" ca="1" si="106">_xlfn.NORM.INV(RAND(),N$6,N$7)</f>
        <v>3.6728192142787823E-2</v>
      </c>
    </row>
    <row r="3846" spans="7:8">
      <c r="G3846" s="171">
        <v>3843</v>
      </c>
      <c r="H3846" s="186">
        <f t="shared" ca="1" si="106"/>
        <v>1.9072806728201115E-2</v>
      </c>
    </row>
    <row r="3847" spans="7:8">
      <c r="G3847" s="171">
        <v>3844</v>
      </c>
      <c r="H3847" s="186">
        <f t="shared" ca="1" si="106"/>
        <v>-1.719371191285787E-2</v>
      </c>
    </row>
    <row r="3848" spans="7:8">
      <c r="G3848" s="171">
        <v>3845</v>
      </c>
      <c r="H3848" s="186">
        <f t="shared" ca="1" si="106"/>
        <v>-1.4585260806073395E-2</v>
      </c>
    </row>
    <row r="3849" spans="7:8">
      <c r="G3849" s="171">
        <v>3846</v>
      </c>
      <c r="H3849" s="186">
        <f t="shared" ca="1" si="106"/>
        <v>7.1145515529015208E-3</v>
      </c>
    </row>
    <row r="3850" spans="7:8">
      <c r="G3850" s="171">
        <v>3847</v>
      </c>
      <c r="H3850" s="186">
        <f t="shared" ca="1" si="106"/>
        <v>-1.9520157967499287E-3</v>
      </c>
    </row>
    <row r="3851" spans="7:8">
      <c r="G3851" s="171">
        <v>3848</v>
      </c>
      <c r="H3851" s="186">
        <f t="shared" ca="1" si="106"/>
        <v>-2.5773383823548674E-2</v>
      </c>
    </row>
    <row r="3852" spans="7:8">
      <c r="G3852" s="171">
        <v>3849</v>
      </c>
      <c r="H3852" s="186">
        <f t="shared" ca="1" si="106"/>
        <v>-1.922792665127382E-3</v>
      </c>
    </row>
    <row r="3853" spans="7:8">
      <c r="G3853" s="171">
        <v>3850</v>
      </c>
      <c r="H3853" s="186">
        <f t="shared" ca="1" si="106"/>
        <v>-1.6065526426546472E-2</v>
      </c>
    </row>
    <row r="3854" spans="7:8">
      <c r="G3854" s="171">
        <v>3851</v>
      </c>
      <c r="H3854" s="186">
        <f t="shared" ca="1" si="106"/>
        <v>-1.6957647992609085E-2</v>
      </c>
    </row>
    <row r="3855" spans="7:8">
      <c r="G3855" s="171">
        <v>3852</v>
      </c>
      <c r="H3855" s="186">
        <f t="shared" ca="1" si="106"/>
        <v>-1.7118254845755479E-2</v>
      </c>
    </row>
    <row r="3856" spans="7:8">
      <c r="G3856" s="171">
        <v>3853</v>
      </c>
      <c r="H3856" s="186">
        <f t="shared" ca="1" si="106"/>
        <v>9.7469792218537361E-3</v>
      </c>
    </row>
    <row r="3857" spans="7:8">
      <c r="G3857" s="171">
        <v>3854</v>
      </c>
      <c r="H3857" s="186">
        <f t="shared" ca="1" si="106"/>
        <v>-1.3375725273199265E-2</v>
      </c>
    </row>
    <row r="3858" spans="7:8">
      <c r="G3858" s="171">
        <v>3855</v>
      </c>
      <c r="H3858" s="186">
        <f t="shared" ca="1" si="106"/>
        <v>-3.6853662933699575E-4</v>
      </c>
    </row>
    <row r="3859" spans="7:8">
      <c r="G3859" s="171">
        <v>3856</v>
      </c>
      <c r="H3859" s="186">
        <f t="shared" ca="1" si="106"/>
        <v>-3.1684263075185603E-3</v>
      </c>
    </row>
    <row r="3860" spans="7:8">
      <c r="G3860" s="171">
        <v>3857</v>
      </c>
      <c r="H3860" s="186">
        <f t="shared" ca="1" si="106"/>
        <v>-1.0886253412204796E-4</v>
      </c>
    </row>
    <row r="3861" spans="7:8">
      <c r="G3861" s="171">
        <v>3858</v>
      </c>
      <c r="H3861" s="186">
        <f t="shared" ca="1" si="106"/>
        <v>7.1861978824313937E-4</v>
      </c>
    </row>
    <row r="3862" spans="7:8">
      <c r="G3862" s="171">
        <v>3859</v>
      </c>
      <c r="H3862" s="186">
        <f t="shared" ca="1" si="106"/>
        <v>-1.3988244030799582E-2</v>
      </c>
    </row>
    <row r="3863" spans="7:8">
      <c r="G3863" s="171">
        <v>3860</v>
      </c>
      <c r="H3863" s="186">
        <f t="shared" ca="1" si="106"/>
        <v>7.3313361235391936E-3</v>
      </c>
    </row>
    <row r="3864" spans="7:8">
      <c r="G3864" s="171">
        <v>3861</v>
      </c>
      <c r="H3864" s="186">
        <f t="shared" ca="1" si="106"/>
        <v>7.1413177561631229E-3</v>
      </c>
    </row>
    <row r="3865" spans="7:8">
      <c r="G3865" s="171">
        <v>3862</v>
      </c>
      <c r="H3865" s="186">
        <f t="shared" ca="1" si="106"/>
        <v>8.6785134354702247E-3</v>
      </c>
    </row>
    <row r="3866" spans="7:8">
      <c r="G3866" s="171">
        <v>3863</v>
      </c>
      <c r="H3866" s="186">
        <f t="shared" ca="1" si="106"/>
        <v>-1.5685546808454978E-3</v>
      </c>
    </row>
    <row r="3867" spans="7:8">
      <c r="G3867" s="171">
        <v>3864</v>
      </c>
      <c r="H3867" s="186">
        <f t="shared" ca="1" si="106"/>
        <v>3.5460303636954322E-4</v>
      </c>
    </row>
    <row r="3868" spans="7:8">
      <c r="G3868" s="171">
        <v>3865</v>
      </c>
      <c r="H3868" s="186">
        <f t="shared" ca="1" si="106"/>
        <v>4.1449175923831058E-3</v>
      </c>
    </row>
    <row r="3869" spans="7:8">
      <c r="G3869" s="171">
        <v>3866</v>
      </c>
      <c r="H3869" s="186">
        <f t="shared" ca="1" si="106"/>
        <v>-3.4587348528211442E-3</v>
      </c>
    </row>
    <row r="3870" spans="7:8">
      <c r="G3870" s="171">
        <v>3867</v>
      </c>
      <c r="H3870" s="186">
        <f t="shared" ca="1" si="106"/>
        <v>1.7052167991845515E-2</v>
      </c>
    </row>
    <row r="3871" spans="7:8">
      <c r="G3871" s="171">
        <v>3868</v>
      </c>
      <c r="H3871" s="186">
        <f t="shared" ca="1" si="106"/>
        <v>6.8667516008378039E-3</v>
      </c>
    </row>
    <row r="3872" spans="7:8">
      <c r="G3872" s="171">
        <v>3869</v>
      </c>
      <c r="H3872" s="186">
        <f t="shared" ca="1" si="106"/>
        <v>4.0007298201583325E-3</v>
      </c>
    </row>
    <row r="3873" spans="7:8">
      <c r="G3873" s="171">
        <v>3870</v>
      </c>
      <c r="H3873" s="186">
        <f t="shared" ca="1" si="106"/>
        <v>-5.6566317129981374E-4</v>
      </c>
    </row>
    <row r="3874" spans="7:8">
      <c r="G3874" s="171">
        <v>3871</v>
      </c>
      <c r="H3874" s="186">
        <f t="shared" ca="1" si="106"/>
        <v>-5.6602306458657372E-3</v>
      </c>
    </row>
    <row r="3875" spans="7:8">
      <c r="G3875" s="171">
        <v>3872</v>
      </c>
      <c r="H3875" s="186">
        <f t="shared" ca="1" si="106"/>
        <v>7.0111135905899478E-3</v>
      </c>
    </row>
    <row r="3876" spans="7:8">
      <c r="G3876" s="171">
        <v>3873</v>
      </c>
      <c r="H3876" s="186">
        <f t="shared" ca="1" si="106"/>
        <v>3.4448677468750465E-3</v>
      </c>
    </row>
    <row r="3877" spans="7:8">
      <c r="G3877" s="171">
        <v>3874</v>
      </c>
      <c r="H3877" s="186">
        <f t="shared" ca="1" si="106"/>
        <v>-1.2367252074458228E-3</v>
      </c>
    </row>
    <row r="3878" spans="7:8">
      <c r="G3878" s="171">
        <v>3875</v>
      </c>
      <c r="H3878" s="186">
        <f t="shared" ca="1" si="106"/>
        <v>2.1499825326048463E-2</v>
      </c>
    </row>
    <row r="3879" spans="7:8">
      <c r="G3879" s="171">
        <v>3876</v>
      </c>
      <c r="H3879" s="186">
        <f t="shared" ca="1" si="106"/>
        <v>6.1682123766547041E-3</v>
      </c>
    </row>
    <row r="3880" spans="7:8">
      <c r="G3880" s="171">
        <v>3877</v>
      </c>
      <c r="H3880" s="186">
        <f t="shared" ca="1" si="106"/>
        <v>1.1796680021744358E-4</v>
      </c>
    </row>
    <row r="3881" spans="7:8">
      <c r="G3881" s="171">
        <v>3878</v>
      </c>
      <c r="H3881" s="186">
        <f t="shared" ca="1" si="106"/>
        <v>5.7429945965259436E-3</v>
      </c>
    </row>
    <row r="3882" spans="7:8">
      <c r="G3882" s="171">
        <v>3879</v>
      </c>
      <c r="H3882" s="186">
        <f t="shared" ca="1" si="106"/>
        <v>-2.0809216363965699E-3</v>
      </c>
    </row>
    <row r="3883" spans="7:8">
      <c r="G3883" s="171">
        <v>3880</v>
      </c>
      <c r="H3883" s="186">
        <f t="shared" ca="1" si="106"/>
        <v>4.3603568497673148E-3</v>
      </c>
    </row>
    <row r="3884" spans="7:8">
      <c r="G3884" s="171">
        <v>3881</v>
      </c>
      <c r="H3884" s="186">
        <f t="shared" ca="1" si="106"/>
        <v>-1.8615662032109865E-2</v>
      </c>
    </row>
    <row r="3885" spans="7:8">
      <c r="G3885" s="171">
        <v>3882</v>
      </c>
      <c r="H3885" s="186">
        <f t="shared" ca="1" si="106"/>
        <v>-9.8391882964557632E-3</v>
      </c>
    </row>
    <row r="3886" spans="7:8">
      <c r="G3886" s="171">
        <v>3883</v>
      </c>
      <c r="H3886" s="186">
        <f t="shared" ca="1" si="106"/>
        <v>-2.2384799293620299E-3</v>
      </c>
    </row>
    <row r="3887" spans="7:8">
      <c r="G3887" s="171">
        <v>3884</v>
      </c>
      <c r="H3887" s="186">
        <f t="shared" ca="1" si="106"/>
        <v>-8.9634112010093907E-3</v>
      </c>
    </row>
    <row r="3888" spans="7:8">
      <c r="G3888" s="171">
        <v>3885</v>
      </c>
      <c r="H3888" s="186">
        <f t="shared" ca="1" si="106"/>
        <v>1.2627551083852506E-2</v>
      </c>
    </row>
    <row r="3889" spans="7:8">
      <c r="G3889" s="171">
        <v>3886</v>
      </c>
      <c r="H3889" s="186">
        <f t="shared" ca="1" si="106"/>
        <v>-2.2523549341777735E-2</v>
      </c>
    </row>
    <row r="3890" spans="7:8">
      <c r="G3890" s="171">
        <v>3887</v>
      </c>
      <c r="H3890" s="186">
        <f t="shared" ca="1" si="106"/>
        <v>-2.1229013898636725E-3</v>
      </c>
    </row>
    <row r="3891" spans="7:8">
      <c r="G3891" s="171">
        <v>3888</v>
      </c>
      <c r="H3891" s="186">
        <f t="shared" ca="1" si="106"/>
        <v>-6.8483461036764207E-3</v>
      </c>
    </row>
    <row r="3892" spans="7:8">
      <c r="G3892" s="171">
        <v>3889</v>
      </c>
      <c r="H3892" s="186">
        <f t="shared" ca="1" si="106"/>
        <v>-1.0316484184457559E-3</v>
      </c>
    </row>
    <row r="3893" spans="7:8">
      <c r="G3893" s="171">
        <v>3890</v>
      </c>
      <c r="H3893" s="186">
        <f t="shared" ca="1" si="106"/>
        <v>-2.9924217482337454E-2</v>
      </c>
    </row>
    <row r="3894" spans="7:8">
      <c r="G3894" s="171">
        <v>3891</v>
      </c>
      <c r="H3894" s="186">
        <f t="shared" ca="1" si="106"/>
        <v>-1.468993197911052E-2</v>
      </c>
    </row>
    <row r="3895" spans="7:8">
      <c r="G3895" s="171">
        <v>3892</v>
      </c>
      <c r="H3895" s="186">
        <f t="shared" ca="1" si="106"/>
        <v>6.1097130985262541E-3</v>
      </c>
    </row>
    <row r="3896" spans="7:8">
      <c r="G3896" s="171">
        <v>3893</v>
      </c>
      <c r="H3896" s="186">
        <f t="shared" ca="1" si="106"/>
        <v>-8.6395899393525485E-3</v>
      </c>
    </row>
    <row r="3897" spans="7:8">
      <c r="G3897" s="171">
        <v>3894</v>
      </c>
      <c r="H3897" s="186">
        <f t="shared" ca="1" si="106"/>
        <v>1.4531263380691479E-2</v>
      </c>
    </row>
    <row r="3898" spans="7:8">
      <c r="G3898" s="171">
        <v>3895</v>
      </c>
      <c r="H3898" s="186">
        <f t="shared" ca="1" si="106"/>
        <v>-7.1392189409595222E-3</v>
      </c>
    </row>
    <row r="3899" spans="7:8">
      <c r="G3899" s="171">
        <v>3896</v>
      </c>
      <c r="H3899" s="186">
        <f t="shared" ca="1" si="106"/>
        <v>-1.2626397505722326E-2</v>
      </c>
    </row>
    <row r="3900" spans="7:8">
      <c r="G3900" s="171">
        <v>3897</v>
      </c>
      <c r="H3900" s="186">
        <f t="shared" ca="1" si="106"/>
        <v>1.8223408989900613E-2</v>
      </c>
    </row>
    <row r="3901" spans="7:8">
      <c r="G3901" s="171">
        <v>3898</v>
      </c>
      <c r="H3901" s="186">
        <f t="shared" ca="1" si="106"/>
        <v>3.8125431144486313E-2</v>
      </c>
    </row>
    <row r="3902" spans="7:8">
      <c r="G3902" s="171">
        <v>3899</v>
      </c>
      <c r="H3902" s="186">
        <f t="shared" ca="1" si="106"/>
        <v>1.4705114132989675E-2</v>
      </c>
    </row>
    <row r="3903" spans="7:8">
      <c r="G3903" s="171">
        <v>3900</v>
      </c>
      <c r="H3903" s="186">
        <f t="shared" ca="1" si="106"/>
        <v>-1.858497239981648E-2</v>
      </c>
    </row>
    <row r="3904" spans="7:8">
      <c r="G3904" s="171">
        <v>3901</v>
      </c>
      <c r="H3904" s="186">
        <f t="shared" ca="1" si="106"/>
        <v>2.537999490318826E-2</v>
      </c>
    </row>
    <row r="3905" spans="7:8">
      <c r="G3905" s="171">
        <v>3902</v>
      </c>
      <c r="H3905" s="186">
        <f t="shared" ca="1" si="106"/>
        <v>-7.2154155037543093E-3</v>
      </c>
    </row>
    <row r="3906" spans="7:8">
      <c r="G3906" s="171">
        <v>3903</v>
      </c>
      <c r="H3906" s="186">
        <f t="shared" ca="1" si="106"/>
        <v>-1.681243893547443E-2</v>
      </c>
    </row>
    <row r="3907" spans="7:8">
      <c r="G3907" s="171">
        <v>3904</v>
      </c>
      <c r="H3907" s="186">
        <f t="shared" ca="1" si="106"/>
        <v>2.3181577626888536E-2</v>
      </c>
    </row>
    <row r="3908" spans="7:8">
      <c r="G3908" s="171">
        <v>3905</v>
      </c>
      <c r="H3908" s="186">
        <f t="shared" ca="1" si="106"/>
        <v>5.7671424360691758E-3</v>
      </c>
    </row>
    <row r="3909" spans="7:8">
      <c r="G3909" s="171">
        <v>3906</v>
      </c>
      <c r="H3909" s="186">
        <f t="shared" ref="H3909:H3972" ca="1" si="107">_xlfn.NORM.INV(RAND(),N$6,N$7)</f>
        <v>-1.9953869861145654E-2</v>
      </c>
    </row>
    <row r="3910" spans="7:8">
      <c r="G3910" s="171">
        <v>3907</v>
      </c>
      <c r="H3910" s="186">
        <f t="shared" ca="1" si="107"/>
        <v>6.4448065237691183E-3</v>
      </c>
    </row>
    <row r="3911" spans="7:8">
      <c r="G3911" s="171">
        <v>3908</v>
      </c>
      <c r="H3911" s="186">
        <f t="shared" ca="1" si="107"/>
        <v>-6.8088286028870886E-3</v>
      </c>
    </row>
    <row r="3912" spans="7:8">
      <c r="G3912" s="171">
        <v>3909</v>
      </c>
      <c r="H3912" s="186">
        <f t="shared" ca="1" si="107"/>
        <v>1.0350450453929842E-2</v>
      </c>
    </row>
    <row r="3913" spans="7:8">
      <c r="G3913" s="171">
        <v>3910</v>
      </c>
      <c r="H3913" s="186">
        <f t="shared" ca="1" si="107"/>
        <v>2.6514900443657074E-2</v>
      </c>
    </row>
    <row r="3914" spans="7:8">
      <c r="G3914" s="171">
        <v>3911</v>
      </c>
      <c r="H3914" s="186">
        <f t="shared" ca="1" si="107"/>
        <v>-1.5362192432925456E-2</v>
      </c>
    </row>
    <row r="3915" spans="7:8">
      <c r="G3915" s="171">
        <v>3912</v>
      </c>
      <c r="H3915" s="186">
        <f t="shared" ca="1" si="107"/>
        <v>9.8614271863255252E-3</v>
      </c>
    </row>
    <row r="3916" spans="7:8">
      <c r="G3916" s="171">
        <v>3913</v>
      </c>
      <c r="H3916" s="186">
        <f t="shared" ca="1" si="107"/>
        <v>3.2044596462488646E-2</v>
      </c>
    </row>
    <row r="3917" spans="7:8">
      <c r="G3917" s="171">
        <v>3914</v>
      </c>
      <c r="H3917" s="186">
        <f t="shared" ca="1" si="107"/>
        <v>-7.6829484247608664E-3</v>
      </c>
    </row>
    <row r="3918" spans="7:8">
      <c r="G3918" s="171">
        <v>3915</v>
      </c>
      <c r="H3918" s="186">
        <f t="shared" ca="1" si="107"/>
        <v>5.6380403615123743E-3</v>
      </c>
    </row>
    <row r="3919" spans="7:8">
      <c r="G3919" s="171">
        <v>3916</v>
      </c>
      <c r="H3919" s="186">
        <f t="shared" ca="1" si="107"/>
        <v>-1.9757457838589031E-2</v>
      </c>
    </row>
    <row r="3920" spans="7:8">
      <c r="G3920" s="171">
        <v>3917</v>
      </c>
      <c r="H3920" s="186">
        <f t="shared" ca="1" si="107"/>
        <v>1.2258717594343699E-3</v>
      </c>
    </row>
    <row r="3921" spans="7:8">
      <c r="G3921" s="171">
        <v>3918</v>
      </c>
      <c r="H3921" s="186">
        <f t="shared" ca="1" si="107"/>
        <v>1.8948652752313652E-2</v>
      </c>
    </row>
    <row r="3922" spans="7:8">
      <c r="G3922" s="171">
        <v>3919</v>
      </c>
      <c r="H3922" s="186">
        <f t="shared" ca="1" si="107"/>
        <v>-1.1427339783919278E-2</v>
      </c>
    </row>
    <row r="3923" spans="7:8">
      <c r="G3923" s="171">
        <v>3920</v>
      </c>
      <c r="H3923" s="186">
        <f t="shared" ca="1" si="107"/>
        <v>2.1956763962773438E-2</v>
      </c>
    </row>
    <row r="3924" spans="7:8">
      <c r="G3924" s="171">
        <v>3921</v>
      </c>
      <c r="H3924" s="186">
        <f t="shared" ca="1" si="107"/>
        <v>-1.2586838350626543E-2</v>
      </c>
    </row>
    <row r="3925" spans="7:8">
      <c r="G3925" s="171">
        <v>3922</v>
      </c>
      <c r="H3925" s="186">
        <f t="shared" ca="1" si="107"/>
        <v>-1.0284805409567846E-3</v>
      </c>
    </row>
    <row r="3926" spans="7:8">
      <c r="G3926" s="171">
        <v>3923</v>
      </c>
      <c r="H3926" s="186">
        <f t="shared" ca="1" si="107"/>
        <v>4.8381639812349764E-3</v>
      </c>
    </row>
    <row r="3927" spans="7:8">
      <c r="G3927" s="171">
        <v>3924</v>
      </c>
      <c r="H3927" s="186">
        <f t="shared" ca="1" si="107"/>
        <v>-4.0202490975109299E-3</v>
      </c>
    </row>
    <row r="3928" spans="7:8">
      <c r="G3928" s="171">
        <v>3925</v>
      </c>
      <c r="H3928" s="186">
        <f t="shared" ca="1" si="107"/>
        <v>-2.4332315662789865E-2</v>
      </c>
    </row>
    <row r="3929" spans="7:8">
      <c r="G3929" s="171">
        <v>3926</v>
      </c>
      <c r="H3929" s="186">
        <f t="shared" ca="1" si="107"/>
        <v>-3.7847731682740256E-2</v>
      </c>
    </row>
    <row r="3930" spans="7:8">
      <c r="G3930" s="171">
        <v>3927</v>
      </c>
      <c r="H3930" s="186">
        <f t="shared" ca="1" si="107"/>
        <v>-3.254623354066261E-3</v>
      </c>
    </row>
    <row r="3931" spans="7:8">
      <c r="G3931" s="171">
        <v>3928</v>
      </c>
      <c r="H3931" s="186">
        <f t="shared" ca="1" si="107"/>
        <v>-6.9515061717094206E-3</v>
      </c>
    </row>
    <row r="3932" spans="7:8">
      <c r="G3932" s="171">
        <v>3929</v>
      </c>
      <c r="H3932" s="186">
        <f t="shared" ca="1" si="107"/>
        <v>-2.9533670852714667E-3</v>
      </c>
    </row>
    <row r="3933" spans="7:8">
      <c r="G3933" s="171">
        <v>3930</v>
      </c>
      <c r="H3933" s="186">
        <f t="shared" ca="1" si="107"/>
        <v>-2.2894305558441349E-2</v>
      </c>
    </row>
    <row r="3934" spans="7:8">
      <c r="G3934" s="171">
        <v>3931</v>
      </c>
      <c r="H3934" s="186">
        <f t="shared" ca="1" si="107"/>
        <v>7.0997263955331086E-3</v>
      </c>
    </row>
    <row r="3935" spans="7:8">
      <c r="G3935" s="171">
        <v>3932</v>
      </c>
      <c r="H3935" s="186">
        <f t="shared" ca="1" si="107"/>
        <v>1.7626844215141716E-2</v>
      </c>
    </row>
    <row r="3936" spans="7:8">
      <c r="G3936" s="171">
        <v>3933</v>
      </c>
      <c r="H3936" s="186">
        <f t="shared" ca="1" si="107"/>
        <v>-1.4409330175654919E-2</v>
      </c>
    </row>
    <row r="3937" spans="7:8">
      <c r="G3937" s="171">
        <v>3934</v>
      </c>
      <c r="H3937" s="186">
        <f t="shared" ca="1" si="107"/>
        <v>3.5578490128608778E-3</v>
      </c>
    </row>
    <row r="3938" spans="7:8">
      <c r="G3938" s="171">
        <v>3935</v>
      </c>
      <c r="H3938" s="186">
        <f t="shared" ca="1" si="107"/>
        <v>1.2997130275365833E-3</v>
      </c>
    </row>
    <row r="3939" spans="7:8">
      <c r="G3939" s="171">
        <v>3936</v>
      </c>
      <c r="H3939" s="186">
        <f t="shared" ca="1" si="107"/>
        <v>1.5041564095591944E-2</v>
      </c>
    </row>
    <row r="3940" spans="7:8">
      <c r="G3940" s="171">
        <v>3937</v>
      </c>
      <c r="H3940" s="186">
        <f t="shared" ca="1" si="107"/>
        <v>2.2835096296446505E-2</v>
      </c>
    </row>
    <row r="3941" spans="7:8">
      <c r="G3941" s="171">
        <v>3938</v>
      </c>
      <c r="H3941" s="186">
        <f t="shared" ca="1" si="107"/>
        <v>-4.6148704823765726E-4</v>
      </c>
    </row>
    <row r="3942" spans="7:8">
      <c r="G3942" s="171">
        <v>3939</v>
      </c>
      <c r="H3942" s="186">
        <f t="shared" ca="1" si="107"/>
        <v>6.7905835074578529E-3</v>
      </c>
    </row>
    <row r="3943" spans="7:8">
      <c r="G3943" s="171">
        <v>3940</v>
      </c>
      <c r="H3943" s="186">
        <f t="shared" ca="1" si="107"/>
        <v>-2.4718644217385823E-3</v>
      </c>
    </row>
    <row r="3944" spans="7:8">
      <c r="G3944" s="171">
        <v>3941</v>
      </c>
      <c r="H3944" s="186">
        <f t="shared" ca="1" si="107"/>
        <v>-1.070209370925021E-2</v>
      </c>
    </row>
    <row r="3945" spans="7:8">
      <c r="G3945" s="171">
        <v>3942</v>
      </c>
      <c r="H3945" s="186">
        <f t="shared" ca="1" si="107"/>
        <v>7.0289526920884514E-3</v>
      </c>
    </row>
    <row r="3946" spans="7:8">
      <c r="G3946" s="171">
        <v>3943</v>
      </c>
      <c r="H3946" s="186">
        <f t="shared" ca="1" si="107"/>
        <v>-7.4027683127539737E-4</v>
      </c>
    </row>
    <row r="3947" spans="7:8">
      <c r="G3947" s="171">
        <v>3944</v>
      </c>
      <c r="H3947" s="186">
        <f t="shared" ca="1" si="107"/>
        <v>1.8262158540893175E-2</v>
      </c>
    </row>
    <row r="3948" spans="7:8">
      <c r="G3948" s="171">
        <v>3945</v>
      </c>
      <c r="H3948" s="186">
        <f t="shared" ca="1" si="107"/>
        <v>-2.8067536853686688E-2</v>
      </c>
    </row>
    <row r="3949" spans="7:8">
      <c r="G3949" s="171">
        <v>3946</v>
      </c>
      <c r="H3949" s="186">
        <f t="shared" ca="1" si="107"/>
        <v>-4.8045374587776203E-3</v>
      </c>
    </row>
    <row r="3950" spans="7:8">
      <c r="G3950" s="171">
        <v>3947</v>
      </c>
      <c r="H3950" s="186">
        <f t="shared" ca="1" si="107"/>
        <v>2.5987068999195798E-2</v>
      </c>
    </row>
    <row r="3951" spans="7:8">
      <c r="G3951" s="171">
        <v>3948</v>
      </c>
      <c r="H3951" s="186">
        <f t="shared" ca="1" si="107"/>
        <v>1.2142065130321114E-2</v>
      </c>
    </row>
    <row r="3952" spans="7:8">
      <c r="G3952" s="171">
        <v>3949</v>
      </c>
      <c r="H3952" s="186">
        <f t="shared" ca="1" si="107"/>
        <v>-9.6957437637436982E-3</v>
      </c>
    </row>
    <row r="3953" spans="7:8">
      <c r="G3953" s="171">
        <v>3950</v>
      </c>
      <c r="H3953" s="186">
        <f t="shared" ca="1" si="107"/>
        <v>-1.7738921906684187E-2</v>
      </c>
    </row>
    <row r="3954" spans="7:8">
      <c r="G3954" s="171">
        <v>3951</v>
      </c>
      <c r="H3954" s="186">
        <f t="shared" ca="1" si="107"/>
        <v>-2.0536121320272559E-2</v>
      </c>
    </row>
    <row r="3955" spans="7:8">
      <c r="G3955" s="171">
        <v>3952</v>
      </c>
      <c r="H3955" s="186">
        <f t="shared" ca="1" si="107"/>
        <v>-3.1036718931367217E-2</v>
      </c>
    </row>
    <row r="3956" spans="7:8">
      <c r="G3956" s="171">
        <v>3953</v>
      </c>
      <c r="H3956" s="186">
        <f t="shared" ca="1" si="107"/>
        <v>1.0856816636302892E-2</v>
      </c>
    </row>
    <row r="3957" spans="7:8">
      <c r="G3957" s="171">
        <v>3954</v>
      </c>
      <c r="H3957" s="186">
        <f t="shared" ca="1" si="107"/>
        <v>2.4947146359698229E-2</v>
      </c>
    </row>
    <row r="3958" spans="7:8">
      <c r="G3958" s="171">
        <v>3955</v>
      </c>
      <c r="H3958" s="186">
        <f t="shared" ca="1" si="107"/>
        <v>-2.5749457281864164E-2</v>
      </c>
    </row>
    <row r="3959" spans="7:8">
      <c r="G3959" s="171">
        <v>3956</v>
      </c>
      <c r="H3959" s="186">
        <f t="shared" ca="1" si="107"/>
        <v>9.7497342243791744E-3</v>
      </c>
    </row>
    <row r="3960" spans="7:8">
      <c r="G3960" s="171">
        <v>3957</v>
      </c>
      <c r="H3960" s="186">
        <f t="shared" ca="1" si="107"/>
        <v>-1.2071827912518296E-2</v>
      </c>
    </row>
    <row r="3961" spans="7:8">
      <c r="G3961" s="171">
        <v>3958</v>
      </c>
      <c r="H3961" s="186">
        <f t="shared" ca="1" si="107"/>
        <v>2.0010516578611848E-2</v>
      </c>
    </row>
    <row r="3962" spans="7:8">
      <c r="G3962" s="171">
        <v>3959</v>
      </c>
      <c r="H3962" s="186">
        <f t="shared" ca="1" si="107"/>
        <v>-4.2176720653495205E-3</v>
      </c>
    </row>
    <row r="3963" spans="7:8">
      <c r="G3963" s="171">
        <v>3960</v>
      </c>
      <c r="H3963" s="186">
        <f t="shared" ca="1" si="107"/>
        <v>5.3884224148436025E-3</v>
      </c>
    </row>
    <row r="3964" spans="7:8">
      <c r="G3964" s="171">
        <v>3961</v>
      </c>
      <c r="H3964" s="186">
        <f t="shared" ca="1" si="107"/>
        <v>1.1534094884810693E-4</v>
      </c>
    </row>
    <row r="3965" spans="7:8">
      <c r="G3965" s="171">
        <v>3962</v>
      </c>
      <c r="H3965" s="186">
        <f t="shared" ca="1" si="107"/>
        <v>-9.5192199242437499E-3</v>
      </c>
    </row>
    <row r="3966" spans="7:8">
      <c r="G3966" s="171">
        <v>3963</v>
      </c>
      <c r="H3966" s="186">
        <f t="shared" ca="1" si="107"/>
        <v>2.1681981320988038E-3</v>
      </c>
    </row>
    <row r="3967" spans="7:8">
      <c r="G3967" s="171">
        <v>3964</v>
      </c>
      <c r="H3967" s="186">
        <f t="shared" ca="1" si="107"/>
        <v>-1.598044803888849E-3</v>
      </c>
    </row>
    <row r="3968" spans="7:8">
      <c r="G3968" s="171">
        <v>3965</v>
      </c>
      <c r="H3968" s="186">
        <f t="shared" ca="1" si="107"/>
        <v>-3.5552610952529248E-2</v>
      </c>
    </row>
    <row r="3969" spans="7:8">
      <c r="G3969" s="171">
        <v>3966</v>
      </c>
      <c r="H3969" s="186">
        <f t="shared" ca="1" si="107"/>
        <v>9.2927146653647066E-3</v>
      </c>
    </row>
    <row r="3970" spans="7:8">
      <c r="G3970" s="171">
        <v>3967</v>
      </c>
      <c r="H3970" s="186">
        <f t="shared" ca="1" si="107"/>
        <v>-2.0144106678372371E-2</v>
      </c>
    </row>
    <row r="3971" spans="7:8">
      <c r="G3971" s="171">
        <v>3968</v>
      </c>
      <c r="H3971" s="186">
        <f t="shared" ca="1" si="107"/>
        <v>2.3854844176397511E-3</v>
      </c>
    </row>
    <row r="3972" spans="7:8">
      <c r="G3972" s="171">
        <v>3969</v>
      </c>
      <c r="H3972" s="186">
        <f t="shared" ca="1" si="107"/>
        <v>1.4180283481970944E-2</v>
      </c>
    </row>
    <row r="3973" spans="7:8">
      <c r="G3973" s="171">
        <v>3970</v>
      </c>
      <c r="H3973" s="186">
        <f t="shared" ref="H3973:H4036" ca="1" si="108">_xlfn.NORM.INV(RAND(),N$6,N$7)</f>
        <v>-2.255168760623056E-2</v>
      </c>
    </row>
    <row r="3974" spans="7:8">
      <c r="G3974" s="171">
        <v>3971</v>
      </c>
      <c r="H3974" s="186">
        <f t="shared" ca="1" si="108"/>
        <v>7.6653637257165881E-3</v>
      </c>
    </row>
    <row r="3975" spans="7:8">
      <c r="G3975" s="171">
        <v>3972</v>
      </c>
      <c r="H3975" s="186">
        <f t="shared" ca="1" si="108"/>
        <v>3.602886185267859E-2</v>
      </c>
    </row>
    <row r="3976" spans="7:8">
      <c r="G3976" s="171">
        <v>3973</v>
      </c>
      <c r="H3976" s="186">
        <f t="shared" ca="1" si="108"/>
        <v>3.4578703636072958E-3</v>
      </c>
    </row>
    <row r="3977" spans="7:8">
      <c r="G3977" s="171">
        <v>3974</v>
      </c>
      <c r="H3977" s="186">
        <f t="shared" ca="1" si="108"/>
        <v>1.7460279879536252E-2</v>
      </c>
    </row>
    <row r="3978" spans="7:8">
      <c r="G3978" s="171">
        <v>3975</v>
      </c>
      <c r="H3978" s="186">
        <f t="shared" ca="1" si="108"/>
        <v>-3.2215583288425931E-3</v>
      </c>
    </row>
    <row r="3979" spans="7:8">
      <c r="G3979" s="171">
        <v>3976</v>
      </c>
      <c r="H3979" s="186">
        <f t="shared" ca="1" si="108"/>
        <v>6.9611391079298091E-3</v>
      </c>
    </row>
    <row r="3980" spans="7:8">
      <c r="G3980" s="171">
        <v>3977</v>
      </c>
      <c r="H3980" s="186">
        <f t="shared" ca="1" si="108"/>
        <v>-1.768507468971427E-2</v>
      </c>
    </row>
    <row r="3981" spans="7:8">
      <c r="G3981" s="171">
        <v>3978</v>
      </c>
      <c r="H3981" s="186">
        <f t="shared" ca="1" si="108"/>
        <v>3.3199164295293002E-3</v>
      </c>
    </row>
    <row r="3982" spans="7:8">
      <c r="G3982" s="171">
        <v>3979</v>
      </c>
      <c r="H3982" s="186">
        <f t="shared" ca="1" si="108"/>
        <v>-2.5460604767307132E-2</v>
      </c>
    </row>
    <row r="3983" spans="7:8">
      <c r="G3983" s="171">
        <v>3980</v>
      </c>
      <c r="H3983" s="186">
        <f t="shared" ca="1" si="108"/>
        <v>2.8487627481563058E-2</v>
      </c>
    </row>
    <row r="3984" spans="7:8">
      <c r="G3984" s="171">
        <v>3981</v>
      </c>
      <c r="H3984" s="186">
        <f t="shared" ca="1" si="108"/>
        <v>2.7729743438158019E-3</v>
      </c>
    </row>
    <row r="3985" spans="7:8">
      <c r="G3985" s="171">
        <v>3982</v>
      </c>
      <c r="H3985" s="186">
        <f t="shared" ca="1" si="108"/>
        <v>-2.1441475803192698E-2</v>
      </c>
    </row>
    <row r="3986" spans="7:8">
      <c r="G3986" s="171">
        <v>3983</v>
      </c>
      <c r="H3986" s="186">
        <f t="shared" ca="1" si="108"/>
        <v>-2.1781458264662954E-3</v>
      </c>
    </row>
    <row r="3987" spans="7:8">
      <c r="G3987" s="171">
        <v>3984</v>
      </c>
      <c r="H3987" s="186">
        <f t="shared" ca="1" si="108"/>
        <v>1.6035418225019732E-3</v>
      </c>
    </row>
    <row r="3988" spans="7:8">
      <c r="G3988" s="171">
        <v>3985</v>
      </c>
      <c r="H3988" s="186">
        <f t="shared" ca="1" si="108"/>
        <v>2.5107219409406637E-2</v>
      </c>
    </row>
    <row r="3989" spans="7:8">
      <c r="G3989" s="171">
        <v>3986</v>
      </c>
      <c r="H3989" s="186">
        <f t="shared" ca="1" si="108"/>
        <v>-8.3173388893956479E-3</v>
      </c>
    </row>
    <row r="3990" spans="7:8">
      <c r="G3990" s="171">
        <v>3987</v>
      </c>
      <c r="H3990" s="186">
        <f t="shared" ca="1" si="108"/>
        <v>-9.7294146832056314E-3</v>
      </c>
    </row>
    <row r="3991" spans="7:8">
      <c r="G3991" s="171">
        <v>3988</v>
      </c>
      <c r="H3991" s="186">
        <f t="shared" ca="1" si="108"/>
        <v>3.7713213387697998E-3</v>
      </c>
    </row>
    <row r="3992" spans="7:8">
      <c r="G3992" s="171">
        <v>3989</v>
      </c>
      <c r="H3992" s="186">
        <f t="shared" ca="1" si="108"/>
        <v>-8.469327585186523E-3</v>
      </c>
    </row>
    <row r="3993" spans="7:8">
      <c r="G3993" s="171">
        <v>3990</v>
      </c>
      <c r="H3993" s="186">
        <f t="shared" ca="1" si="108"/>
        <v>-1.0418555375267032E-2</v>
      </c>
    </row>
    <row r="3994" spans="7:8">
      <c r="G3994" s="171">
        <v>3991</v>
      </c>
      <c r="H3994" s="186">
        <f t="shared" ca="1" si="108"/>
        <v>6.2604418811101608E-3</v>
      </c>
    </row>
    <row r="3995" spans="7:8">
      <c r="G3995" s="171">
        <v>3992</v>
      </c>
      <c r="H3995" s="186">
        <f t="shared" ca="1" si="108"/>
        <v>-1.9375241825469701E-3</v>
      </c>
    </row>
    <row r="3996" spans="7:8">
      <c r="G3996" s="171">
        <v>3993</v>
      </c>
      <c r="H3996" s="186">
        <f t="shared" ca="1" si="108"/>
        <v>-1.1181706852631862E-2</v>
      </c>
    </row>
    <row r="3997" spans="7:8">
      <c r="G3997" s="171">
        <v>3994</v>
      </c>
      <c r="H3997" s="186">
        <f t="shared" ca="1" si="108"/>
        <v>-4.6947429930805685E-4</v>
      </c>
    </row>
    <row r="3998" spans="7:8">
      <c r="G3998" s="171">
        <v>3995</v>
      </c>
      <c r="H3998" s="186">
        <f t="shared" ca="1" si="108"/>
        <v>2.2450473904665137E-3</v>
      </c>
    </row>
    <row r="3999" spans="7:8">
      <c r="G3999" s="171">
        <v>3996</v>
      </c>
      <c r="H3999" s="186">
        <f t="shared" ca="1" si="108"/>
        <v>1.1636571230567397E-2</v>
      </c>
    </row>
    <row r="4000" spans="7:8">
      <c r="G4000" s="171">
        <v>3997</v>
      </c>
      <c r="H4000" s="186">
        <f t="shared" ca="1" si="108"/>
        <v>-1.2273386348527303E-2</v>
      </c>
    </row>
    <row r="4001" spans="7:8">
      <c r="G4001" s="171">
        <v>3998</v>
      </c>
      <c r="H4001" s="186">
        <f t="shared" ca="1" si="108"/>
        <v>9.1134505407572605E-3</v>
      </c>
    </row>
    <row r="4002" spans="7:8">
      <c r="G4002" s="171">
        <v>3999</v>
      </c>
      <c r="H4002" s="186">
        <f t="shared" ca="1" si="108"/>
        <v>-1.2973657654171515E-3</v>
      </c>
    </row>
    <row r="4003" spans="7:8">
      <c r="G4003" s="171">
        <v>4000</v>
      </c>
      <c r="H4003" s="186">
        <f t="shared" ca="1" si="108"/>
        <v>-1.0065192891699149E-2</v>
      </c>
    </row>
    <row r="4004" spans="7:8">
      <c r="G4004" s="171">
        <v>4001</v>
      </c>
      <c r="H4004" s="186">
        <f t="shared" ca="1" si="108"/>
        <v>-1.196935053007088E-3</v>
      </c>
    </row>
    <row r="4005" spans="7:8">
      <c r="G4005" s="171">
        <v>4002</v>
      </c>
      <c r="H4005" s="186">
        <f t="shared" ca="1" si="108"/>
        <v>5.2993077126937925E-3</v>
      </c>
    </row>
    <row r="4006" spans="7:8">
      <c r="G4006" s="171">
        <v>4003</v>
      </c>
      <c r="H4006" s="186">
        <f t="shared" ca="1" si="108"/>
        <v>1.0147167783977227E-4</v>
      </c>
    </row>
    <row r="4007" spans="7:8">
      <c r="G4007" s="171">
        <v>4004</v>
      </c>
      <c r="H4007" s="186">
        <f t="shared" ca="1" si="108"/>
        <v>4.5026891225497089E-3</v>
      </c>
    </row>
    <row r="4008" spans="7:8">
      <c r="G4008" s="171">
        <v>4005</v>
      </c>
      <c r="H4008" s="186">
        <f t="shared" ca="1" si="108"/>
        <v>8.8881468119505844E-3</v>
      </c>
    </row>
    <row r="4009" spans="7:8">
      <c r="G4009" s="171">
        <v>4006</v>
      </c>
      <c r="H4009" s="186">
        <f t="shared" ca="1" si="108"/>
        <v>-1.5212999630555696E-2</v>
      </c>
    </row>
    <row r="4010" spans="7:8">
      <c r="G4010" s="171">
        <v>4007</v>
      </c>
      <c r="H4010" s="186">
        <f t="shared" ca="1" si="108"/>
        <v>-1.682840336743207E-2</v>
      </c>
    </row>
    <row r="4011" spans="7:8">
      <c r="G4011" s="171">
        <v>4008</v>
      </c>
      <c r="H4011" s="186">
        <f t="shared" ca="1" si="108"/>
        <v>5.8552851824000361E-3</v>
      </c>
    </row>
    <row r="4012" spans="7:8">
      <c r="G4012" s="171">
        <v>4009</v>
      </c>
      <c r="H4012" s="186">
        <f t="shared" ca="1" si="108"/>
        <v>-2.6585140598138187E-3</v>
      </c>
    </row>
    <row r="4013" spans="7:8">
      <c r="G4013" s="171">
        <v>4010</v>
      </c>
      <c r="H4013" s="186">
        <f t="shared" ca="1" si="108"/>
        <v>4.697078064853151E-3</v>
      </c>
    </row>
    <row r="4014" spans="7:8">
      <c r="G4014" s="171">
        <v>4011</v>
      </c>
      <c r="H4014" s="186">
        <f t="shared" ca="1" si="108"/>
        <v>-7.845476801223222E-3</v>
      </c>
    </row>
    <row r="4015" spans="7:8">
      <c r="G4015" s="171">
        <v>4012</v>
      </c>
      <c r="H4015" s="186">
        <f t="shared" ca="1" si="108"/>
        <v>-4.1993884606545441E-3</v>
      </c>
    </row>
    <row r="4016" spans="7:8">
      <c r="G4016" s="171">
        <v>4013</v>
      </c>
      <c r="H4016" s="186">
        <f t="shared" ca="1" si="108"/>
        <v>1.2556790831373659E-2</v>
      </c>
    </row>
    <row r="4017" spans="7:8">
      <c r="G4017" s="171">
        <v>4014</v>
      </c>
      <c r="H4017" s="186">
        <f t="shared" ca="1" si="108"/>
        <v>1.2729885135014555E-2</v>
      </c>
    </row>
    <row r="4018" spans="7:8">
      <c r="G4018" s="171">
        <v>4015</v>
      </c>
      <c r="H4018" s="186">
        <f t="shared" ca="1" si="108"/>
        <v>-1.4907935994591353E-2</v>
      </c>
    </row>
    <row r="4019" spans="7:8">
      <c r="G4019" s="171">
        <v>4016</v>
      </c>
      <c r="H4019" s="186">
        <f t="shared" ca="1" si="108"/>
        <v>-9.0470126184232259E-3</v>
      </c>
    </row>
    <row r="4020" spans="7:8">
      <c r="G4020" s="171">
        <v>4017</v>
      </c>
      <c r="H4020" s="186">
        <f t="shared" ca="1" si="108"/>
        <v>2.3232886831074398E-2</v>
      </c>
    </row>
    <row r="4021" spans="7:8">
      <c r="G4021" s="171">
        <v>4018</v>
      </c>
      <c r="H4021" s="186">
        <f t="shared" ca="1" si="108"/>
        <v>-4.270180020368863E-3</v>
      </c>
    </row>
    <row r="4022" spans="7:8">
      <c r="G4022" s="171">
        <v>4019</v>
      </c>
      <c r="H4022" s="186">
        <f t="shared" ca="1" si="108"/>
        <v>-9.6558634185433916E-3</v>
      </c>
    </row>
    <row r="4023" spans="7:8">
      <c r="G4023" s="171">
        <v>4020</v>
      </c>
      <c r="H4023" s="186">
        <f t="shared" ca="1" si="108"/>
        <v>9.2673174191358204E-3</v>
      </c>
    </row>
    <row r="4024" spans="7:8">
      <c r="G4024" s="171">
        <v>4021</v>
      </c>
      <c r="H4024" s="186">
        <f t="shared" ca="1" si="108"/>
        <v>1.0956016370915003E-2</v>
      </c>
    </row>
    <row r="4025" spans="7:8">
      <c r="G4025" s="171">
        <v>4022</v>
      </c>
      <c r="H4025" s="186">
        <f t="shared" ca="1" si="108"/>
        <v>-1.7811364886523712E-2</v>
      </c>
    </row>
    <row r="4026" spans="7:8">
      <c r="G4026" s="171">
        <v>4023</v>
      </c>
      <c r="H4026" s="186">
        <f t="shared" ca="1" si="108"/>
        <v>2.5360643918567508E-3</v>
      </c>
    </row>
    <row r="4027" spans="7:8">
      <c r="G4027" s="171">
        <v>4024</v>
      </c>
      <c r="H4027" s="186">
        <f t="shared" ca="1" si="108"/>
        <v>-8.1605152864928261E-3</v>
      </c>
    </row>
    <row r="4028" spans="7:8">
      <c r="G4028" s="171">
        <v>4025</v>
      </c>
      <c r="H4028" s="186">
        <f t="shared" ca="1" si="108"/>
        <v>4.1584440009187909E-3</v>
      </c>
    </row>
    <row r="4029" spans="7:8">
      <c r="G4029" s="171">
        <v>4026</v>
      </c>
      <c r="H4029" s="186">
        <f t="shared" ca="1" si="108"/>
        <v>1.2567406719776405E-4</v>
      </c>
    </row>
    <row r="4030" spans="7:8">
      <c r="G4030" s="171">
        <v>4027</v>
      </c>
      <c r="H4030" s="186">
        <f t="shared" ca="1" si="108"/>
        <v>-3.1706800368327777E-3</v>
      </c>
    </row>
    <row r="4031" spans="7:8">
      <c r="G4031" s="171">
        <v>4028</v>
      </c>
      <c r="H4031" s="186">
        <f t="shared" ca="1" si="108"/>
        <v>1.0658896441337525E-2</v>
      </c>
    </row>
    <row r="4032" spans="7:8">
      <c r="G4032" s="171">
        <v>4029</v>
      </c>
      <c r="H4032" s="186">
        <f t="shared" ca="1" si="108"/>
        <v>8.3421930228240408E-3</v>
      </c>
    </row>
    <row r="4033" spans="7:8">
      <c r="G4033" s="171">
        <v>4030</v>
      </c>
      <c r="H4033" s="186">
        <f t="shared" ca="1" si="108"/>
        <v>1.2016683061916165E-2</v>
      </c>
    </row>
    <row r="4034" spans="7:8">
      <c r="G4034" s="171">
        <v>4031</v>
      </c>
      <c r="H4034" s="186">
        <f t="shared" ca="1" si="108"/>
        <v>2.1272067868027413E-2</v>
      </c>
    </row>
    <row r="4035" spans="7:8">
      <c r="G4035" s="171">
        <v>4032</v>
      </c>
      <c r="H4035" s="186">
        <f t="shared" ca="1" si="108"/>
        <v>5.2587820882208395E-3</v>
      </c>
    </row>
    <row r="4036" spans="7:8">
      <c r="G4036" s="171">
        <v>4033</v>
      </c>
      <c r="H4036" s="186">
        <f t="shared" ca="1" si="108"/>
        <v>-2.6151651289037666E-3</v>
      </c>
    </row>
    <row r="4037" spans="7:8">
      <c r="G4037" s="171">
        <v>4034</v>
      </c>
      <c r="H4037" s="186">
        <f t="shared" ref="H4037:H4100" ca="1" si="109">_xlfn.NORM.INV(RAND(),N$6,N$7)</f>
        <v>-2.2824712263928376E-2</v>
      </c>
    </row>
    <row r="4038" spans="7:8">
      <c r="G4038" s="171">
        <v>4035</v>
      </c>
      <c r="H4038" s="186">
        <f t="shared" ca="1" si="109"/>
        <v>4.4399393119521346E-3</v>
      </c>
    </row>
    <row r="4039" spans="7:8">
      <c r="G4039" s="171">
        <v>4036</v>
      </c>
      <c r="H4039" s="186">
        <f t="shared" ca="1" si="109"/>
        <v>-1.4853661067601822E-2</v>
      </c>
    </row>
    <row r="4040" spans="7:8">
      <c r="G4040" s="171">
        <v>4037</v>
      </c>
      <c r="H4040" s="186">
        <f t="shared" ca="1" si="109"/>
        <v>1.7484384772026126E-2</v>
      </c>
    </row>
    <row r="4041" spans="7:8">
      <c r="G4041" s="171">
        <v>4038</v>
      </c>
      <c r="H4041" s="186">
        <f t="shared" ca="1" si="109"/>
        <v>1.1251027422655047E-2</v>
      </c>
    </row>
    <row r="4042" spans="7:8">
      <c r="G4042" s="171">
        <v>4039</v>
      </c>
      <c r="H4042" s="186">
        <f t="shared" ca="1" si="109"/>
        <v>-3.4231700554316118E-2</v>
      </c>
    </row>
    <row r="4043" spans="7:8">
      <c r="G4043" s="171">
        <v>4040</v>
      </c>
      <c r="H4043" s="186">
        <f t="shared" ca="1" si="109"/>
        <v>-7.9302475109529879E-3</v>
      </c>
    </row>
    <row r="4044" spans="7:8">
      <c r="G4044" s="171">
        <v>4041</v>
      </c>
      <c r="H4044" s="186">
        <f t="shared" ca="1" si="109"/>
        <v>-2.142695340882032E-2</v>
      </c>
    </row>
    <row r="4045" spans="7:8">
      <c r="G4045" s="171">
        <v>4042</v>
      </c>
      <c r="H4045" s="186">
        <f t="shared" ca="1" si="109"/>
        <v>-4.2681432713083597E-2</v>
      </c>
    </row>
    <row r="4046" spans="7:8">
      <c r="G4046" s="171">
        <v>4043</v>
      </c>
      <c r="H4046" s="186">
        <f t="shared" ca="1" si="109"/>
        <v>3.2199497577779998E-2</v>
      </c>
    </row>
    <row r="4047" spans="7:8">
      <c r="G4047" s="171">
        <v>4044</v>
      </c>
      <c r="H4047" s="186">
        <f t="shared" ca="1" si="109"/>
        <v>-1.1543463387066019E-3</v>
      </c>
    </row>
    <row r="4048" spans="7:8">
      <c r="G4048" s="171">
        <v>4045</v>
      </c>
      <c r="H4048" s="186">
        <f t="shared" ca="1" si="109"/>
        <v>1.3038903764424537E-2</v>
      </c>
    </row>
    <row r="4049" spans="7:8">
      <c r="G4049" s="171">
        <v>4046</v>
      </c>
      <c r="H4049" s="186">
        <f t="shared" ca="1" si="109"/>
        <v>4.793464549739888E-3</v>
      </c>
    </row>
    <row r="4050" spans="7:8">
      <c r="G4050" s="171">
        <v>4047</v>
      </c>
      <c r="H4050" s="186">
        <f t="shared" ca="1" si="109"/>
        <v>-6.7653838042825256E-4</v>
      </c>
    </row>
    <row r="4051" spans="7:8">
      <c r="G4051" s="171">
        <v>4048</v>
      </c>
      <c r="H4051" s="186">
        <f t="shared" ca="1" si="109"/>
        <v>-2.3261026116638314E-2</v>
      </c>
    </row>
    <row r="4052" spans="7:8">
      <c r="G4052" s="171">
        <v>4049</v>
      </c>
      <c r="H4052" s="186">
        <f t="shared" ca="1" si="109"/>
        <v>-1.9045162662533619E-2</v>
      </c>
    </row>
    <row r="4053" spans="7:8">
      <c r="G4053" s="171">
        <v>4050</v>
      </c>
      <c r="H4053" s="186">
        <f t="shared" ca="1" si="109"/>
        <v>1.7626531600546804E-4</v>
      </c>
    </row>
    <row r="4054" spans="7:8">
      <c r="G4054" s="171">
        <v>4051</v>
      </c>
      <c r="H4054" s="186">
        <f t="shared" ca="1" si="109"/>
        <v>1.4401752861876631E-2</v>
      </c>
    </row>
    <row r="4055" spans="7:8">
      <c r="G4055" s="171">
        <v>4052</v>
      </c>
      <c r="H4055" s="186">
        <f t="shared" ca="1" si="109"/>
        <v>1.2562767297785422E-2</v>
      </c>
    </row>
    <row r="4056" spans="7:8">
      <c r="G4056" s="171">
        <v>4053</v>
      </c>
      <c r="H4056" s="186">
        <f t="shared" ca="1" si="109"/>
        <v>9.6758143360484612E-3</v>
      </c>
    </row>
    <row r="4057" spans="7:8">
      <c r="G4057" s="171">
        <v>4054</v>
      </c>
      <c r="H4057" s="186">
        <f t="shared" ca="1" si="109"/>
        <v>1.2765450328257006E-2</v>
      </c>
    </row>
    <row r="4058" spans="7:8">
      <c r="G4058" s="171">
        <v>4055</v>
      </c>
      <c r="H4058" s="186">
        <f t="shared" ca="1" si="109"/>
        <v>2.4985745581170959E-3</v>
      </c>
    </row>
    <row r="4059" spans="7:8">
      <c r="G4059" s="171">
        <v>4056</v>
      </c>
      <c r="H4059" s="186">
        <f t="shared" ca="1" si="109"/>
        <v>2.2536812306216278E-2</v>
      </c>
    </row>
    <row r="4060" spans="7:8">
      <c r="G4060" s="171">
        <v>4057</v>
      </c>
      <c r="H4060" s="186">
        <f t="shared" ca="1" si="109"/>
        <v>-9.9946022826386087E-3</v>
      </c>
    </row>
    <row r="4061" spans="7:8">
      <c r="G4061" s="171">
        <v>4058</v>
      </c>
      <c r="H4061" s="186">
        <f t="shared" ca="1" si="109"/>
        <v>6.0317131901476018E-3</v>
      </c>
    </row>
    <row r="4062" spans="7:8">
      <c r="G4062" s="171">
        <v>4059</v>
      </c>
      <c r="H4062" s="186">
        <f t="shared" ca="1" si="109"/>
        <v>1.778426139664574E-2</v>
      </c>
    </row>
    <row r="4063" spans="7:8">
      <c r="G4063" s="171">
        <v>4060</v>
      </c>
      <c r="H4063" s="186">
        <f t="shared" ca="1" si="109"/>
        <v>-1.4985769932694395E-2</v>
      </c>
    </row>
    <row r="4064" spans="7:8">
      <c r="G4064" s="171">
        <v>4061</v>
      </c>
      <c r="H4064" s="186">
        <f t="shared" ca="1" si="109"/>
        <v>9.9440783668960069E-3</v>
      </c>
    </row>
    <row r="4065" spans="7:8">
      <c r="G4065" s="171">
        <v>4062</v>
      </c>
      <c r="H4065" s="186">
        <f t="shared" ca="1" si="109"/>
        <v>-2.1802250234186191E-3</v>
      </c>
    </row>
    <row r="4066" spans="7:8">
      <c r="G4066" s="171">
        <v>4063</v>
      </c>
      <c r="H4066" s="186">
        <f t="shared" ca="1" si="109"/>
        <v>9.9796691341535733E-4</v>
      </c>
    </row>
    <row r="4067" spans="7:8">
      <c r="G4067" s="171">
        <v>4064</v>
      </c>
      <c r="H4067" s="186">
        <f t="shared" ca="1" si="109"/>
        <v>-2.6495285783612859E-3</v>
      </c>
    </row>
    <row r="4068" spans="7:8">
      <c r="G4068" s="171">
        <v>4065</v>
      </c>
      <c r="H4068" s="186">
        <f t="shared" ca="1" si="109"/>
        <v>-3.0474968050118813E-2</v>
      </c>
    </row>
    <row r="4069" spans="7:8">
      <c r="G4069" s="171">
        <v>4066</v>
      </c>
      <c r="H4069" s="186">
        <f t="shared" ca="1" si="109"/>
        <v>5.7029465310909E-3</v>
      </c>
    </row>
    <row r="4070" spans="7:8">
      <c r="G4070" s="171">
        <v>4067</v>
      </c>
      <c r="H4070" s="186">
        <f t="shared" ca="1" si="109"/>
        <v>-2.046715856699978E-2</v>
      </c>
    </row>
    <row r="4071" spans="7:8">
      <c r="G4071" s="171">
        <v>4068</v>
      </c>
      <c r="H4071" s="186">
        <f t="shared" ca="1" si="109"/>
        <v>1.7850605494157092E-2</v>
      </c>
    </row>
    <row r="4072" spans="7:8">
      <c r="G4072" s="171">
        <v>4069</v>
      </c>
      <c r="H4072" s="186">
        <f t="shared" ca="1" si="109"/>
        <v>1.1777961718911496E-2</v>
      </c>
    </row>
    <row r="4073" spans="7:8">
      <c r="G4073" s="171">
        <v>4070</v>
      </c>
      <c r="H4073" s="186">
        <f t="shared" ca="1" si="109"/>
        <v>4.4861091148554934E-3</v>
      </c>
    </row>
    <row r="4074" spans="7:8">
      <c r="G4074" s="171">
        <v>4071</v>
      </c>
      <c r="H4074" s="186">
        <f t="shared" ca="1" si="109"/>
        <v>3.6592782649401139E-3</v>
      </c>
    </row>
    <row r="4075" spans="7:8">
      <c r="G4075" s="171">
        <v>4072</v>
      </c>
      <c r="H4075" s="186">
        <f t="shared" ca="1" si="109"/>
        <v>-2.1510131731113023E-2</v>
      </c>
    </row>
    <row r="4076" spans="7:8">
      <c r="G4076" s="171">
        <v>4073</v>
      </c>
      <c r="H4076" s="186">
        <f t="shared" ca="1" si="109"/>
        <v>1.184237906289312E-2</v>
      </c>
    </row>
    <row r="4077" spans="7:8">
      <c r="G4077" s="171">
        <v>4074</v>
      </c>
      <c r="H4077" s="186">
        <f t="shared" ca="1" si="109"/>
        <v>-1.5328750290191578E-2</v>
      </c>
    </row>
    <row r="4078" spans="7:8">
      <c r="G4078" s="171">
        <v>4075</v>
      </c>
      <c r="H4078" s="186">
        <f t="shared" ca="1" si="109"/>
        <v>-2.6630288807664541E-3</v>
      </c>
    </row>
    <row r="4079" spans="7:8">
      <c r="G4079" s="171">
        <v>4076</v>
      </c>
      <c r="H4079" s="186">
        <f t="shared" ca="1" si="109"/>
        <v>2.2166283302954798E-3</v>
      </c>
    </row>
    <row r="4080" spans="7:8">
      <c r="G4080" s="171">
        <v>4077</v>
      </c>
      <c r="H4080" s="186">
        <f t="shared" ca="1" si="109"/>
        <v>-3.0477614572137E-3</v>
      </c>
    </row>
    <row r="4081" spans="7:8">
      <c r="G4081" s="171">
        <v>4078</v>
      </c>
      <c r="H4081" s="186">
        <f t="shared" ca="1" si="109"/>
        <v>3.5107430161359682E-3</v>
      </c>
    </row>
    <row r="4082" spans="7:8">
      <c r="G4082" s="171">
        <v>4079</v>
      </c>
      <c r="H4082" s="186">
        <f t="shared" ca="1" si="109"/>
        <v>-1.3976121700047294E-3</v>
      </c>
    </row>
    <row r="4083" spans="7:8">
      <c r="G4083" s="171">
        <v>4080</v>
      </c>
      <c r="H4083" s="186">
        <f t="shared" ca="1" si="109"/>
        <v>-2.4366630406472186E-2</v>
      </c>
    </row>
    <row r="4084" spans="7:8">
      <c r="G4084" s="171">
        <v>4081</v>
      </c>
      <c r="H4084" s="186">
        <f t="shared" ca="1" si="109"/>
        <v>3.0887528404451383E-4</v>
      </c>
    </row>
    <row r="4085" spans="7:8">
      <c r="G4085" s="171">
        <v>4082</v>
      </c>
      <c r="H4085" s="186">
        <f t="shared" ca="1" si="109"/>
        <v>-5.9130378611135168E-3</v>
      </c>
    </row>
    <row r="4086" spans="7:8">
      <c r="G4086" s="171">
        <v>4083</v>
      </c>
      <c r="H4086" s="186">
        <f t="shared" ca="1" si="109"/>
        <v>-7.6389510293252303E-3</v>
      </c>
    </row>
    <row r="4087" spans="7:8">
      <c r="G4087" s="171">
        <v>4084</v>
      </c>
      <c r="H4087" s="186">
        <f t="shared" ca="1" si="109"/>
        <v>9.9592503066137251E-3</v>
      </c>
    </row>
    <row r="4088" spans="7:8">
      <c r="G4088" s="171">
        <v>4085</v>
      </c>
      <c r="H4088" s="186">
        <f t="shared" ca="1" si="109"/>
        <v>-3.9654072674887653E-3</v>
      </c>
    </row>
    <row r="4089" spans="7:8">
      <c r="G4089" s="171">
        <v>4086</v>
      </c>
      <c r="H4089" s="186">
        <f t="shared" ca="1" si="109"/>
        <v>-4.9458215028731257E-4</v>
      </c>
    </row>
    <row r="4090" spans="7:8">
      <c r="G4090" s="171">
        <v>4087</v>
      </c>
      <c r="H4090" s="186">
        <f t="shared" ca="1" si="109"/>
        <v>1.367890997677954E-2</v>
      </c>
    </row>
    <row r="4091" spans="7:8">
      <c r="G4091" s="171">
        <v>4088</v>
      </c>
      <c r="H4091" s="186">
        <f t="shared" ca="1" si="109"/>
        <v>1.0429722443842044E-2</v>
      </c>
    </row>
    <row r="4092" spans="7:8">
      <c r="G4092" s="171">
        <v>4089</v>
      </c>
      <c r="H4092" s="186">
        <f t="shared" ca="1" si="109"/>
        <v>7.9899926994216556E-3</v>
      </c>
    </row>
    <row r="4093" spans="7:8">
      <c r="G4093" s="171">
        <v>4090</v>
      </c>
      <c r="H4093" s="186">
        <f t="shared" ca="1" si="109"/>
        <v>-5.0288842917847534E-3</v>
      </c>
    </row>
    <row r="4094" spans="7:8">
      <c r="G4094" s="171">
        <v>4091</v>
      </c>
      <c r="H4094" s="186">
        <f t="shared" ca="1" si="109"/>
        <v>-2.4050851040663566E-3</v>
      </c>
    </row>
    <row r="4095" spans="7:8">
      <c r="G4095" s="171">
        <v>4092</v>
      </c>
      <c r="H4095" s="186">
        <f t="shared" ca="1" si="109"/>
        <v>2.6227871482729953E-2</v>
      </c>
    </row>
    <row r="4096" spans="7:8">
      <c r="G4096" s="171">
        <v>4093</v>
      </c>
      <c r="H4096" s="186">
        <f t="shared" ca="1" si="109"/>
        <v>3.512922420124652E-2</v>
      </c>
    </row>
    <row r="4097" spans="7:8">
      <c r="G4097" s="171">
        <v>4094</v>
      </c>
      <c r="H4097" s="186">
        <f t="shared" ca="1" si="109"/>
        <v>2.0442854675695409E-2</v>
      </c>
    </row>
    <row r="4098" spans="7:8">
      <c r="G4098" s="171">
        <v>4095</v>
      </c>
      <c r="H4098" s="186">
        <f t="shared" ca="1" si="109"/>
        <v>-1.3720676896162399E-2</v>
      </c>
    </row>
    <row r="4099" spans="7:8">
      <c r="G4099" s="171">
        <v>4096</v>
      </c>
      <c r="H4099" s="186">
        <f t="shared" ca="1" si="109"/>
        <v>-2.5192474089936613E-2</v>
      </c>
    </row>
    <row r="4100" spans="7:8">
      <c r="G4100" s="171">
        <v>4097</v>
      </c>
      <c r="H4100" s="186">
        <f t="shared" ca="1" si="109"/>
        <v>2.6783668475922277E-2</v>
      </c>
    </row>
    <row r="4101" spans="7:8">
      <c r="G4101" s="171">
        <v>4098</v>
      </c>
      <c r="H4101" s="186">
        <f t="shared" ref="H4101:H4164" ca="1" si="110">_xlfn.NORM.INV(RAND(),N$6,N$7)</f>
        <v>-8.3875808770788249E-3</v>
      </c>
    </row>
    <row r="4102" spans="7:8">
      <c r="G4102" s="171">
        <v>4099</v>
      </c>
      <c r="H4102" s="186">
        <f t="shared" ca="1" si="110"/>
        <v>2.1804486626397546E-2</v>
      </c>
    </row>
    <row r="4103" spans="7:8">
      <c r="G4103" s="171">
        <v>4100</v>
      </c>
      <c r="H4103" s="186">
        <f t="shared" ca="1" si="110"/>
        <v>1.8429967270658581E-2</v>
      </c>
    </row>
    <row r="4104" spans="7:8">
      <c r="G4104" s="171">
        <v>4101</v>
      </c>
      <c r="H4104" s="186">
        <f t="shared" ca="1" si="110"/>
        <v>-2.1134888554434156E-2</v>
      </c>
    </row>
    <row r="4105" spans="7:8">
      <c r="G4105" s="171">
        <v>4102</v>
      </c>
      <c r="H4105" s="186">
        <f t="shared" ca="1" si="110"/>
        <v>1.397028038864199E-3</v>
      </c>
    </row>
    <row r="4106" spans="7:8">
      <c r="G4106" s="171">
        <v>4103</v>
      </c>
      <c r="H4106" s="186">
        <f t="shared" ca="1" si="110"/>
        <v>-8.413358745148574E-3</v>
      </c>
    </row>
    <row r="4107" spans="7:8">
      <c r="G4107" s="171">
        <v>4104</v>
      </c>
      <c r="H4107" s="186">
        <f t="shared" ca="1" si="110"/>
        <v>1.1175695795172129E-2</v>
      </c>
    </row>
    <row r="4108" spans="7:8">
      <c r="G4108" s="171">
        <v>4105</v>
      </c>
      <c r="H4108" s="186">
        <f t="shared" ca="1" si="110"/>
        <v>-6.6234931292994924E-3</v>
      </c>
    </row>
    <row r="4109" spans="7:8">
      <c r="G4109" s="171">
        <v>4106</v>
      </c>
      <c r="H4109" s="186">
        <f t="shared" ca="1" si="110"/>
        <v>-2.143940965591621E-2</v>
      </c>
    </row>
    <row r="4110" spans="7:8">
      <c r="G4110" s="171">
        <v>4107</v>
      </c>
      <c r="H4110" s="186">
        <f t="shared" ca="1" si="110"/>
        <v>-2.534516975882543E-2</v>
      </c>
    </row>
    <row r="4111" spans="7:8">
      <c r="G4111" s="171">
        <v>4108</v>
      </c>
      <c r="H4111" s="186">
        <f t="shared" ca="1" si="110"/>
        <v>1.3095376712001259E-2</v>
      </c>
    </row>
    <row r="4112" spans="7:8">
      <c r="G4112" s="171">
        <v>4109</v>
      </c>
      <c r="H4112" s="186">
        <f t="shared" ca="1" si="110"/>
        <v>-6.913944174630848E-3</v>
      </c>
    </row>
    <row r="4113" spans="7:8">
      <c r="G4113" s="171">
        <v>4110</v>
      </c>
      <c r="H4113" s="186">
        <f t="shared" ca="1" si="110"/>
        <v>-5.4858182468301145E-3</v>
      </c>
    </row>
    <row r="4114" spans="7:8">
      <c r="G4114" s="171">
        <v>4111</v>
      </c>
      <c r="H4114" s="186">
        <f t="shared" ca="1" si="110"/>
        <v>2.2366228843882429E-3</v>
      </c>
    </row>
    <row r="4115" spans="7:8">
      <c r="G4115" s="171">
        <v>4112</v>
      </c>
      <c r="H4115" s="186">
        <f t="shared" ca="1" si="110"/>
        <v>-1.659480999368571E-3</v>
      </c>
    </row>
    <row r="4116" spans="7:8">
      <c r="G4116" s="171">
        <v>4113</v>
      </c>
      <c r="H4116" s="186">
        <f t="shared" ca="1" si="110"/>
        <v>-4.6651760389460773E-3</v>
      </c>
    </row>
    <row r="4117" spans="7:8">
      <c r="G4117" s="171">
        <v>4114</v>
      </c>
      <c r="H4117" s="186">
        <f t="shared" ca="1" si="110"/>
        <v>-1.4994738895477743E-2</v>
      </c>
    </row>
    <row r="4118" spans="7:8">
      <c r="G4118" s="171">
        <v>4115</v>
      </c>
      <c r="H4118" s="186">
        <f t="shared" ca="1" si="110"/>
        <v>2.30025662883027E-2</v>
      </c>
    </row>
    <row r="4119" spans="7:8">
      <c r="G4119" s="171">
        <v>4116</v>
      </c>
      <c r="H4119" s="186">
        <f t="shared" ca="1" si="110"/>
        <v>3.341072266310962E-2</v>
      </c>
    </row>
    <row r="4120" spans="7:8">
      <c r="G4120" s="171">
        <v>4117</v>
      </c>
      <c r="H4120" s="186">
        <f t="shared" ca="1" si="110"/>
        <v>3.4485286306419585E-3</v>
      </c>
    </row>
    <row r="4121" spans="7:8">
      <c r="G4121" s="171">
        <v>4118</v>
      </c>
      <c r="H4121" s="186">
        <f t="shared" ca="1" si="110"/>
        <v>-4.3699494570050169E-3</v>
      </c>
    </row>
    <row r="4122" spans="7:8">
      <c r="G4122" s="171">
        <v>4119</v>
      </c>
      <c r="H4122" s="186">
        <f t="shared" ca="1" si="110"/>
        <v>1.8144427486420995E-2</v>
      </c>
    </row>
    <row r="4123" spans="7:8">
      <c r="G4123" s="171">
        <v>4120</v>
      </c>
      <c r="H4123" s="186">
        <f t="shared" ca="1" si="110"/>
        <v>2.3982320496491593E-4</v>
      </c>
    </row>
    <row r="4124" spans="7:8">
      <c r="G4124" s="171">
        <v>4121</v>
      </c>
      <c r="H4124" s="186">
        <f t="shared" ca="1" si="110"/>
        <v>1.2550088772169273E-3</v>
      </c>
    </row>
    <row r="4125" spans="7:8">
      <c r="G4125" s="171">
        <v>4122</v>
      </c>
      <c r="H4125" s="186">
        <f t="shared" ca="1" si="110"/>
        <v>4.8282239786086789E-3</v>
      </c>
    </row>
    <row r="4126" spans="7:8">
      <c r="G4126" s="171">
        <v>4123</v>
      </c>
      <c r="H4126" s="186">
        <f t="shared" ca="1" si="110"/>
        <v>3.8803348388974806E-3</v>
      </c>
    </row>
    <row r="4127" spans="7:8">
      <c r="G4127" s="171">
        <v>4124</v>
      </c>
      <c r="H4127" s="186">
        <f t="shared" ca="1" si="110"/>
        <v>-2.0027535190340097E-2</v>
      </c>
    </row>
    <row r="4128" spans="7:8">
      <c r="G4128" s="171">
        <v>4125</v>
      </c>
      <c r="H4128" s="186">
        <f t="shared" ca="1" si="110"/>
        <v>2.5708926651643222E-2</v>
      </c>
    </row>
    <row r="4129" spans="7:8">
      <c r="G4129" s="171">
        <v>4126</v>
      </c>
      <c r="H4129" s="186">
        <f t="shared" ca="1" si="110"/>
        <v>-2.7286010096753874E-3</v>
      </c>
    </row>
    <row r="4130" spans="7:8">
      <c r="G4130" s="171">
        <v>4127</v>
      </c>
      <c r="H4130" s="186">
        <f t="shared" ca="1" si="110"/>
        <v>-4.4303997337613987E-3</v>
      </c>
    </row>
    <row r="4131" spans="7:8">
      <c r="G4131" s="171">
        <v>4128</v>
      </c>
      <c r="H4131" s="186">
        <f t="shared" ca="1" si="110"/>
        <v>-3.1445973002118561E-3</v>
      </c>
    </row>
    <row r="4132" spans="7:8">
      <c r="G4132" s="171">
        <v>4129</v>
      </c>
      <c r="H4132" s="186">
        <f t="shared" ca="1" si="110"/>
        <v>-4.4567692013165712E-3</v>
      </c>
    </row>
    <row r="4133" spans="7:8">
      <c r="G4133" s="171">
        <v>4130</v>
      </c>
      <c r="H4133" s="186">
        <f t="shared" ca="1" si="110"/>
        <v>-1.1266586685012868E-2</v>
      </c>
    </row>
    <row r="4134" spans="7:8">
      <c r="G4134" s="171">
        <v>4131</v>
      </c>
      <c r="H4134" s="186">
        <f t="shared" ca="1" si="110"/>
        <v>-2.2260468479690454E-3</v>
      </c>
    </row>
    <row r="4135" spans="7:8">
      <c r="G4135" s="171">
        <v>4132</v>
      </c>
      <c r="H4135" s="186">
        <f t="shared" ca="1" si="110"/>
        <v>1.0844506747168414E-2</v>
      </c>
    </row>
    <row r="4136" spans="7:8">
      <c r="G4136" s="171">
        <v>4133</v>
      </c>
      <c r="H4136" s="186">
        <f t="shared" ca="1" si="110"/>
        <v>-1.9217213798717627E-2</v>
      </c>
    </row>
    <row r="4137" spans="7:8">
      <c r="G4137" s="171">
        <v>4134</v>
      </c>
      <c r="H4137" s="186">
        <f t="shared" ca="1" si="110"/>
        <v>1.692128967913091E-2</v>
      </c>
    </row>
    <row r="4138" spans="7:8">
      <c r="G4138" s="171">
        <v>4135</v>
      </c>
      <c r="H4138" s="186">
        <f t="shared" ca="1" si="110"/>
        <v>1.4887496876835687E-2</v>
      </c>
    </row>
    <row r="4139" spans="7:8">
      <c r="G4139" s="171">
        <v>4136</v>
      </c>
      <c r="H4139" s="186">
        <f t="shared" ca="1" si="110"/>
        <v>-9.4558289137900015E-3</v>
      </c>
    </row>
    <row r="4140" spans="7:8">
      <c r="G4140" s="171">
        <v>4137</v>
      </c>
      <c r="H4140" s="186">
        <f t="shared" ca="1" si="110"/>
        <v>-1.0025270348862785E-2</v>
      </c>
    </row>
    <row r="4141" spans="7:8">
      <c r="G4141" s="171">
        <v>4138</v>
      </c>
      <c r="H4141" s="186">
        <f t="shared" ca="1" si="110"/>
        <v>-2.842263789525921E-3</v>
      </c>
    </row>
    <row r="4142" spans="7:8">
      <c r="G4142" s="171">
        <v>4139</v>
      </c>
      <c r="H4142" s="186">
        <f t="shared" ca="1" si="110"/>
        <v>-2.6099076008062237E-2</v>
      </c>
    </row>
    <row r="4143" spans="7:8">
      <c r="G4143" s="171">
        <v>4140</v>
      </c>
      <c r="H4143" s="186">
        <f t="shared" ca="1" si="110"/>
        <v>-2.5878692512654538E-3</v>
      </c>
    </row>
    <row r="4144" spans="7:8">
      <c r="G4144" s="171">
        <v>4141</v>
      </c>
      <c r="H4144" s="186">
        <f t="shared" ca="1" si="110"/>
        <v>-1.5532665459251489E-2</v>
      </c>
    </row>
    <row r="4145" spans="7:8">
      <c r="G4145" s="171">
        <v>4142</v>
      </c>
      <c r="H4145" s="186">
        <f t="shared" ca="1" si="110"/>
        <v>-2.8898633590454885E-3</v>
      </c>
    </row>
    <row r="4146" spans="7:8">
      <c r="G4146" s="171">
        <v>4143</v>
      </c>
      <c r="H4146" s="186">
        <f t="shared" ca="1" si="110"/>
        <v>1.5298022494692108E-2</v>
      </c>
    </row>
    <row r="4147" spans="7:8">
      <c r="G4147" s="171">
        <v>4144</v>
      </c>
      <c r="H4147" s="186">
        <f t="shared" ca="1" si="110"/>
        <v>-3.1397121151088746E-2</v>
      </c>
    </row>
    <row r="4148" spans="7:8">
      <c r="G4148" s="171">
        <v>4145</v>
      </c>
      <c r="H4148" s="186">
        <f t="shared" ca="1" si="110"/>
        <v>-1.6945918452812136E-2</v>
      </c>
    </row>
    <row r="4149" spans="7:8">
      <c r="G4149" s="171">
        <v>4146</v>
      </c>
      <c r="H4149" s="186">
        <f t="shared" ca="1" si="110"/>
        <v>-3.6303914072510915E-3</v>
      </c>
    </row>
    <row r="4150" spans="7:8">
      <c r="G4150" s="171">
        <v>4147</v>
      </c>
      <c r="H4150" s="186">
        <f t="shared" ca="1" si="110"/>
        <v>2.5202740358213609E-2</v>
      </c>
    </row>
    <row r="4151" spans="7:8">
      <c r="G4151" s="171">
        <v>4148</v>
      </c>
      <c r="H4151" s="186">
        <f t="shared" ca="1" si="110"/>
        <v>-1.8048035889435557E-2</v>
      </c>
    </row>
    <row r="4152" spans="7:8">
      <c r="G4152" s="171">
        <v>4149</v>
      </c>
      <c r="H4152" s="186">
        <f t="shared" ca="1" si="110"/>
        <v>1.5312835928155509E-2</v>
      </c>
    </row>
    <row r="4153" spans="7:8">
      <c r="G4153" s="171">
        <v>4150</v>
      </c>
      <c r="H4153" s="186">
        <f t="shared" ca="1" si="110"/>
        <v>1.7425488898471838E-2</v>
      </c>
    </row>
    <row r="4154" spans="7:8">
      <c r="G4154" s="171">
        <v>4151</v>
      </c>
      <c r="H4154" s="186">
        <f t="shared" ca="1" si="110"/>
        <v>-1.1744634116115777E-2</v>
      </c>
    </row>
    <row r="4155" spans="7:8">
      <c r="G4155" s="171">
        <v>4152</v>
      </c>
      <c r="H4155" s="186">
        <f t="shared" ca="1" si="110"/>
        <v>2.494354828506504E-2</v>
      </c>
    </row>
    <row r="4156" spans="7:8">
      <c r="G4156" s="171">
        <v>4153</v>
      </c>
      <c r="H4156" s="186">
        <f t="shared" ca="1" si="110"/>
        <v>2.2650160614726966E-2</v>
      </c>
    </row>
    <row r="4157" spans="7:8">
      <c r="G4157" s="171">
        <v>4154</v>
      </c>
      <c r="H4157" s="186">
        <f t="shared" ca="1" si="110"/>
        <v>-1.1407331723582964E-2</v>
      </c>
    </row>
    <row r="4158" spans="7:8">
      <c r="G4158" s="171">
        <v>4155</v>
      </c>
      <c r="H4158" s="186">
        <f t="shared" ca="1" si="110"/>
        <v>-1.8034759351308816E-2</v>
      </c>
    </row>
    <row r="4159" spans="7:8">
      <c r="G4159" s="171">
        <v>4156</v>
      </c>
      <c r="H4159" s="186">
        <f t="shared" ca="1" si="110"/>
        <v>7.1877536063386458E-3</v>
      </c>
    </row>
    <row r="4160" spans="7:8">
      <c r="G4160" s="171">
        <v>4157</v>
      </c>
      <c r="H4160" s="186">
        <f t="shared" ca="1" si="110"/>
        <v>1.3934234920388768E-4</v>
      </c>
    </row>
    <row r="4161" spans="7:8">
      <c r="G4161" s="171">
        <v>4158</v>
      </c>
      <c r="H4161" s="186">
        <f t="shared" ca="1" si="110"/>
        <v>-5.1451403660658073E-3</v>
      </c>
    </row>
    <row r="4162" spans="7:8">
      <c r="G4162" s="171">
        <v>4159</v>
      </c>
      <c r="H4162" s="186">
        <f t="shared" ca="1" si="110"/>
        <v>-1.7618664838372863E-2</v>
      </c>
    </row>
    <row r="4163" spans="7:8">
      <c r="G4163" s="171">
        <v>4160</v>
      </c>
      <c r="H4163" s="186">
        <f t="shared" ca="1" si="110"/>
        <v>1.2920250314108414E-2</v>
      </c>
    </row>
    <row r="4164" spans="7:8">
      <c r="G4164" s="171">
        <v>4161</v>
      </c>
      <c r="H4164" s="186">
        <f t="shared" ca="1" si="110"/>
        <v>8.1575047827761246E-3</v>
      </c>
    </row>
    <row r="4165" spans="7:8">
      <c r="G4165" s="171">
        <v>4162</v>
      </c>
      <c r="H4165" s="186">
        <f t="shared" ref="H4165:H4228" ca="1" si="111">_xlfn.NORM.INV(RAND(),N$6,N$7)</f>
        <v>7.0817086453951227E-3</v>
      </c>
    </row>
    <row r="4166" spans="7:8">
      <c r="G4166" s="171">
        <v>4163</v>
      </c>
      <c r="H4166" s="186">
        <f t="shared" ca="1" si="111"/>
        <v>-9.7176436896959893E-3</v>
      </c>
    </row>
    <row r="4167" spans="7:8">
      <c r="G4167" s="171">
        <v>4164</v>
      </c>
      <c r="H4167" s="186">
        <f t="shared" ca="1" si="111"/>
        <v>2.8536391448381496E-2</v>
      </c>
    </row>
    <row r="4168" spans="7:8">
      <c r="G4168" s="171">
        <v>4165</v>
      </c>
      <c r="H4168" s="186">
        <f t="shared" ca="1" si="111"/>
        <v>1.3681376746143612E-2</v>
      </c>
    </row>
    <row r="4169" spans="7:8">
      <c r="G4169" s="171">
        <v>4166</v>
      </c>
      <c r="H4169" s="186">
        <f t="shared" ca="1" si="111"/>
        <v>-9.7043626137468322E-3</v>
      </c>
    </row>
    <row r="4170" spans="7:8">
      <c r="G4170" s="171">
        <v>4167</v>
      </c>
      <c r="H4170" s="186">
        <f t="shared" ca="1" si="111"/>
        <v>-1.1032369891134814E-2</v>
      </c>
    </row>
    <row r="4171" spans="7:8">
      <c r="G4171" s="171">
        <v>4168</v>
      </c>
      <c r="H4171" s="186">
        <f t="shared" ca="1" si="111"/>
        <v>-4.0783480590433048E-3</v>
      </c>
    </row>
    <row r="4172" spans="7:8">
      <c r="G4172" s="171">
        <v>4169</v>
      </c>
      <c r="H4172" s="186">
        <f t="shared" ca="1" si="111"/>
        <v>1.6235679815512574E-2</v>
      </c>
    </row>
    <row r="4173" spans="7:8">
      <c r="G4173" s="171">
        <v>4170</v>
      </c>
      <c r="H4173" s="186">
        <f t="shared" ca="1" si="111"/>
        <v>3.4972424444404314E-2</v>
      </c>
    </row>
    <row r="4174" spans="7:8">
      <c r="G4174" s="171">
        <v>4171</v>
      </c>
      <c r="H4174" s="186">
        <f t="shared" ca="1" si="111"/>
        <v>-1.0579750091961668E-2</v>
      </c>
    </row>
    <row r="4175" spans="7:8">
      <c r="G4175" s="171">
        <v>4172</v>
      </c>
      <c r="H4175" s="186">
        <f t="shared" ca="1" si="111"/>
        <v>1.3499365149839554E-3</v>
      </c>
    </row>
    <row r="4176" spans="7:8">
      <c r="G4176" s="171">
        <v>4173</v>
      </c>
      <c r="H4176" s="186">
        <f t="shared" ca="1" si="111"/>
        <v>-2.1615505692825988E-2</v>
      </c>
    </row>
    <row r="4177" spans="7:8">
      <c r="G4177" s="171">
        <v>4174</v>
      </c>
      <c r="H4177" s="186">
        <f t="shared" ca="1" si="111"/>
        <v>1.4246828431752434E-2</v>
      </c>
    </row>
    <row r="4178" spans="7:8">
      <c r="G4178" s="171">
        <v>4175</v>
      </c>
      <c r="H4178" s="186">
        <f t="shared" ca="1" si="111"/>
        <v>2.778982058990933E-3</v>
      </c>
    </row>
    <row r="4179" spans="7:8">
      <c r="G4179" s="171">
        <v>4176</v>
      </c>
      <c r="H4179" s="186">
        <f t="shared" ca="1" si="111"/>
        <v>2.0824473881351311E-3</v>
      </c>
    </row>
    <row r="4180" spans="7:8">
      <c r="G4180" s="171">
        <v>4177</v>
      </c>
      <c r="H4180" s="186">
        <f t="shared" ca="1" si="111"/>
        <v>1.0106532472560615E-2</v>
      </c>
    </row>
    <row r="4181" spans="7:8">
      <c r="G4181" s="171">
        <v>4178</v>
      </c>
      <c r="H4181" s="186">
        <f t="shared" ca="1" si="111"/>
        <v>2.5156463282996075E-2</v>
      </c>
    </row>
    <row r="4182" spans="7:8">
      <c r="G4182" s="171">
        <v>4179</v>
      </c>
      <c r="H4182" s="186">
        <f t="shared" ca="1" si="111"/>
        <v>3.6855799718199696E-2</v>
      </c>
    </row>
    <row r="4183" spans="7:8">
      <c r="G4183" s="171">
        <v>4180</v>
      </c>
      <c r="H4183" s="186">
        <f t="shared" ca="1" si="111"/>
        <v>-2.0682288254615211E-2</v>
      </c>
    </row>
    <row r="4184" spans="7:8">
      <c r="G4184" s="171">
        <v>4181</v>
      </c>
      <c r="H4184" s="186">
        <f t="shared" ca="1" si="111"/>
        <v>-6.5431553823673419E-3</v>
      </c>
    </row>
    <row r="4185" spans="7:8">
      <c r="G4185" s="171">
        <v>4182</v>
      </c>
      <c r="H4185" s="186">
        <f t="shared" ca="1" si="111"/>
        <v>-9.8592333829799449E-3</v>
      </c>
    </row>
    <row r="4186" spans="7:8">
      <c r="G4186" s="171">
        <v>4183</v>
      </c>
      <c r="H4186" s="186">
        <f t="shared" ca="1" si="111"/>
        <v>9.395197896281066E-3</v>
      </c>
    </row>
    <row r="4187" spans="7:8">
      <c r="G4187" s="171">
        <v>4184</v>
      </c>
      <c r="H4187" s="186">
        <f t="shared" ca="1" si="111"/>
        <v>-1.0454168346078464E-2</v>
      </c>
    </row>
    <row r="4188" spans="7:8">
      <c r="G4188" s="171">
        <v>4185</v>
      </c>
      <c r="H4188" s="186">
        <f t="shared" ca="1" si="111"/>
        <v>-1.1551261400466421E-2</v>
      </c>
    </row>
    <row r="4189" spans="7:8">
      <c r="G4189" s="171">
        <v>4186</v>
      </c>
      <c r="H4189" s="186">
        <f t="shared" ca="1" si="111"/>
        <v>6.0212136177955674E-3</v>
      </c>
    </row>
    <row r="4190" spans="7:8">
      <c r="G4190" s="171">
        <v>4187</v>
      </c>
      <c r="H4190" s="186">
        <f t="shared" ca="1" si="111"/>
        <v>-2.7264540439493962E-2</v>
      </c>
    </row>
    <row r="4191" spans="7:8">
      <c r="G4191" s="171">
        <v>4188</v>
      </c>
      <c r="H4191" s="186">
        <f t="shared" ca="1" si="111"/>
        <v>4.8796870724201451E-3</v>
      </c>
    </row>
    <row r="4192" spans="7:8">
      <c r="G4192" s="171">
        <v>4189</v>
      </c>
      <c r="H4192" s="186">
        <f t="shared" ca="1" si="111"/>
        <v>-1.3002414377808155E-2</v>
      </c>
    </row>
    <row r="4193" spans="7:8">
      <c r="G4193" s="171">
        <v>4190</v>
      </c>
      <c r="H4193" s="186">
        <f t="shared" ca="1" si="111"/>
        <v>1.562399196841938E-2</v>
      </c>
    </row>
    <row r="4194" spans="7:8">
      <c r="G4194" s="171">
        <v>4191</v>
      </c>
      <c r="H4194" s="186">
        <f t="shared" ca="1" si="111"/>
        <v>3.1580747886889193E-2</v>
      </c>
    </row>
    <row r="4195" spans="7:8">
      <c r="G4195" s="171">
        <v>4192</v>
      </c>
      <c r="H4195" s="186">
        <f t="shared" ca="1" si="111"/>
        <v>1.9713330677150302E-2</v>
      </c>
    </row>
    <row r="4196" spans="7:8">
      <c r="G4196" s="171">
        <v>4193</v>
      </c>
      <c r="H4196" s="186">
        <f t="shared" ca="1" si="111"/>
        <v>3.5054211366460247E-3</v>
      </c>
    </row>
    <row r="4197" spans="7:8">
      <c r="G4197" s="171">
        <v>4194</v>
      </c>
      <c r="H4197" s="186">
        <f t="shared" ca="1" si="111"/>
        <v>-2.0264778581641135E-2</v>
      </c>
    </row>
    <row r="4198" spans="7:8">
      <c r="G4198" s="171">
        <v>4195</v>
      </c>
      <c r="H4198" s="186">
        <f t="shared" ca="1" si="111"/>
        <v>2.2071264914633737E-2</v>
      </c>
    </row>
    <row r="4199" spans="7:8">
      <c r="G4199" s="171">
        <v>4196</v>
      </c>
      <c r="H4199" s="186">
        <f t="shared" ca="1" si="111"/>
        <v>9.7377408868717799E-4</v>
      </c>
    </row>
    <row r="4200" spans="7:8">
      <c r="G4200" s="171">
        <v>4197</v>
      </c>
      <c r="H4200" s="186">
        <f t="shared" ca="1" si="111"/>
        <v>-2.5532300754920231E-2</v>
      </c>
    </row>
    <row r="4201" spans="7:8">
      <c r="G4201" s="171">
        <v>4198</v>
      </c>
      <c r="H4201" s="186">
        <f t="shared" ca="1" si="111"/>
        <v>1.2412783104181022E-2</v>
      </c>
    </row>
    <row r="4202" spans="7:8">
      <c r="G4202" s="171">
        <v>4199</v>
      </c>
      <c r="H4202" s="186">
        <f t="shared" ca="1" si="111"/>
        <v>-4.4511831391178544E-3</v>
      </c>
    </row>
    <row r="4203" spans="7:8">
      <c r="G4203" s="171">
        <v>4200</v>
      </c>
      <c r="H4203" s="186">
        <f t="shared" ca="1" si="111"/>
        <v>-1.1582325871842777E-3</v>
      </c>
    </row>
    <row r="4204" spans="7:8">
      <c r="G4204" s="171">
        <v>4201</v>
      </c>
      <c r="H4204" s="186">
        <f t="shared" ca="1" si="111"/>
        <v>-3.3008838557154752E-2</v>
      </c>
    </row>
    <row r="4205" spans="7:8">
      <c r="G4205" s="171">
        <v>4202</v>
      </c>
      <c r="H4205" s="186">
        <f t="shared" ca="1" si="111"/>
        <v>1.1220801994729475E-2</v>
      </c>
    </row>
    <row r="4206" spans="7:8">
      <c r="G4206" s="171">
        <v>4203</v>
      </c>
      <c r="H4206" s="186">
        <f t="shared" ca="1" si="111"/>
        <v>-2.4842900033641736E-2</v>
      </c>
    </row>
    <row r="4207" spans="7:8">
      <c r="G4207" s="171">
        <v>4204</v>
      </c>
      <c r="H4207" s="186">
        <f t="shared" ca="1" si="111"/>
        <v>4.3745602675975036E-3</v>
      </c>
    </row>
    <row r="4208" spans="7:8">
      <c r="G4208" s="171">
        <v>4205</v>
      </c>
      <c r="H4208" s="186">
        <f t="shared" ca="1" si="111"/>
        <v>-2.0221674205338162E-3</v>
      </c>
    </row>
    <row r="4209" spans="7:8">
      <c r="G4209" s="171">
        <v>4206</v>
      </c>
      <c r="H4209" s="186">
        <f t="shared" ca="1" si="111"/>
        <v>-2.0218587363204928E-2</v>
      </c>
    </row>
    <row r="4210" spans="7:8">
      <c r="G4210" s="171">
        <v>4207</v>
      </c>
      <c r="H4210" s="186">
        <f t="shared" ca="1" si="111"/>
        <v>-3.7420558037353953E-3</v>
      </c>
    </row>
    <row r="4211" spans="7:8">
      <c r="G4211" s="171">
        <v>4208</v>
      </c>
      <c r="H4211" s="186">
        <f t="shared" ca="1" si="111"/>
        <v>-1.0291045169131718E-2</v>
      </c>
    </row>
    <row r="4212" spans="7:8">
      <c r="G4212" s="171">
        <v>4209</v>
      </c>
      <c r="H4212" s="186">
        <f t="shared" ca="1" si="111"/>
        <v>2.2246032247675969E-2</v>
      </c>
    </row>
    <row r="4213" spans="7:8">
      <c r="G4213" s="171">
        <v>4210</v>
      </c>
      <c r="H4213" s="186">
        <f t="shared" ca="1" si="111"/>
        <v>-1.293246300820121E-3</v>
      </c>
    </row>
    <row r="4214" spans="7:8">
      <c r="G4214" s="171">
        <v>4211</v>
      </c>
      <c r="H4214" s="186">
        <f t="shared" ca="1" si="111"/>
        <v>-9.6271340231272699E-3</v>
      </c>
    </row>
    <row r="4215" spans="7:8">
      <c r="G4215" s="171">
        <v>4212</v>
      </c>
      <c r="H4215" s="186">
        <f t="shared" ca="1" si="111"/>
        <v>2.2883150460422542E-2</v>
      </c>
    </row>
    <row r="4216" spans="7:8">
      <c r="G4216" s="171">
        <v>4213</v>
      </c>
      <c r="H4216" s="186">
        <f t="shared" ca="1" si="111"/>
        <v>-7.9099628732275957E-3</v>
      </c>
    </row>
    <row r="4217" spans="7:8">
      <c r="G4217" s="171">
        <v>4214</v>
      </c>
      <c r="H4217" s="186">
        <f t="shared" ca="1" si="111"/>
        <v>-5.128006640731239E-3</v>
      </c>
    </row>
    <row r="4218" spans="7:8">
      <c r="G4218" s="171">
        <v>4215</v>
      </c>
      <c r="H4218" s="186">
        <f t="shared" ca="1" si="111"/>
        <v>-6.2289455522571288E-4</v>
      </c>
    </row>
    <row r="4219" spans="7:8">
      <c r="G4219" s="171">
        <v>4216</v>
      </c>
      <c r="H4219" s="186">
        <f t="shared" ca="1" si="111"/>
        <v>1.3779469199214765E-2</v>
      </c>
    </row>
    <row r="4220" spans="7:8">
      <c r="G4220" s="171">
        <v>4217</v>
      </c>
      <c r="H4220" s="186">
        <f t="shared" ca="1" si="111"/>
        <v>8.7514083184418289E-3</v>
      </c>
    </row>
    <row r="4221" spans="7:8">
      <c r="G4221" s="171">
        <v>4218</v>
      </c>
      <c r="H4221" s="186">
        <f t="shared" ca="1" si="111"/>
        <v>-2.0682710014286194E-2</v>
      </c>
    </row>
    <row r="4222" spans="7:8">
      <c r="G4222" s="171">
        <v>4219</v>
      </c>
      <c r="H4222" s="186">
        <f t="shared" ca="1" si="111"/>
        <v>9.9924061076391499E-3</v>
      </c>
    </row>
    <row r="4223" spans="7:8">
      <c r="G4223" s="171">
        <v>4220</v>
      </c>
      <c r="H4223" s="186">
        <f t="shared" ca="1" si="111"/>
        <v>2.7337335802319752E-3</v>
      </c>
    </row>
    <row r="4224" spans="7:8">
      <c r="G4224" s="171">
        <v>4221</v>
      </c>
      <c r="H4224" s="186">
        <f t="shared" ca="1" si="111"/>
        <v>-1.518233947501766E-2</v>
      </c>
    </row>
    <row r="4225" spans="7:8">
      <c r="G4225" s="171">
        <v>4222</v>
      </c>
      <c r="H4225" s="186">
        <f t="shared" ca="1" si="111"/>
        <v>-9.619979957791687E-3</v>
      </c>
    </row>
    <row r="4226" spans="7:8">
      <c r="G4226" s="171">
        <v>4223</v>
      </c>
      <c r="H4226" s="186">
        <f t="shared" ca="1" si="111"/>
        <v>-3.9449257580422255E-3</v>
      </c>
    </row>
    <row r="4227" spans="7:8">
      <c r="G4227" s="171">
        <v>4224</v>
      </c>
      <c r="H4227" s="186">
        <f t="shared" ca="1" si="111"/>
        <v>1.3939388864301084E-2</v>
      </c>
    </row>
    <row r="4228" spans="7:8">
      <c r="G4228" s="171">
        <v>4225</v>
      </c>
      <c r="H4228" s="186">
        <f t="shared" ca="1" si="111"/>
        <v>-1.172065915059463E-2</v>
      </c>
    </row>
    <row r="4229" spans="7:8">
      <c r="G4229" s="171">
        <v>4226</v>
      </c>
      <c r="H4229" s="186">
        <f t="shared" ref="H4229:H4292" ca="1" si="112">_xlfn.NORM.INV(RAND(),N$6,N$7)</f>
        <v>5.21365075393611E-3</v>
      </c>
    </row>
    <row r="4230" spans="7:8">
      <c r="G4230" s="171">
        <v>4227</v>
      </c>
      <c r="H4230" s="186">
        <f t="shared" ca="1" si="112"/>
        <v>4.7518850121636364E-4</v>
      </c>
    </row>
    <row r="4231" spans="7:8">
      <c r="G4231" s="171">
        <v>4228</v>
      </c>
      <c r="H4231" s="186">
        <f t="shared" ca="1" si="112"/>
        <v>-4.4238308229169881E-3</v>
      </c>
    </row>
    <row r="4232" spans="7:8">
      <c r="G4232" s="171">
        <v>4229</v>
      </c>
      <c r="H4232" s="186">
        <f t="shared" ca="1" si="112"/>
        <v>-1.5489932132061675E-2</v>
      </c>
    </row>
    <row r="4233" spans="7:8">
      <c r="G4233" s="171">
        <v>4230</v>
      </c>
      <c r="H4233" s="186">
        <f t="shared" ca="1" si="112"/>
        <v>4.6811671731580393E-2</v>
      </c>
    </row>
    <row r="4234" spans="7:8">
      <c r="G4234" s="171">
        <v>4231</v>
      </c>
      <c r="H4234" s="186">
        <f t="shared" ca="1" si="112"/>
        <v>-1.1355979239493922E-2</v>
      </c>
    </row>
    <row r="4235" spans="7:8">
      <c r="G4235" s="171">
        <v>4232</v>
      </c>
      <c r="H4235" s="186">
        <f t="shared" ca="1" si="112"/>
        <v>-2.4257113129946266E-2</v>
      </c>
    </row>
    <row r="4236" spans="7:8">
      <c r="G4236" s="171">
        <v>4233</v>
      </c>
      <c r="H4236" s="186">
        <f t="shared" ca="1" si="112"/>
        <v>1.1631854121628763E-2</v>
      </c>
    </row>
    <row r="4237" spans="7:8">
      <c r="G4237" s="171">
        <v>4234</v>
      </c>
      <c r="H4237" s="186">
        <f t="shared" ca="1" si="112"/>
        <v>-1.7216679007457974E-2</v>
      </c>
    </row>
    <row r="4238" spans="7:8">
      <c r="G4238" s="171">
        <v>4235</v>
      </c>
      <c r="H4238" s="186">
        <f t="shared" ca="1" si="112"/>
        <v>-5.4650038639174033E-3</v>
      </c>
    </row>
    <row r="4239" spans="7:8">
      <c r="G4239" s="171">
        <v>4236</v>
      </c>
      <c r="H4239" s="186">
        <f t="shared" ca="1" si="112"/>
        <v>-1.4225772479861939E-2</v>
      </c>
    </row>
    <row r="4240" spans="7:8">
      <c r="G4240" s="171">
        <v>4237</v>
      </c>
      <c r="H4240" s="186">
        <f t="shared" ca="1" si="112"/>
        <v>-2.3377627904206237E-3</v>
      </c>
    </row>
    <row r="4241" spans="7:8">
      <c r="G4241" s="171">
        <v>4238</v>
      </c>
      <c r="H4241" s="186">
        <f t="shared" ca="1" si="112"/>
        <v>-1.5485330003227896E-2</v>
      </c>
    </row>
    <row r="4242" spans="7:8">
      <c r="G4242" s="171">
        <v>4239</v>
      </c>
      <c r="H4242" s="186">
        <f t="shared" ca="1" si="112"/>
        <v>-2.9639286042017821E-3</v>
      </c>
    </row>
    <row r="4243" spans="7:8">
      <c r="G4243" s="171">
        <v>4240</v>
      </c>
      <c r="H4243" s="186">
        <f t="shared" ca="1" si="112"/>
        <v>2.7872069902645263E-2</v>
      </c>
    </row>
    <row r="4244" spans="7:8">
      <c r="G4244" s="171">
        <v>4241</v>
      </c>
      <c r="H4244" s="186">
        <f t="shared" ca="1" si="112"/>
        <v>6.8805153335198968E-3</v>
      </c>
    </row>
    <row r="4245" spans="7:8">
      <c r="G4245" s="171">
        <v>4242</v>
      </c>
      <c r="H4245" s="186">
        <f t="shared" ca="1" si="112"/>
        <v>-1.6192252084175022E-2</v>
      </c>
    </row>
    <row r="4246" spans="7:8">
      <c r="G4246" s="171">
        <v>4243</v>
      </c>
      <c r="H4246" s="186">
        <f t="shared" ca="1" si="112"/>
        <v>1.8411719137952098E-2</v>
      </c>
    </row>
    <row r="4247" spans="7:8">
      <c r="G4247" s="171">
        <v>4244</v>
      </c>
      <c r="H4247" s="186">
        <f t="shared" ca="1" si="112"/>
        <v>-1.1826860471713859E-2</v>
      </c>
    </row>
    <row r="4248" spans="7:8">
      <c r="G4248" s="171">
        <v>4245</v>
      </c>
      <c r="H4248" s="186">
        <f t="shared" ca="1" si="112"/>
        <v>5.7431411527445538E-4</v>
      </c>
    </row>
    <row r="4249" spans="7:8">
      <c r="G4249" s="171">
        <v>4246</v>
      </c>
      <c r="H4249" s="186">
        <f t="shared" ca="1" si="112"/>
        <v>1.4460108506206468E-2</v>
      </c>
    </row>
    <row r="4250" spans="7:8">
      <c r="G4250" s="171">
        <v>4247</v>
      </c>
      <c r="H4250" s="186">
        <f t="shared" ca="1" si="112"/>
        <v>-1.647161680570693E-2</v>
      </c>
    </row>
    <row r="4251" spans="7:8">
      <c r="G4251" s="171">
        <v>4248</v>
      </c>
      <c r="H4251" s="186">
        <f t="shared" ca="1" si="112"/>
        <v>1.3439974638118402E-2</v>
      </c>
    </row>
    <row r="4252" spans="7:8">
      <c r="G4252" s="171">
        <v>4249</v>
      </c>
      <c r="H4252" s="186">
        <f t="shared" ca="1" si="112"/>
        <v>3.1998645979002087E-2</v>
      </c>
    </row>
    <row r="4253" spans="7:8">
      <c r="G4253" s="171">
        <v>4250</v>
      </c>
      <c r="H4253" s="186">
        <f t="shared" ca="1" si="112"/>
        <v>-2.8661105735752735E-4</v>
      </c>
    </row>
    <row r="4254" spans="7:8">
      <c r="G4254" s="171">
        <v>4251</v>
      </c>
      <c r="H4254" s="186">
        <f t="shared" ca="1" si="112"/>
        <v>-2.2555882007973375E-2</v>
      </c>
    </row>
    <row r="4255" spans="7:8">
      <c r="G4255" s="171">
        <v>4252</v>
      </c>
      <c r="H4255" s="186">
        <f t="shared" ca="1" si="112"/>
        <v>2.1189696527793605E-2</v>
      </c>
    </row>
    <row r="4256" spans="7:8">
      <c r="G4256" s="171">
        <v>4253</v>
      </c>
      <c r="H4256" s="186">
        <f t="shared" ca="1" si="112"/>
        <v>5.2515809398470791E-3</v>
      </c>
    </row>
    <row r="4257" spans="7:8">
      <c r="G4257" s="171">
        <v>4254</v>
      </c>
      <c r="H4257" s="186">
        <f t="shared" ca="1" si="112"/>
        <v>-2.2302363575161781E-2</v>
      </c>
    </row>
    <row r="4258" spans="7:8">
      <c r="G4258" s="171">
        <v>4255</v>
      </c>
      <c r="H4258" s="186">
        <f t="shared" ca="1" si="112"/>
        <v>-1.1714388375096769E-2</v>
      </c>
    </row>
    <row r="4259" spans="7:8">
      <c r="G4259" s="171">
        <v>4256</v>
      </c>
      <c r="H4259" s="186">
        <f t="shared" ca="1" si="112"/>
        <v>2.3686809233416442E-3</v>
      </c>
    </row>
    <row r="4260" spans="7:8">
      <c r="G4260" s="171">
        <v>4257</v>
      </c>
      <c r="H4260" s="186">
        <f t="shared" ca="1" si="112"/>
        <v>5.6941513437998251E-3</v>
      </c>
    </row>
    <row r="4261" spans="7:8">
      <c r="G4261" s="171">
        <v>4258</v>
      </c>
      <c r="H4261" s="186">
        <f t="shared" ca="1" si="112"/>
        <v>-1.241083501680324E-3</v>
      </c>
    </row>
    <row r="4262" spans="7:8">
      <c r="G4262" s="171">
        <v>4259</v>
      </c>
      <c r="H4262" s="186">
        <f t="shared" ca="1" si="112"/>
        <v>-6.7319158014260026E-3</v>
      </c>
    </row>
    <row r="4263" spans="7:8">
      <c r="G4263" s="171">
        <v>4260</v>
      </c>
      <c r="H4263" s="186">
        <f t="shared" ca="1" si="112"/>
        <v>1.8995192927382859E-2</v>
      </c>
    </row>
    <row r="4264" spans="7:8">
      <c r="G4264" s="171">
        <v>4261</v>
      </c>
      <c r="H4264" s="186">
        <f t="shared" ca="1" si="112"/>
        <v>1.0036241667328836E-2</v>
      </c>
    </row>
    <row r="4265" spans="7:8">
      <c r="G4265" s="171">
        <v>4262</v>
      </c>
      <c r="H4265" s="186">
        <f t="shared" ca="1" si="112"/>
        <v>1.5291558101288842E-2</v>
      </c>
    </row>
    <row r="4266" spans="7:8">
      <c r="G4266" s="171">
        <v>4263</v>
      </c>
      <c r="H4266" s="186">
        <f t="shared" ca="1" si="112"/>
        <v>5.3403047978793491E-3</v>
      </c>
    </row>
    <row r="4267" spans="7:8">
      <c r="G4267" s="171">
        <v>4264</v>
      </c>
      <c r="H4267" s="186">
        <f t="shared" ca="1" si="112"/>
        <v>5.7972527692831755E-3</v>
      </c>
    </row>
    <row r="4268" spans="7:8">
      <c r="G4268" s="171">
        <v>4265</v>
      </c>
      <c r="H4268" s="186">
        <f t="shared" ca="1" si="112"/>
        <v>-7.0454320933334598E-3</v>
      </c>
    </row>
    <row r="4269" spans="7:8">
      <c r="G4269" s="171">
        <v>4266</v>
      </c>
      <c r="H4269" s="186">
        <f t="shared" ca="1" si="112"/>
        <v>-7.4498476916931627E-3</v>
      </c>
    </row>
    <row r="4270" spans="7:8">
      <c r="G4270" s="171">
        <v>4267</v>
      </c>
      <c r="H4270" s="186">
        <f t="shared" ca="1" si="112"/>
        <v>-1.5066170671876128E-2</v>
      </c>
    </row>
    <row r="4271" spans="7:8">
      <c r="G4271" s="171">
        <v>4268</v>
      </c>
      <c r="H4271" s="186">
        <f t="shared" ca="1" si="112"/>
        <v>3.4861114523334326E-2</v>
      </c>
    </row>
    <row r="4272" spans="7:8">
      <c r="G4272" s="171">
        <v>4269</v>
      </c>
      <c r="H4272" s="186">
        <f t="shared" ca="1" si="112"/>
        <v>1.0926608662506125E-3</v>
      </c>
    </row>
    <row r="4273" spans="7:8">
      <c r="G4273" s="171">
        <v>4270</v>
      </c>
      <c r="H4273" s="186">
        <f t="shared" ca="1" si="112"/>
        <v>8.5602281391037489E-3</v>
      </c>
    </row>
    <row r="4274" spans="7:8">
      <c r="G4274" s="171">
        <v>4271</v>
      </c>
      <c r="H4274" s="186">
        <f t="shared" ca="1" si="112"/>
        <v>-8.4515977722935572E-3</v>
      </c>
    </row>
    <row r="4275" spans="7:8">
      <c r="G4275" s="171">
        <v>4272</v>
      </c>
      <c r="H4275" s="186">
        <f t="shared" ca="1" si="112"/>
        <v>-5.4634139401552951E-3</v>
      </c>
    </row>
    <row r="4276" spans="7:8">
      <c r="G4276" s="171">
        <v>4273</v>
      </c>
      <c r="H4276" s="186">
        <f t="shared" ca="1" si="112"/>
        <v>-2.7832808068861022E-2</v>
      </c>
    </row>
    <row r="4277" spans="7:8">
      <c r="G4277" s="171">
        <v>4274</v>
      </c>
      <c r="H4277" s="186">
        <f t="shared" ca="1" si="112"/>
        <v>1.2971684514292949E-2</v>
      </c>
    </row>
    <row r="4278" spans="7:8">
      <c r="G4278" s="171">
        <v>4275</v>
      </c>
      <c r="H4278" s="186">
        <f t="shared" ca="1" si="112"/>
        <v>-8.8538401267487798E-3</v>
      </c>
    </row>
    <row r="4279" spans="7:8">
      <c r="G4279" s="171">
        <v>4276</v>
      </c>
      <c r="H4279" s="186">
        <f t="shared" ca="1" si="112"/>
        <v>-1.51340463655108E-3</v>
      </c>
    </row>
    <row r="4280" spans="7:8">
      <c r="G4280" s="171">
        <v>4277</v>
      </c>
      <c r="H4280" s="186">
        <f t="shared" ca="1" si="112"/>
        <v>2.2063499674600057E-2</v>
      </c>
    </row>
    <row r="4281" spans="7:8">
      <c r="G4281" s="171">
        <v>4278</v>
      </c>
      <c r="H4281" s="186">
        <f t="shared" ca="1" si="112"/>
        <v>-9.4927881065313292E-3</v>
      </c>
    </row>
    <row r="4282" spans="7:8">
      <c r="G4282" s="171">
        <v>4279</v>
      </c>
      <c r="H4282" s="186">
        <f t="shared" ca="1" si="112"/>
        <v>3.4801014220827626E-3</v>
      </c>
    </row>
    <row r="4283" spans="7:8">
      <c r="G4283" s="171">
        <v>4280</v>
      </c>
      <c r="H4283" s="186">
        <f t="shared" ca="1" si="112"/>
        <v>-9.0666707115491518E-3</v>
      </c>
    </row>
    <row r="4284" spans="7:8">
      <c r="G4284" s="171">
        <v>4281</v>
      </c>
      <c r="H4284" s="186">
        <f t="shared" ca="1" si="112"/>
        <v>2.7428446872408945E-4</v>
      </c>
    </row>
    <row r="4285" spans="7:8">
      <c r="G4285" s="171">
        <v>4282</v>
      </c>
      <c r="H4285" s="186">
        <f t="shared" ca="1" si="112"/>
        <v>2.7239854599360146E-3</v>
      </c>
    </row>
    <row r="4286" spans="7:8">
      <c r="G4286" s="171">
        <v>4283</v>
      </c>
      <c r="H4286" s="186">
        <f t="shared" ca="1" si="112"/>
        <v>1.1312867811760054E-2</v>
      </c>
    </row>
    <row r="4287" spans="7:8">
      <c r="G4287" s="171">
        <v>4284</v>
      </c>
      <c r="H4287" s="186">
        <f t="shared" ca="1" si="112"/>
        <v>3.6003301478359454E-3</v>
      </c>
    </row>
    <row r="4288" spans="7:8">
      <c r="G4288" s="171">
        <v>4285</v>
      </c>
      <c r="H4288" s="186">
        <f t="shared" ca="1" si="112"/>
        <v>6.4392767046355381E-3</v>
      </c>
    </row>
    <row r="4289" spans="7:8">
      <c r="G4289" s="171">
        <v>4286</v>
      </c>
      <c r="H4289" s="186">
        <f t="shared" ca="1" si="112"/>
        <v>-7.7352660552137539E-3</v>
      </c>
    </row>
    <row r="4290" spans="7:8">
      <c r="G4290" s="171">
        <v>4287</v>
      </c>
      <c r="H4290" s="186">
        <f t="shared" ca="1" si="112"/>
        <v>-1.5312982654737361E-2</v>
      </c>
    </row>
    <row r="4291" spans="7:8">
      <c r="G4291" s="171">
        <v>4288</v>
      </c>
      <c r="H4291" s="186">
        <f t="shared" ca="1" si="112"/>
        <v>4.0399716565951288E-3</v>
      </c>
    </row>
    <row r="4292" spans="7:8">
      <c r="G4292" s="171">
        <v>4289</v>
      </c>
      <c r="H4292" s="186">
        <f t="shared" ca="1" si="112"/>
        <v>-8.873880532900039E-3</v>
      </c>
    </row>
    <row r="4293" spans="7:8">
      <c r="G4293" s="171">
        <v>4290</v>
      </c>
      <c r="H4293" s="186">
        <f t="shared" ref="H4293:H4356" ca="1" si="113">_xlfn.NORM.INV(RAND(),N$6,N$7)</f>
        <v>-7.7122205584614903E-3</v>
      </c>
    </row>
    <row r="4294" spans="7:8">
      <c r="G4294" s="171">
        <v>4291</v>
      </c>
      <c r="H4294" s="186">
        <f t="shared" ca="1" si="113"/>
        <v>-2.3216708030218639E-3</v>
      </c>
    </row>
    <row r="4295" spans="7:8">
      <c r="G4295" s="171">
        <v>4292</v>
      </c>
      <c r="H4295" s="186">
        <f t="shared" ca="1" si="113"/>
        <v>-2.0808019665787228E-2</v>
      </c>
    </row>
    <row r="4296" spans="7:8">
      <c r="G4296" s="171">
        <v>4293</v>
      </c>
      <c r="H4296" s="186">
        <f t="shared" ca="1" si="113"/>
        <v>-6.0030687982999967E-3</v>
      </c>
    </row>
    <row r="4297" spans="7:8">
      <c r="G4297" s="171">
        <v>4294</v>
      </c>
      <c r="H4297" s="186">
        <f t="shared" ca="1" si="113"/>
        <v>-1.6412229764671358E-2</v>
      </c>
    </row>
    <row r="4298" spans="7:8">
      <c r="G4298" s="171">
        <v>4295</v>
      </c>
      <c r="H4298" s="186">
        <f t="shared" ca="1" si="113"/>
        <v>-2.1541978572373888E-2</v>
      </c>
    </row>
    <row r="4299" spans="7:8">
      <c r="G4299" s="171">
        <v>4296</v>
      </c>
      <c r="H4299" s="186">
        <f t="shared" ca="1" si="113"/>
        <v>-7.3863936238024565E-3</v>
      </c>
    </row>
    <row r="4300" spans="7:8">
      <c r="G4300" s="171">
        <v>4297</v>
      </c>
      <c r="H4300" s="186">
        <f t="shared" ca="1" si="113"/>
        <v>-2.7559750428887454E-2</v>
      </c>
    </row>
    <row r="4301" spans="7:8">
      <c r="G4301" s="171">
        <v>4298</v>
      </c>
      <c r="H4301" s="186">
        <f t="shared" ca="1" si="113"/>
        <v>8.2036838345343772E-3</v>
      </c>
    </row>
    <row r="4302" spans="7:8">
      <c r="G4302" s="171">
        <v>4299</v>
      </c>
      <c r="H4302" s="186">
        <f t="shared" ca="1" si="113"/>
        <v>-1.758941253981381E-2</v>
      </c>
    </row>
    <row r="4303" spans="7:8">
      <c r="G4303" s="171">
        <v>4300</v>
      </c>
      <c r="H4303" s="186">
        <f t="shared" ca="1" si="113"/>
        <v>2.6051327205986591E-2</v>
      </c>
    </row>
    <row r="4304" spans="7:8">
      <c r="G4304" s="171">
        <v>4301</v>
      </c>
      <c r="H4304" s="186">
        <f t="shared" ca="1" si="113"/>
        <v>1.8481001426648727E-2</v>
      </c>
    </row>
    <row r="4305" spans="7:8">
      <c r="G4305" s="171">
        <v>4302</v>
      </c>
      <c r="H4305" s="186">
        <f t="shared" ca="1" si="113"/>
        <v>1.1423785845540357E-2</v>
      </c>
    </row>
    <row r="4306" spans="7:8">
      <c r="G4306" s="171">
        <v>4303</v>
      </c>
      <c r="H4306" s="186">
        <f t="shared" ca="1" si="113"/>
        <v>3.9758134171489195E-3</v>
      </c>
    </row>
    <row r="4307" spans="7:8">
      <c r="G4307" s="171">
        <v>4304</v>
      </c>
      <c r="H4307" s="186">
        <f t="shared" ca="1" si="113"/>
        <v>5.9975011768448128E-3</v>
      </c>
    </row>
    <row r="4308" spans="7:8">
      <c r="G4308" s="171">
        <v>4305</v>
      </c>
      <c r="H4308" s="186">
        <f t="shared" ca="1" si="113"/>
        <v>7.3885947471140721E-3</v>
      </c>
    </row>
    <row r="4309" spans="7:8">
      <c r="G4309" s="171">
        <v>4306</v>
      </c>
      <c r="H4309" s="186">
        <f t="shared" ca="1" si="113"/>
        <v>-3.9000138291589194E-3</v>
      </c>
    </row>
    <row r="4310" spans="7:8">
      <c r="G4310" s="171">
        <v>4307</v>
      </c>
      <c r="H4310" s="186">
        <f t="shared" ca="1" si="113"/>
        <v>2.1691012668453118E-2</v>
      </c>
    </row>
    <row r="4311" spans="7:8">
      <c r="G4311" s="171">
        <v>4308</v>
      </c>
      <c r="H4311" s="186">
        <f t="shared" ca="1" si="113"/>
        <v>-4.5351748441514036E-3</v>
      </c>
    </row>
    <row r="4312" spans="7:8">
      <c r="G4312" s="171">
        <v>4309</v>
      </c>
      <c r="H4312" s="186">
        <f t="shared" ca="1" si="113"/>
        <v>-7.6188054543130238E-4</v>
      </c>
    </row>
    <row r="4313" spans="7:8">
      <c r="G4313" s="171">
        <v>4310</v>
      </c>
      <c r="H4313" s="186">
        <f t="shared" ca="1" si="113"/>
        <v>2.4316768996397602E-2</v>
      </c>
    </row>
    <row r="4314" spans="7:8">
      <c r="G4314" s="171">
        <v>4311</v>
      </c>
      <c r="H4314" s="186">
        <f t="shared" ca="1" si="113"/>
        <v>-5.7901301148440727E-3</v>
      </c>
    </row>
    <row r="4315" spans="7:8">
      <c r="G4315" s="171">
        <v>4312</v>
      </c>
      <c r="H4315" s="186">
        <f t="shared" ca="1" si="113"/>
        <v>-2.7099200097680234E-3</v>
      </c>
    </row>
    <row r="4316" spans="7:8">
      <c r="G4316" s="171">
        <v>4313</v>
      </c>
      <c r="H4316" s="186">
        <f t="shared" ca="1" si="113"/>
        <v>-8.9131597084363898E-3</v>
      </c>
    </row>
    <row r="4317" spans="7:8">
      <c r="G4317" s="171">
        <v>4314</v>
      </c>
      <c r="H4317" s="186">
        <f t="shared" ca="1" si="113"/>
        <v>-1.2170473762237925E-2</v>
      </c>
    </row>
    <row r="4318" spans="7:8">
      <c r="G4318" s="171">
        <v>4315</v>
      </c>
      <c r="H4318" s="186">
        <f t="shared" ca="1" si="113"/>
        <v>-1.3365541486702092E-2</v>
      </c>
    </row>
    <row r="4319" spans="7:8">
      <c r="G4319" s="171">
        <v>4316</v>
      </c>
      <c r="H4319" s="186">
        <f t="shared" ca="1" si="113"/>
        <v>5.9316365027636255E-4</v>
      </c>
    </row>
    <row r="4320" spans="7:8">
      <c r="G4320" s="171">
        <v>4317</v>
      </c>
      <c r="H4320" s="186">
        <f t="shared" ca="1" si="113"/>
        <v>-5.3866913800116288E-3</v>
      </c>
    </row>
    <row r="4321" spans="7:8">
      <c r="G4321" s="171">
        <v>4318</v>
      </c>
      <c r="H4321" s="186">
        <f t="shared" ca="1" si="113"/>
        <v>2.6953319749231246E-2</v>
      </c>
    </row>
    <row r="4322" spans="7:8">
      <c r="G4322" s="171">
        <v>4319</v>
      </c>
      <c r="H4322" s="186">
        <f t="shared" ca="1" si="113"/>
        <v>1.8766204143197365E-2</v>
      </c>
    </row>
    <row r="4323" spans="7:8">
      <c r="G4323" s="171">
        <v>4320</v>
      </c>
      <c r="H4323" s="186">
        <f t="shared" ca="1" si="113"/>
        <v>-4.8814577304580279E-3</v>
      </c>
    </row>
    <row r="4324" spans="7:8">
      <c r="G4324" s="171">
        <v>4321</v>
      </c>
      <c r="H4324" s="186">
        <f t="shared" ca="1" si="113"/>
        <v>4.7036380625304387E-3</v>
      </c>
    </row>
    <row r="4325" spans="7:8">
      <c r="G4325" s="171">
        <v>4322</v>
      </c>
      <c r="H4325" s="186">
        <f t="shared" ca="1" si="113"/>
        <v>-1.8798985151424558E-2</v>
      </c>
    </row>
    <row r="4326" spans="7:8">
      <c r="G4326" s="171">
        <v>4323</v>
      </c>
      <c r="H4326" s="186">
        <f t="shared" ca="1" si="113"/>
        <v>-1.2849388060484499E-2</v>
      </c>
    </row>
    <row r="4327" spans="7:8">
      <c r="G4327" s="171">
        <v>4324</v>
      </c>
      <c r="H4327" s="186">
        <f t="shared" ca="1" si="113"/>
        <v>2.9787003064093613E-3</v>
      </c>
    </row>
    <row r="4328" spans="7:8">
      <c r="G4328" s="171">
        <v>4325</v>
      </c>
      <c r="H4328" s="186">
        <f t="shared" ca="1" si="113"/>
        <v>-1.1920240026920031E-2</v>
      </c>
    </row>
    <row r="4329" spans="7:8">
      <c r="G4329" s="171">
        <v>4326</v>
      </c>
      <c r="H4329" s="186">
        <f t="shared" ca="1" si="113"/>
        <v>1.4749680879678678E-2</v>
      </c>
    </row>
    <row r="4330" spans="7:8">
      <c r="G4330" s="171">
        <v>4327</v>
      </c>
      <c r="H4330" s="186">
        <f t="shared" ca="1" si="113"/>
        <v>-9.2448727576018904E-3</v>
      </c>
    </row>
    <row r="4331" spans="7:8">
      <c r="G4331" s="171">
        <v>4328</v>
      </c>
      <c r="H4331" s="186">
        <f t="shared" ca="1" si="113"/>
        <v>-9.5046533225745904E-3</v>
      </c>
    </row>
    <row r="4332" spans="7:8">
      <c r="G4332" s="171">
        <v>4329</v>
      </c>
      <c r="H4332" s="186">
        <f t="shared" ca="1" si="113"/>
        <v>-8.1821833915342364E-3</v>
      </c>
    </row>
    <row r="4333" spans="7:8">
      <c r="G4333" s="171">
        <v>4330</v>
      </c>
      <c r="H4333" s="186">
        <f t="shared" ca="1" si="113"/>
        <v>1.6711438482968116E-3</v>
      </c>
    </row>
    <row r="4334" spans="7:8">
      <c r="G4334" s="171">
        <v>4331</v>
      </c>
      <c r="H4334" s="186">
        <f t="shared" ca="1" si="113"/>
        <v>3.3843723583900634E-3</v>
      </c>
    </row>
    <row r="4335" spans="7:8">
      <c r="G4335" s="171">
        <v>4332</v>
      </c>
      <c r="H4335" s="186">
        <f t="shared" ca="1" si="113"/>
        <v>7.3709654420620104E-3</v>
      </c>
    </row>
    <row r="4336" spans="7:8">
      <c r="G4336" s="171">
        <v>4333</v>
      </c>
      <c r="H4336" s="186">
        <f t="shared" ca="1" si="113"/>
        <v>-5.6760799528360467E-3</v>
      </c>
    </row>
    <row r="4337" spans="7:8">
      <c r="G4337" s="171">
        <v>4334</v>
      </c>
      <c r="H4337" s="186">
        <f t="shared" ca="1" si="113"/>
        <v>1.5334296957295801E-2</v>
      </c>
    </row>
    <row r="4338" spans="7:8">
      <c r="G4338" s="171">
        <v>4335</v>
      </c>
      <c r="H4338" s="186">
        <f t="shared" ca="1" si="113"/>
        <v>-4.245945881221529E-3</v>
      </c>
    </row>
    <row r="4339" spans="7:8">
      <c r="G4339" s="171">
        <v>4336</v>
      </c>
      <c r="H4339" s="186">
        <f t="shared" ca="1" si="113"/>
        <v>-9.1492593968904839E-3</v>
      </c>
    </row>
    <row r="4340" spans="7:8">
      <c r="G4340" s="171">
        <v>4337</v>
      </c>
      <c r="H4340" s="186">
        <f t="shared" ca="1" si="113"/>
        <v>-8.3760854922098182E-3</v>
      </c>
    </row>
    <row r="4341" spans="7:8">
      <c r="G4341" s="171">
        <v>4338</v>
      </c>
      <c r="H4341" s="186">
        <f t="shared" ca="1" si="113"/>
        <v>-8.7192309742535976E-3</v>
      </c>
    </row>
    <row r="4342" spans="7:8">
      <c r="G4342" s="171">
        <v>4339</v>
      </c>
      <c r="H4342" s="186">
        <f t="shared" ca="1" si="113"/>
        <v>2.7594272317845339E-3</v>
      </c>
    </row>
    <row r="4343" spans="7:8">
      <c r="G4343" s="171">
        <v>4340</v>
      </c>
      <c r="H4343" s="186">
        <f t="shared" ca="1" si="113"/>
        <v>1.0896441078444678E-2</v>
      </c>
    </row>
    <row r="4344" spans="7:8">
      <c r="G4344" s="171">
        <v>4341</v>
      </c>
      <c r="H4344" s="186">
        <f t="shared" ca="1" si="113"/>
        <v>-2.7920186366615817E-2</v>
      </c>
    </row>
    <row r="4345" spans="7:8">
      <c r="G4345" s="171">
        <v>4342</v>
      </c>
      <c r="H4345" s="186">
        <f t="shared" ca="1" si="113"/>
        <v>1.1535937407072976E-3</v>
      </c>
    </row>
    <row r="4346" spans="7:8">
      <c r="G4346" s="171">
        <v>4343</v>
      </c>
      <c r="H4346" s="186">
        <f t="shared" ca="1" si="113"/>
        <v>2.6344228443663919E-2</v>
      </c>
    </row>
    <row r="4347" spans="7:8">
      <c r="G4347" s="171">
        <v>4344</v>
      </c>
      <c r="H4347" s="186">
        <f t="shared" ca="1" si="113"/>
        <v>2.9033017588153552E-3</v>
      </c>
    </row>
    <row r="4348" spans="7:8">
      <c r="G4348" s="171">
        <v>4345</v>
      </c>
      <c r="H4348" s="186">
        <f t="shared" ca="1" si="113"/>
        <v>-1.6543860433244149E-2</v>
      </c>
    </row>
    <row r="4349" spans="7:8">
      <c r="G4349" s="171">
        <v>4346</v>
      </c>
      <c r="H4349" s="186">
        <f t="shared" ca="1" si="113"/>
        <v>-3.144413584810505E-2</v>
      </c>
    </row>
    <row r="4350" spans="7:8">
      <c r="G4350" s="171">
        <v>4347</v>
      </c>
      <c r="H4350" s="186">
        <f t="shared" ca="1" si="113"/>
        <v>-7.2886572886871398E-3</v>
      </c>
    </row>
    <row r="4351" spans="7:8">
      <c r="G4351" s="171">
        <v>4348</v>
      </c>
      <c r="H4351" s="186">
        <f t="shared" ca="1" si="113"/>
        <v>-9.0468153094523391E-4</v>
      </c>
    </row>
    <row r="4352" spans="7:8">
      <c r="G4352" s="171">
        <v>4349</v>
      </c>
      <c r="H4352" s="186">
        <f t="shared" ca="1" si="113"/>
        <v>-5.8982504514171902E-4</v>
      </c>
    </row>
    <row r="4353" spans="7:8">
      <c r="G4353" s="171">
        <v>4350</v>
      </c>
      <c r="H4353" s="186">
        <f t="shared" ca="1" si="113"/>
        <v>8.2321527884070683E-3</v>
      </c>
    </row>
    <row r="4354" spans="7:8">
      <c r="G4354" s="171">
        <v>4351</v>
      </c>
      <c r="H4354" s="186">
        <f t="shared" ca="1" si="113"/>
        <v>8.4066293968832247E-3</v>
      </c>
    </row>
    <row r="4355" spans="7:8">
      <c r="G4355" s="171">
        <v>4352</v>
      </c>
      <c r="H4355" s="186">
        <f t="shared" ca="1" si="113"/>
        <v>2.6891813449242529E-2</v>
      </c>
    </row>
    <row r="4356" spans="7:8">
      <c r="G4356" s="171">
        <v>4353</v>
      </c>
      <c r="H4356" s="186">
        <f t="shared" ca="1" si="113"/>
        <v>-8.6231560784382211E-3</v>
      </c>
    </row>
    <row r="4357" spans="7:8">
      <c r="G4357" s="171">
        <v>4354</v>
      </c>
      <c r="H4357" s="186">
        <f t="shared" ref="H4357:H4420" ca="1" si="114">_xlfn.NORM.INV(RAND(),N$6,N$7)</f>
        <v>1.1609167568319138E-2</v>
      </c>
    </row>
    <row r="4358" spans="7:8">
      <c r="G4358" s="171">
        <v>4355</v>
      </c>
      <c r="H4358" s="186">
        <f t="shared" ca="1" si="114"/>
        <v>-2.0920034781701628E-2</v>
      </c>
    </row>
    <row r="4359" spans="7:8">
      <c r="G4359" s="171">
        <v>4356</v>
      </c>
      <c r="H4359" s="186">
        <f t="shared" ca="1" si="114"/>
        <v>-1.2084150312446661E-2</v>
      </c>
    </row>
    <row r="4360" spans="7:8">
      <c r="G4360" s="171">
        <v>4357</v>
      </c>
      <c r="H4360" s="186">
        <f t="shared" ca="1" si="114"/>
        <v>1.0601729132274879E-2</v>
      </c>
    </row>
    <row r="4361" spans="7:8">
      <c r="G4361" s="171">
        <v>4358</v>
      </c>
      <c r="H4361" s="186">
        <f t="shared" ca="1" si="114"/>
        <v>-1.0055804279707694E-2</v>
      </c>
    </row>
    <row r="4362" spans="7:8">
      <c r="G4362" s="171">
        <v>4359</v>
      </c>
      <c r="H4362" s="186">
        <f t="shared" ca="1" si="114"/>
        <v>2.2070339828692422E-2</v>
      </c>
    </row>
    <row r="4363" spans="7:8">
      <c r="G4363" s="171">
        <v>4360</v>
      </c>
      <c r="H4363" s="186">
        <f t="shared" ca="1" si="114"/>
        <v>-4.6704835116690852E-3</v>
      </c>
    </row>
    <row r="4364" spans="7:8">
      <c r="G4364" s="171">
        <v>4361</v>
      </c>
      <c r="H4364" s="186">
        <f t="shared" ca="1" si="114"/>
        <v>-4.3268098905693364E-4</v>
      </c>
    </row>
    <row r="4365" spans="7:8">
      <c r="G4365" s="171">
        <v>4362</v>
      </c>
      <c r="H4365" s="186">
        <f t="shared" ca="1" si="114"/>
        <v>-2.1197031950230287E-3</v>
      </c>
    </row>
    <row r="4366" spans="7:8">
      <c r="G4366" s="171">
        <v>4363</v>
      </c>
      <c r="H4366" s="186">
        <f t="shared" ca="1" si="114"/>
        <v>2.2559379193675635E-2</v>
      </c>
    </row>
    <row r="4367" spans="7:8">
      <c r="G4367" s="171">
        <v>4364</v>
      </c>
      <c r="H4367" s="186">
        <f t="shared" ca="1" si="114"/>
        <v>-1.3169171274744856E-2</v>
      </c>
    </row>
    <row r="4368" spans="7:8">
      <c r="G4368" s="171">
        <v>4365</v>
      </c>
      <c r="H4368" s="186">
        <f t="shared" ca="1" si="114"/>
        <v>1.5309407152183008E-2</v>
      </c>
    </row>
    <row r="4369" spans="7:8">
      <c r="G4369" s="171">
        <v>4366</v>
      </c>
      <c r="H4369" s="186">
        <f t="shared" ca="1" si="114"/>
        <v>2.8772371218861617E-4</v>
      </c>
    </row>
    <row r="4370" spans="7:8">
      <c r="G4370" s="171">
        <v>4367</v>
      </c>
      <c r="H4370" s="186">
        <f t="shared" ca="1" si="114"/>
        <v>-1.9253978910095232E-3</v>
      </c>
    </row>
    <row r="4371" spans="7:8">
      <c r="G4371" s="171">
        <v>4368</v>
      </c>
      <c r="H4371" s="186">
        <f t="shared" ca="1" si="114"/>
        <v>-2.6522098628013357E-2</v>
      </c>
    </row>
    <row r="4372" spans="7:8">
      <c r="G4372" s="171">
        <v>4369</v>
      </c>
      <c r="H4372" s="186">
        <f t="shared" ca="1" si="114"/>
        <v>5.6685120186498574E-3</v>
      </c>
    </row>
    <row r="4373" spans="7:8">
      <c r="G4373" s="171">
        <v>4370</v>
      </c>
      <c r="H4373" s="186">
        <f t="shared" ca="1" si="114"/>
        <v>-8.3878288284571282E-4</v>
      </c>
    </row>
    <row r="4374" spans="7:8">
      <c r="G4374" s="171">
        <v>4371</v>
      </c>
      <c r="H4374" s="186">
        <f t="shared" ca="1" si="114"/>
        <v>3.9982579546734703E-2</v>
      </c>
    </row>
    <row r="4375" spans="7:8">
      <c r="G4375" s="171">
        <v>4372</v>
      </c>
      <c r="H4375" s="186">
        <f t="shared" ca="1" si="114"/>
        <v>-2.4806298625071159E-2</v>
      </c>
    </row>
    <row r="4376" spans="7:8">
      <c r="G4376" s="171">
        <v>4373</v>
      </c>
      <c r="H4376" s="186">
        <f t="shared" ca="1" si="114"/>
        <v>-2.343348201665364E-3</v>
      </c>
    </row>
    <row r="4377" spans="7:8">
      <c r="G4377" s="171">
        <v>4374</v>
      </c>
      <c r="H4377" s="186">
        <f t="shared" ca="1" si="114"/>
        <v>-9.2263864794123046E-3</v>
      </c>
    </row>
    <row r="4378" spans="7:8">
      <c r="G4378" s="171">
        <v>4375</v>
      </c>
      <c r="H4378" s="186">
        <f t="shared" ca="1" si="114"/>
        <v>-8.627510035772756E-3</v>
      </c>
    </row>
    <row r="4379" spans="7:8">
      <c r="G4379" s="171">
        <v>4376</v>
      </c>
      <c r="H4379" s="186">
        <f t="shared" ca="1" si="114"/>
        <v>-2.624847420046474E-4</v>
      </c>
    </row>
    <row r="4380" spans="7:8">
      <c r="G4380" s="171">
        <v>4377</v>
      </c>
      <c r="H4380" s="186">
        <f t="shared" ca="1" si="114"/>
        <v>-7.880983947966087E-3</v>
      </c>
    </row>
    <row r="4381" spans="7:8">
      <c r="G4381" s="171">
        <v>4378</v>
      </c>
      <c r="H4381" s="186">
        <f t="shared" ca="1" si="114"/>
        <v>2.0684544495065557E-2</v>
      </c>
    </row>
    <row r="4382" spans="7:8">
      <c r="G4382" s="171">
        <v>4379</v>
      </c>
      <c r="H4382" s="186">
        <f t="shared" ca="1" si="114"/>
        <v>-2.6640129934575828E-2</v>
      </c>
    </row>
    <row r="4383" spans="7:8">
      <c r="G4383" s="171">
        <v>4380</v>
      </c>
      <c r="H4383" s="186">
        <f t="shared" ca="1" si="114"/>
        <v>-2.6535818021971649E-3</v>
      </c>
    </row>
    <row r="4384" spans="7:8">
      <c r="G4384" s="171">
        <v>4381</v>
      </c>
      <c r="H4384" s="186">
        <f t="shared" ca="1" si="114"/>
        <v>-6.3274630633364717E-3</v>
      </c>
    </row>
    <row r="4385" spans="7:8">
      <c r="G4385" s="171">
        <v>4382</v>
      </c>
      <c r="H4385" s="186">
        <f t="shared" ca="1" si="114"/>
        <v>1.6106604073045216E-3</v>
      </c>
    </row>
    <row r="4386" spans="7:8">
      <c r="G4386" s="171">
        <v>4383</v>
      </c>
      <c r="H4386" s="186">
        <f t="shared" ca="1" si="114"/>
        <v>2.2566773504994492E-2</v>
      </c>
    </row>
    <row r="4387" spans="7:8">
      <c r="G4387" s="171">
        <v>4384</v>
      </c>
      <c r="H4387" s="186">
        <f t="shared" ca="1" si="114"/>
        <v>8.851213812431492E-3</v>
      </c>
    </row>
    <row r="4388" spans="7:8">
      <c r="G4388" s="171">
        <v>4385</v>
      </c>
      <c r="H4388" s="186">
        <f t="shared" ca="1" si="114"/>
        <v>5.662918799939843E-3</v>
      </c>
    </row>
    <row r="4389" spans="7:8">
      <c r="G4389" s="171">
        <v>4386</v>
      </c>
      <c r="H4389" s="186">
        <f t="shared" ca="1" si="114"/>
        <v>2.5748515356098959E-2</v>
      </c>
    </row>
    <row r="4390" spans="7:8">
      <c r="G4390" s="171">
        <v>4387</v>
      </c>
      <c r="H4390" s="186">
        <f t="shared" ca="1" si="114"/>
        <v>-4.3356953718319295E-3</v>
      </c>
    </row>
    <row r="4391" spans="7:8">
      <c r="G4391" s="171">
        <v>4388</v>
      </c>
      <c r="H4391" s="186">
        <f t="shared" ca="1" si="114"/>
        <v>-1.2835322558347909E-2</v>
      </c>
    </row>
    <row r="4392" spans="7:8">
      <c r="G4392" s="171">
        <v>4389</v>
      </c>
      <c r="H4392" s="186">
        <f t="shared" ca="1" si="114"/>
        <v>-1.566208247668714E-3</v>
      </c>
    </row>
    <row r="4393" spans="7:8">
      <c r="G4393" s="171">
        <v>4390</v>
      </c>
      <c r="H4393" s="186">
        <f t="shared" ca="1" si="114"/>
        <v>-8.1791237162757453E-3</v>
      </c>
    </row>
    <row r="4394" spans="7:8">
      <c r="G4394" s="171">
        <v>4391</v>
      </c>
      <c r="H4394" s="186">
        <f t="shared" ca="1" si="114"/>
        <v>4.6348089689194585E-2</v>
      </c>
    </row>
    <row r="4395" spans="7:8">
      <c r="G4395" s="171">
        <v>4392</v>
      </c>
      <c r="H4395" s="186">
        <f t="shared" ca="1" si="114"/>
        <v>6.493305105925609E-3</v>
      </c>
    </row>
    <row r="4396" spans="7:8">
      <c r="G4396" s="171">
        <v>4393</v>
      </c>
      <c r="H4396" s="186">
        <f t="shared" ca="1" si="114"/>
        <v>1.2589850117379365E-2</v>
      </c>
    </row>
    <row r="4397" spans="7:8">
      <c r="G4397" s="171">
        <v>4394</v>
      </c>
      <c r="H4397" s="186">
        <f t="shared" ca="1" si="114"/>
        <v>-1.1767228130657614E-2</v>
      </c>
    </row>
    <row r="4398" spans="7:8">
      <c r="G4398" s="171">
        <v>4395</v>
      </c>
      <c r="H4398" s="186">
        <f t="shared" ca="1" si="114"/>
        <v>-1.4147833087918104E-2</v>
      </c>
    </row>
    <row r="4399" spans="7:8">
      <c r="G4399" s="171">
        <v>4396</v>
      </c>
      <c r="H4399" s="186">
        <f t="shared" ca="1" si="114"/>
        <v>-8.7606138463342583E-3</v>
      </c>
    </row>
    <row r="4400" spans="7:8">
      <c r="G4400" s="171">
        <v>4397</v>
      </c>
      <c r="H4400" s="186">
        <f t="shared" ca="1" si="114"/>
        <v>6.1353534233241913E-3</v>
      </c>
    </row>
    <row r="4401" spans="7:8">
      <c r="G4401" s="171">
        <v>4398</v>
      </c>
      <c r="H4401" s="186">
        <f t="shared" ca="1" si="114"/>
        <v>-2.2223994534879957E-2</v>
      </c>
    </row>
    <row r="4402" spans="7:8">
      <c r="G4402" s="171">
        <v>4399</v>
      </c>
      <c r="H4402" s="186">
        <f t="shared" ca="1" si="114"/>
        <v>-2.7838246347560977E-2</v>
      </c>
    </row>
    <row r="4403" spans="7:8">
      <c r="G4403" s="171">
        <v>4400</v>
      </c>
      <c r="H4403" s="186">
        <f t="shared" ca="1" si="114"/>
        <v>7.0279058676210419E-3</v>
      </c>
    </row>
    <row r="4404" spans="7:8">
      <c r="G4404" s="171">
        <v>4401</v>
      </c>
      <c r="H4404" s="186">
        <f t="shared" ca="1" si="114"/>
        <v>1.6478921617485952E-2</v>
      </c>
    </row>
    <row r="4405" spans="7:8">
      <c r="G4405" s="171">
        <v>4402</v>
      </c>
      <c r="H4405" s="186">
        <f t="shared" ca="1" si="114"/>
        <v>-7.7378221424992302E-4</v>
      </c>
    </row>
    <row r="4406" spans="7:8">
      <c r="G4406" s="171">
        <v>4403</v>
      </c>
      <c r="H4406" s="186">
        <f t="shared" ca="1" si="114"/>
        <v>6.9885331198991599E-3</v>
      </c>
    </row>
    <row r="4407" spans="7:8">
      <c r="G4407" s="171">
        <v>4404</v>
      </c>
      <c r="H4407" s="186">
        <f t="shared" ca="1" si="114"/>
        <v>-1.2671853717818318E-4</v>
      </c>
    </row>
    <row r="4408" spans="7:8">
      <c r="G4408" s="171">
        <v>4405</v>
      </c>
      <c r="H4408" s="186">
        <f t="shared" ca="1" si="114"/>
        <v>-6.4826049008615601E-3</v>
      </c>
    </row>
    <row r="4409" spans="7:8">
      <c r="G4409" s="171">
        <v>4406</v>
      </c>
      <c r="H4409" s="186">
        <f t="shared" ca="1" si="114"/>
        <v>-9.3320476177984717E-3</v>
      </c>
    </row>
    <row r="4410" spans="7:8">
      <c r="G4410" s="171">
        <v>4407</v>
      </c>
      <c r="H4410" s="186">
        <f t="shared" ca="1" si="114"/>
        <v>3.8685911144584377E-3</v>
      </c>
    </row>
    <row r="4411" spans="7:8">
      <c r="G4411" s="171">
        <v>4408</v>
      </c>
      <c r="H4411" s="186">
        <f t="shared" ca="1" si="114"/>
        <v>1.2279828669497579E-3</v>
      </c>
    </row>
    <row r="4412" spans="7:8">
      <c r="G4412" s="171">
        <v>4409</v>
      </c>
      <c r="H4412" s="186">
        <f t="shared" ca="1" si="114"/>
        <v>1.6038110222400748E-2</v>
      </c>
    </row>
    <row r="4413" spans="7:8">
      <c r="G4413" s="171">
        <v>4410</v>
      </c>
      <c r="H4413" s="186">
        <f t="shared" ca="1" si="114"/>
        <v>2.8768483194464784E-3</v>
      </c>
    </row>
    <row r="4414" spans="7:8">
      <c r="G4414" s="171">
        <v>4411</v>
      </c>
      <c r="H4414" s="186">
        <f t="shared" ca="1" si="114"/>
        <v>-6.9024510060407621E-3</v>
      </c>
    </row>
    <row r="4415" spans="7:8">
      <c r="G4415" s="171">
        <v>4412</v>
      </c>
      <c r="H4415" s="186">
        <f t="shared" ca="1" si="114"/>
        <v>-1.3839552738329127E-2</v>
      </c>
    </row>
    <row r="4416" spans="7:8">
      <c r="G4416" s="171">
        <v>4413</v>
      </c>
      <c r="H4416" s="186">
        <f t="shared" ca="1" si="114"/>
        <v>6.4841565245751516E-5</v>
      </c>
    </row>
    <row r="4417" spans="7:8">
      <c r="G4417" s="171">
        <v>4414</v>
      </c>
      <c r="H4417" s="186">
        <f t="shared" ca="1" si="114"/>
        <v>1.2159602945710687E-2</v>
      </c>
    </row>
    <row r="4418" spans="7:8">
      <c r="G4418" s="171">
        <v>4415</v>
      </c>
      <c r="H4418" s="186">
        <f t="shared" ca="1" si="114"/>
        <v>-1.5766110633911676E-2</v>
      </c>
    </row>
    <row r="4419" spans="7:8">
      <c r="G4419" s="171">
        <v>4416</v>
      </c>
      <c r="H4419" s="186">
        <f t="shared" ca="1" si="114"/>
        <v>-3.8471099721894917E-3</v>
      </c>
    </row>
    <row r="4420" spans="7:8">
      <c r="G4420" s="171">
        <v>4417</v>
      </c>
      <c r="H4420" s="186">
        <f t="shared" ca="1" si="114"/>
        <v>2.9862832955830448E-2</v>
      </c>
    </row>
    <row r="4421" spans="7:8">
      <c r="G4421" s="171">
        <v>4418</v>
      </c>
      <c r="H4421" s="186">
        <f t="shared" ref="H4421:H4484" ca="1" si="115">_xlfn.NORM.INV(RAND(),N$6,N$7)</f>
        <v>3.787336059090964E-3</v>
      </c>
    </row>
    <row r="4422" spans="7:8">
      <c r="G4422" s="171">
        <v>4419</v>
      </c>
      <c r="H4422" s="186">
        <f t="shared" ca="1" si="115"/>
        <v>3.0900502616581613E-3</v>
      </c>
    </row>
    <row r="4423" spans="7:8">
      <c r="G4423" s="171">
        <v>4420</v>
      </c>
      <c r="H4423" s="186">
        <f t="shared" ca="1" si="115"/>
        <v>3.0454557722476281E-3</v>
      </c>
    </row>
    <row r="4424" spans="7:8">
      <c r="G4424" s="171">
        <v>4421</v>
      </c>
      <c r="H4424" s="186">
        <f t="shared" ca="1" si="115"/>
        <v>-2.3965695704329368E-2</v>
      </c>
    </row>
    <row r="4425" spans="7:8">
      <c r="G4425" s="171">
        <v>4422</v>
      </c>
      <c r="H4425" s="186">
        <f t="shared" ca="1" si="115"/>
        <v>1.7730332286272101E-2</v>
      </c>
    </row>
    <row r="4426" spans="7:8">
      <c r="G4426" s="171">
        <v>4423</v>
      </c>
      <c r="H4426" s="186">
        <f t="shared" ca="1" si="115"/>
        <v>-3.28440601115415E-2</v>
      </c>
    </row>
    <row r="4427" spans="7:8">
      <c r="G4427" s="171">
        <v>4424</v>
      </c>
      <c r="H4427" s="186">
        <f t="shared" ca="1" si="115"/>
        <v>-1.9050522713426121E-2</v>
      </c>
    </row>
    <row r="4428" spans="7:8">
      <c r="G4428" s="171">
        <v>4425</v>
      </c>
      <c r="H4428" s="186">
        <f t="shared" ca="1" si="115"/>
        <v>-4.2275486208558774E-3</v>
      </c>
    </row>
    <row r="4429" spans="7:8">
      <c r="G4429" s="171">
        <v>4426</v>
      </c>
      <c r="H4429" s="186">
        <f t="shared" ca="1" si="115"/>
        <v>-2.0949590956611339E-3</v>
      </c>
    </row>
    <row r="4430" spans="7:8">
      <c r="G4430" s="171">
        <v>4427</v>
      </c>
      <c r="H4430" s="186">
        <f t="shared" ca="1" si="115"/>
        <v>6.9131212138467497E-3</v>
      </c>
    </row>
    <row r="4431" spans="7:8">
      <c r="G4431" s="171">
        <v>4428</v>
      </c>
      <c r="H4431" s="186">
        <f t="shared" ca="1" si="115"/>
        <v>-5.5103725312469253E-3</v>
      </c>
    </row>
    <row r="4432" spans="7:8">
      <c r="G4432" s="171">
        <v>4429</v>
      </c>
      <c r="H4432" s="186">
        <f t="shared" ca="1" si="115"/>
        <v>-1.7580702978209708E-2</v>
      </c>
    </row>
    <row r="4433" spans="7:8">
      <c r="G4433" s="171">
        <v>4430</v>
      </c>
      <c r="H4433" s="186">
        <f t="shared" ca="1" si="115"/>
        <v>-1.6087005426045943E-2</v>
      </c>
    </row>
    <row r="4434" spans="7:8">
      <c r="G4434" s="171">
        <v>4431</v>
      </c>
      <c r="H4434" s="186">
        <f t="shared" ca="1" si="115"/>
        <v>1.3602974965220666E-2</v>
      </c>
    </row>
    <row r="4435" spans="7:8">
      <c r="G4435" s="171">
        <v>4432</v>
      </c>
      <c r="H4435" s="186">
        <f t="shared" ca="1" si="115"/>
        <v>2.6811178399157943E-3</v>
      </c>
    </row>
    <row r="4436" spans="7:8">
      <c r="G4436" s="171">
        <v>4433</v>
      </c>
      <c r="H4436" s="186">
        <f t="shared" ca="1" si="115"/>
        <v>1.6639619717374838E-2</v>
      </c>
    </row>
    <row r="4437" spans="7:8">
      <c r="G4437" s="171">
        <v>4434</v>
      </c>
      <c r="H4437" s="186">
        <f t="shared" ca="1" si="115"/>
        <v>1.4226394399365518E-2</v>
      </c>
    </row>
    <row r="4438" spans="7:8">
      <c r="G4438" s="171">
        <v>4435</v>
      </c>
      <c r="H4438" s="186">
        <f t="shared" ca="1" si="115"/>
        <v>-2.2145510491662804E-2</v>
      </c>
    </row>
    <row r="4439" spans="7:8">
      <c r="G4439" s="171">
        <v>4436</v>
      </c>
      <c r="H4439" s="186">
        <f t="shared" ca="1" si="115"/>
        <v>-2.0314727957115645E-2</v>
      </c>
    </row>
    <row r="4440" spans="7:8">
      <c r="G4440" s="171">
        <v>4437</v>
      </c>
      <c r="H4440" s="186">
        <f t="shared" ca="1" si="115"/>
        <v>-1.7977806652345234E-3</v>
      </c>
    </row>
    <row r="4441" spans="7:8">
      <c r="G4441" s="171">
        <v>4438</v>
      </c>
      <c r="H4441" s="186">
        <f t="shared" ca="1" si="115"/>
        <v>-3.273748253549431E-3</v>
      </c>
    </row>
    <row r="4442" spans="7:8">
      <c r="G4442" s="171">
        <v>4439</v>
      </c>
      <c r="H4442" s="186">
        <f t="shared" ca="1" si="115"/>
        <v>6.6817262078528866E-3</v>
      </c>
    </row>
    <row r="4443" spans="7:8">
      <c r="G4443" s="171">
        <v>4440</v>
      </c>
      <c r="H4443" s="186">
        <f t="shared" ca="1" si="115"/>
        <v>-1.2763954468690993E-2</v>
      </c>
    </row>
    <row r="4444" spans="7:8">
      <c r="G4444" s="171">
        <v>4441</v>
      </c>
      <c r="H4444" s="186">
        <f t="shared" ca="1" si="115"/>
        <v>7.343591886682775E-3</v>
      </c>
    </row>
    <row r="4445" spans="7:8">
      <c r="G4445" s="171">
        <v>4442</v>
      </c>
      <c r="H4445" s="186">
        <f t="shared" ca="1" si="115"/>
        <v>-1.415979726305488E-2</v>
      </c>
    </row>
    <row r="4446" spans="7:8">
      <c r="G4446" s="171">
        <v>4443</v>
      </c>
      <c r="H4446" s="186">
        <f t="shared" ca="1" si="115"/>
        <v>-1.0713097496605022E-2</v>
      </c>
    </row>
    <row r="4447" spans="7:8">
      <c r="G4447" s="171">
        <v>4444</v>
      </c>
      <c r="H4447" s="186">
        <f t="shared" ca="1" si="115"/>
        <v>2.9944872081727331E-2</v>
      </c>
    </row>
    <row r="4448" spans="7:8">
      <c r="G4448" s="171">
        <v>4445</v>
      </c>
      <c r="H4448" s="186">
        <f t="shared" ca="1" si="115"/>
        <v>-2.1707311562680848E-3</v>
      </c>
    </row>
    <row r="4449" spans="7:8">
      <c r="G4449" s="171">
        <v>4446</v>
      </c>
      <c r="H4449" s="186">
        <f t="shared" ca="1" si="115"/>
        <v>-3.9706172458872707E-3</v>
      </c>
    </row>
    <row r="4450" spans="7:8">
      <c r="G4450" s="171">
        <v>4447</v>
      </c>
      <c r="H4450" s="186">
        <f t="shared" ca="1" si="115"/>
        <v>1.9579074673236586E-2</v>
      </c>
    </row>
    <row r="4451" spans="7:8">
      <c r="G4451" s="171">
        <v>4448</v>
      </c>
      <c r="H4451" s="186">
        <f t="shared" ca="1" si="115"/>
        <v>1.515907679259372E-3</v>
      </c>
    </row>
    <row r="4452" spans="7:8">
      <c r="G4452" s="171">
        <v>4449</v>
      </c>
      <c r="H4452" s="186">
        <f t="shared" ca="1" si="115"/>
        <v>-6.9269052299268047E-3</v>
      </c>
    </row>
    <row r="4453" spans="7:8">
      <c r="G4453" s="171">
        <v>4450</v>
      </c>
      <c r="H4453" s="186">
        <f t="shared" ca="1" si="115"/>
        <v>-1.2449927861851074E-2</v>
      </c>
    </row>
    <row r="4454" spans="7:8">
      <c r="G4454" s="171">
        <v>4451</v>
      </c>
      <c r="H4454" s="186">
        <f t="shared" ca="1" si="115"/>
        <v>1.7463899749817244E-2</v>
      </c>
    </row>
    <row r="4455" spans="7:8">
      <c r="G4455" s="171">
        <v>4452</v>
      </c>
      <c r="H4455" s="186">
        <f t="shared" ca="1" si="115"/>
        <v>3.9175704089042017E-3</v>
      </c>
    </row>
    <row r="4456" spans="7:8">
      <c r="G4456" s="171">
        <v>4453</v>
      </c>
      <c r="H4456" s="186">
        <f t="shared" ca="1" si="115"/>
        <v>-4.377413412143167E-3</v>
      </c>
    </row>
    <row r="4457" spans="7:8">
      <c r="G4457" s="171">
        <v>4454</v>
      </c>
      <c r="H4457" s="186">
        <f t="shared" ca="1" si="115"/>
        <v>-2.1763830196072653E-2</v>
      </c>
    </row>
    <row r="4458" spans="7:8">
      <c r="G4458" s="171">
        <v>4455</v>
      </c>
      <c r="H4458" s="186">
        <f t="shared" ca="1" si="115"/>
        <v>4.4545911080981987E-3</v>
      </c>
    </row>
    <row r="4459" spans="7:8">
      <c r="G4459" s="171">
        <v>4456</v>
      </c>
      <c r="H4459" s="186">
        <f t="shared" ca="1" si="115"/>
        <v>-3.0164147185278161E-3</v>
      </c>
    </row>
    <row r="4460" spans="7:8">
      <c r="G4460" s="171">
        <v>4457</v>
      </c>
      <c r="H4460" s="186">
        <f t="shared" ca="1" si="115"/>
        <v>9.7800411095722451E-3</v>
      </c>
    </row>
    <row r="4461" spans="7:8">
      <c r="G4461" s="171">
        <v>4458</v>
      </c>
      <c r="H4461" s="186">
        <f t="shared" ca="1" si="115"/>
        <v>1.4005581547355265E-2</v>
      </c>
    </row>
    <row r="4462" spans="7:8">
      <c r="G4462" s="171">
        <v>4459</v>
      </c>
      <c r="H4462" s="186">
        <f t="shared" ca="1" si="115"/>
        <v>-9.6147714696421943E-3</v>
      </c>
    </row>
    <row r="4463" spans="7:8">
      <c r="G4463" s="171">
        <v>4460</v>
      </c>
      <c r="H4463" s="186">
        <f t="shared" ca="1" si="115"/>
        <v>1.974485487620925E-2</v>
      </c>
    </row>
    <row r="4464" spans="7:8">
      <c r="G4464" s="171">
        <v>4461</v>
      </c>
      <c r="H4464" s="186">
        <f t="shared" ca="1" si="115"/>
        <v>2.7146355710627779E-2</v>
      </c>
    </row>
    <row r="4465" spans="7:8">
      <c r="G4465" s="171">
        <v>4462</v>
      </c>
      <c r="H4465" s="186">
        <f t="shared" ca="1" si="115"/>
        <v>6.6022347765266002E-3</v>
      </c>
    </row>
    <row r="4466" spans="7:8">
      <c r="G4466" s="171">
        <v>4463</v>
      </c>
      <c r="H4466" s="186">
        <f t="shared" ca="1" si="115"/>
        <v>2.353954227358938E-2</v>
      </c>
    </row>
    <row r="4467" spans="7:8">
      <c r="G4467" s="171">
        <v>4464</v>
      </c>
      <c r="H4467" s="186">
        <f t="shared" ca="1" si="115"/>
        <v>4.6023474648394513E-3</v>
      </c>
    </row>
    <row r="4468" spans="7:8">
      <c r="G4468" s="171">
        <v>4465</v>
      </c>
      <c r="H4468" s="186">
        <f t="shared" ca="1" si="115"/>
        <v>7.8580313545719652E-3</v>
      </c>
    </row>
    <row r="4469" spans="7:8">
      <c r="G4469" s="171">
        <v>4466</v>
      </c>
      <c r="H4469" s="186">
        <f t="shared" ca="1" si="115"/>
        <v>-1.906325413695272E-3</v>
      </c>
    </row>
    <row r="4470" spans="7:8">
      <c r="G4470" s="171">
        <v>4467</v>
      </c>
      <c r="H4470" s="186">
        <f t="shared" ca="1" si="115"/>
        <v>-3.06746065676399E-2</v>
      </c>
    </row>
    <row r="4471" spans="7:8">
      <c r="G4471" s="171">
        <v>4468</v>
      </c>
      <c r="H4471" s="186">
        <f t="shared" ca="1" si="115"/>
        <v>3.9546635508413752E-2</v>
      </c>
    </row>
    <row r="4472" spans="7:8">
      <c r="G4472" s="171">
        <v>4469</v>
      </c>
      <c r="H4472" s="186">
        <f t="shared" ca="1" si="115"/>
        <v>-1.1547048740866834E-2</v>
      </c>
    </row>
    <row r="4473" spans="7:8">
      <c r="G4473" s="171">
        <v>4470</v>
      </c>
      <c r="H4473" s="186">
        <f t="shared" ca="1" si="115"/>
        <v>-2.0569307170670244E-2</v>
      </c>
    </row>
    <row r="4474" spans="7:8">
      <c r="G4474" s="171">
        <v>4471</v>
      </c>
      <c r="H4474" s="186">
        <f t="shared" ca="1" si="115"/>
        <v>-7.0136871515463044E-3</v>
      </c>
    </row>
    <row r="4475" spans="7:8">
      <c r="G4475" s="171">
        <v>4472</v>
      </c>
      <c r="H4475" s="186">
        <f t="shared" ca="1" si="115"/>
        <v>3.8120058499527178E-3</v>
      </c>
    </row>
    <row r="4476" spans="7:8">
      <c r="G4476" s="171">
        <v>4473</v>
      </c>
      <c r="H4476" s="186">
        <f t="shared" ca="1" si="115"/>
        <v>-1.5618675156785958E-2</v>
      </c>
    </row>
    <row r="4477" spans="7:8">
      <c r="G4477" s="171">
        <v>4474</v>
      </c>
      <c r="H4477" s="186">
        <f t="shared" ca="1" si="115"/>
        <v>7.2435400312074218E-3</v>
      </c>
    </row>
    <row r="4478" spans="7:8">
      <c r="G4478" s="171">
        <v>4475</v>
      </c>
      <c r="H4478" s="186">
        <f t="shared" ca="1" si="115"/>
        <v>-1.285160983013664E-3</v>
      </c>
    </row>
    <row r="4479" spans="7:8">
      <c r="G4479" s="171">
        <v>4476</v>
      </c>
      <c r="H4479" s="186">
        <f t="shared" ca="1" si="115"/>
        <v>-1.7196533889700803E-2</v>
      </c>
    </row>
    <row r="4480" spans="7:8">
      <c r="G4480" s="171">
        <v>4477</v>
      </c>
      <c r="H4480" s="186">
        <f t="shared" ca="1" si="115"/>
        <v>9.2290978324415084E-3</v>
      </c>
    </row>
    <row r="4481" spans="7:8">
      <c r="G4481" s="171">
        <v>4478</v>
      </c>
      <c r="H4481" s="186">
        <f t="shared" ca="1" si="115"/>
        <v>1.2713512787514048E-2</v>
      </c>
    </row>
    <row r="4482" spans="7:8">
      <c r="G4482" s="171">
        <v>4479</v>
      </c>
      <c r="H4482" s="186">
        <f t="shared" ca="1" si="115"/>
        <v>5.0517304493477716E-3</v>
      </c>
    </row>
    <row r="4483" spans="7:8">
      <c r="G4483" s="171">
        <v>4480</v>
      </c>
      <c r="H4483" s="186">
        <f t="shared" ca="1" si="115"/>
        <v>-6.7179012989774568E-4</v>
      </c>
    </row>
    <row r="4484" spans="7:8">
      <c r="G4484" s="171">
        <v>4481</v>
      </c>
      <c r="H4484" s="186">
        <f t="shared" ca="1" si="115"/>
        <v>2.521362570282403E-3</v>
      </c>
    </row>
    <row r="4485" spans="7:8">
      <c r="G4485" s="171">
        <v>4482</v>
      </c>
      <c r="H4485" s="186">
        <f t="shared" ref="H4485:H4548" ca="1" si="116">_xlfn.NORM.INV(RAND(),N$6,N$7)</f>
        <v>1.5799466937450279E-2</v>
      </c>
    </row>
    <row r="4486" spans="7:8">
      <c r="G4486" s="171">
        <v>4483</v>
      </c>
      <c r="H4486" s="186">
        <f t="shared" ca="1" si="116"/>
        <v>1.1637202275683826E-3</v>
      </c>
    </row>
    <row r="4487" spans="7:8">
      <c r="G4487" s="171">
        <v>4484</v>
      </c>
      <c r="H4487" s="186">
        <f t="shared" ca="1" si="116"/>
        <v>1.7662327422390545E-2</v>
      </c>
    </row>
    <row r="4488" spans="7:8">
      <c r="G4488" s="171">
        <v>4485</v>
      </c>
      <c r="H4488" s="186">
        <f t="shared" ca="1" si="116"/>
        <v>-5.5822708795115498E-3</v>
      </c>
    </row>
    <row r="4489" spans="7:8">
      <c r="G4489" s="171">
        <v>4486</v>
      </c>
      <c r="H4489" s="186">
        <f t="shared" ca="1" si="116"/>
        <v>6.9185001421599845E-3</v>
      </c>
    </row>
    <row r="4490" spans="7:8">
      <c r="G4490" s="171">
        <v>4487</v>
      </c>
      <c r="H4490" s="186">
        <f t="shared" ca="1" si="116"/>
        <v>5.1823952611811249E-4</v>
      </c>
    </row>
    <row r="4491" spans="7:8">
      <c r="G4491" s="171">
        <v>4488</v>
      </c>
      <c r="H4491" s="186">
        <f t="shared" ca="1" si="116"/>
        <v>1.7534355964493341E-2</v>
      </c>
    </row>
    <row r="4492" spans="7:8">
      <c r="G4492" s="171">
        <v>4489</v>
      </c>
      <c r="H4492" s="186">
        <f t="shared" ca="1" si="116"/>
        <v>-1.6814256946537161E-2</v>
      </c>
    </row>
    <row r="4493" spans="7:8">
      <c r="G4493" s="171">
        <v>4490</v>
      </c>
      <c r="H4493" s="186">
        <f t="shared" ca="1" si="116"/>
        <v>1.8389817591998245E-2</v>
      </c>
    </row>
    <row r="4494" spans="7:8">
      <c r="G4494" s="171">
        <v>4491</v>
      </c>
      <c r="H4494" s="186">
        <f t="shared" ca="1" si="116"/>
        <v>2.4419256772194677E-2</v>
      </c>
    </row>
    <row r="4495" spans="7:8">
      <c r="G4495" s="171">
        <v>4492</v>
      </c>
      <c r="H4495" s="186">
        <f t="shared" ca="1" si="116"/>
        <v>-2.1211880184075712E-2</v>
      </c>
    </row>
    <row r="4496" spans="7:8">
      <c r="G4496" s="171">
        <v>4493</v>
      </c>
      <c r="H4496" s="186">
        <f t="shared" ca="1" si="116"/>
        <v>-8.6072326274671044E-4</v>
      </c>
    </row>
    <row r="4497" spans="7:8">
      <c r="G4497" s="171">
        <v>4494</v>
      </c>
      <c r="H4497" s="186">
        <f t="shared" ca="1" si="116"/>
        <v>-1.8535694664584689E-3</v>
      </c>
    </row>
    <row r="4498" spans="7:8">
      <c r="G4498" s="171">
        <v>4495</v>
      </c>
      <c r="H4498" s="186">
        <f t="shared" ca="1" si="116"/>
        <v>7.706193695908521E-3</v>
      </c>
    </row>
    <row r="4499" spans="7:8">
      <c r="G4499" s="171">
        <v>4496</v>
      </c>
      <c r="H4499" s="186">
        <f t="shared" ca="1" si="116"/>
        <v>-2.5458020825616691E-3</v>
      </c>
    </row>
    <row r="4500" spans="7:8">
      <c r="G4500" s="171">
        <v>4497</v>
      </c>
      <c r="H4500" s="186">
        <f t="shared" ca="1" si="116"/>
        <v>-3.5202558550740991E-3</v>
      </c>
    </row>
    <row r="4501" spans="7:8">
      <c r="G4501" s="171">
        <v>4498</v>
      </c>
      <c r="H4501" s="186">
        <f t="shared" ca="1" si="116"/>
        <v>1.0399421803862259E-2</v>
      </c>
    </row>
    <row r="4502" spans="7:8">
      <c r="G4502" s="171">
        <v>4499</v>
      </c>
      <c r="H4502" s="186">
        <f t="shared" ca="1" si="116"/>
        <v>2.3971351333135411E-3</v>
      </c>
    </row>
    <row r="4503" spans="7:8">
      <c r="G4503" s="171">
        <v>4500</v>
      </c>
      <c r="H4503" s="186">
        <f t="shared" ca="1" si="116"/>
        <v>2.0314931373622606E-2</v>
      </c>
    </row>
    <row r="4504" spans="7:8">
      <c r="G4504" s="171">
        <v>4501</v>
      </c>
      <c r="H4504" s="186">
        <f t="shared" ca="1" si="116"/>
        <v>-2.8762180915119409E-2</v>
      </c>
    </row>
    <row r="4505" spans="7:8">
      <c r="G4505" s="171">
        <v>4502</v>
      </c>
      <c r="H4505" s="186">
        <f t="shared" ca="1" si="116"/>
        <v>-5.3094068356743041E-3</v>
      </c>
    </row>
    <row r="4506" spans="7:8">
      <c r="G4506" s="171">
        <v>4503</v>
      </c>
      <c r="H4506" s="186">
        <f t="shared" ca="1" si="116"/>
        <v>2.0638834622552491E-3</v>
      </c>
    </row>
    <row r="4507" spans="7:8">
      <c r="G4507" s="171">
        <v>4504</v>
      </c>
      <c r="H4507" s="186">
        <f t="shared" ca="1" si="116"/>
        <v>1.5609094232270755E-2</v>
      </c>
    </row>
    <row r="4508" spans="7:8">
      <c r="G4508" s="171">
        <v>4505</v>
      </c>
      <c r="H4508" s="186">
        <f t="shared" ca="1" si="116"/>
        <v>-9.8548905670605407E-3</v>
      </c>
    </row>
    <row r="4509" spans="7:8">
      <c r="G4509" s="171">
        <v>4506</v>
      </c>
      <c r="H4509" s="186">
        <f t="shared" ca="1" si="116"/>
        <v>-7.2722540775496452E-3</v>
      </c>
    </row>
    <row r="4510" spans="7:8">
      <c r="G4510" s="171">
        <v>4507</v>
      </c>
      <c r="H4510" s="186">
        <f t="shared" ca="1" si="116"/>
        <v>9.2109443233722513E-3</v>
      </c>
    </row>
    <row r="4511" spans="7:8">
      <c r="G4511" s="171">
        <v>4508</v>
      </c>
      <c r="H4511" s="186">
        <f t="shared" ca="1" si="116"/>
        <v>-3.6326492173170168E-3</v>
      </c>
    </row>
    <row r="4512" spans="7:8">
      <c r="G4512" s="171">
        <v>4509</v>
      </c>
      <c r="H4512" s="186">
        <f t="shared" ca="1" si="116"/>
        <v>7.5526956684658546E-3</v>
      </c>
    </row>
    <row r="4513" spans="7:8">
      <c r="G4513" s="171">
        <v>4510</v>
      </c>
      <c r="H4513" s="186">
        <f t="shared" ca="1" si="116"/>
        <v>-1.0519557900669761E-3</v>
      </c>
    </row>
    <row r="4514" spans="7:8">
      <c r="G4514" s="171">
        <v>4511</v>
      </c>
      <c r="H4514" s="186">
        <f t="shared" ca="1" si="116"/>
        <v>1.3298064542336292E-3</v>
      </c>
    </row>
    <row r="4515" spans="7:8">
      <c r="G4515" s="171">
        <v>4512</v>
      </c>
      <c r="H4515" s="186">
        <f t="shared" ca="1" si="116"/>
        <v>-2.8519405556668431E-2</v>
      </c>
    </row>
    <row r="4516" spans="7:8">
      <c r="G4516" s="171">
        <v>4513</v>
      </c>
      <c r="H4516" s="186">
        <f t="shared" ca="1" si="116"/>
        <v>-3.6699367137044032E-3</v>
      </c>
    </row>
    <row r="4517" spans="7:8">
      <c r="G4517" s="171">
        <v>4514</v>
      </c>
      <c r="H4517" s="186">
        <f t="shared" ca="1" si="116"/>
        <v>3.1477984758391656E-3</v>
      </c>
    </row>
    <row r="4518" spans="7:8">
      <c r="G4518" s="171">
        <v>4515</v>
      </c>
      <c r="H4518" s="186">
        <f t="shared" ca="1" si="116"/>
        <v>2.2246744041003455E-3</v>
      </c>
    </row>
    <row r="4519" spans="7:8">
      <c r="G4519" s="171">
        <v>4516</v>
      </c>
      <c r="H4519" s="186">
        <f t="shared" ca="1" si="116"/>
        <v>1.25845404990267E-2</v>
      </c>
    </row>
    <row r="4520" spans="7:8">
      <c r="G4520" s="171">
        <v>4517</v>
      </c>
      <c r="H4520" s="186">
        <f t="shared" ca="1" si="116"/>
        <v>-2.2827662222138365E-2</v>
      </c>
    </row>
    <row r="4521" spans="7:8">
      <c r="G4521" s="171">
        <v>4518</v>
      </c>
      <c r="H4521" s="186">
        <f t="shared" ca="1" si="116"/>
        <v>-1.5611159200739692E-2</v>
      </c>
    </row>
    <row r="4522" spans="7:8">
      <c r="G4522" s="171">
        <v>4519</v>
      </c>
      <c r="H4522" s="186">
        <f t="shared" ca="1" si="116"/>
        <v>-1.5169922577367167E-2</v>
      </c>
    </row>
    <row r="4523" spans="7:8">
      <c r="G4523" s="171">
        <v>4520</v>
      </c>
      <c r="H4523" s="186">
        <f t="shared" ca="1" si="116"/>
        <v>1.2564552641235778E-2</v>
      </c>
    </row>
    <row r="4524" spans="7:8">
      <c r="G4524" s="171">
        <v>4521</v>
      </c>
      <c r="H4524" s="186">
        <f t="shared" ca="1" si="116"/>
        <v>-3.3704422774199494E-3</v>
      </c>
    </row>
    <row r="4525" spans="7:8">
      <c r="G4525" s="171">
        <v>4522</v>
      </c>
      <c r="H4525" s="186">
        <f t="shared" ca="1" si="116"/>
        <v>-5.8839725473139133E-3</v>
      </c>
    </row>
    <row r="4526" spans="7:8">
      <c r="G4526" s="171">
        <v>4523</v>
      </c>
      <c r="H4526" s="186">
        <f t="shared" ca="1" si="116"/>
        <v>-3.6500146083454877E-3</v>
      </c>
    </row>
    <row r="4527" spans="7:8">
      <c r="G4527" s="171">
        <v>4524</v>
      </c>
      <c r="H4527" s="186">
        <f t="shared" ca="1" si="116"/>
        <v>1.3634240096321004E-2</v>
      </c>
    </row>
    <row r="4528" spans="7:8">
      <c r="G4528" s="171">
        <v>4525</v>
      </c>
      <c r="H4528" s="186">
        <f t="shared" ca="1" si="116"/>
        <v>3.6575911798228895E-2</v>
      </c>
    </row>
    <row r="4529" spans="7:8">
      <c r="G4529" s="171">
        <v>4526</v>
      </c>
      <c r="H4529" s="186">
        <f t="shared" ca="1" si="116"/>
        <v>-7.9454312528968209E-3</v>
      </c>
    </row>
    <row r="4530" spans="7:8">
      <c r="G4530" s="171">
        <v>4527</v>
      </c>
      <c r="H4530" s="186">
        <f t="shared" ca="1" si="116"/>
        <v>2.2012502222932582E-2</v>
      </c>
    </row>
    <row r="4531" spans="7:8">
      <c r="G4531" s="171">
        <v>4528</v>
      </c>
      <c r="H4531" s="186">
        <f t="shared" ca="1" si="116"/>
        <v>-2.2418874444810659E-2</v>
      </c>
    </row>
    <row r="4532" spans="7:8">
      <c r="G4532" s="171">
        <v>4529</v>
      </c>
      <c r="H4532" s="186">
        <f t="shared" ca="1" si="116"/>
        <v>2.0234063506396143E-3</v>
      </c>
    </row>
    <row r="4533" spans="7:8">
      <c r="G4533" s="171">
        <v>4530</v>
      </c>
      <c r="H4533" s="186">
        <f t="shared" ca="1" si="116"/>
        <v>-2.3078550424727014E-2</v>
      </c>
    </row>
    <row r="4534" spans="7:8">
      <c r="G4534" s="171">
        <v>4531</v>
      </c>
      <c r="H4534" s="186">
        <f t="shared" ca="1" si="116"/>
        <v>-1.9821131902376552E-3</v>
      </c>
    </row>
    <row r="4535" spans="7:8">
      <c r="G4535" s="171">
        <v>4532</v>
      </c>
      <c r="H4535" s="186">
        <f t="shared" ca="1" si="116"/>
        <v>-3.2347110377304285E-3</v>
      </c>
    </row>
    <row r="4536" spans="7:8">
      <c r="G4536" s="171">
        <v>4533</v>
      </c>
      <c r="H4536" s="186">
        <f t="shared" ca="1" si="116"/>
        <v>3.535523651098639E-3</v>
      </c>
    </row>
    <row r="4537" spans="7:8">
      <c r="G4537" s="171">
        <v>4534</v>
      </c>
      <c r="H4537" s="186">
        <f t="shared" ca="1" si="116"/>
        <v>1.5050525803067998E-2</v>
      </c>
    </row>
    <row r="4538" spans="7:8">
      <c r="G4538" s="171">
        <v>4535</v>
      </c>
      <c r="H4538" s="186">
        <f t="shared" ca="1" si="116"/>
        <v>-3.9626824375227007E-3</v>
      </c>
    </row>
    <row r="4539" spans="7:8">
      <c r="G4539" s="171">
        <v>4536</v>
      </c>
      <c r="H4539" s="186">
        <f t="shared" ca="1" si="116"/>
        <v>3.4203318006799072E-2</v>
      </c>
    </row>
    <row r="4540" spans="7:8">
      <c r="G4540" s="171">
        <v>4537</v>
      </c>
      <c r="H4540" s="186">
        <f t="shared" ca="1" si="116"/>
        <v>4.9106784961738129E-3</v>
      </c>
    </row>
    <row r="4541" spans="7:8">
      <c r="G4541" s="171">
        <v>4538</v>
      </c>
      <c r="H4541" s="186">
        <f t="shared" ca="1" si="116"/>
        <v>4.5667174229696936E-3</v>
      </c>
    </row>
    <row r="4542" spans="7:8">
      <c r="G4542" s="171">
        <v>4539</v>
      </c>
      <c r="H4542" s="186">
        <f t="shared" ca="1" si="116"/>
        <v>1.0085139014608672E-2</v>
      </c>
    </row>
    <row r="4543" spans="7:8">
      <c r="G4543" s="171">
        <v>4540</v>
      </c>
      <c r="H4543" s="186">
        <f t="shared" ca="1" si="116"/>
        <v>4.6106176714183784E-3</v>
      </c>
    </row>
    <row r="4544" spans="7:8">
      <c r="G4544" s="171">
        <v>4541</v>
      </c>
      <c r="H4544" s="186">
        <f t="shared" ca="1" si="116"/>
        <v>-5.7768832546276567E-3</v>
      </c>
    </row>
    <row r="4545" spans="7:8">
      <c r="G4545" s="171">
        <v>4542</v>
      </c>
      <c r="H4545" s="186">
        <f t="shared" ca="1" si="116"/>
        <v>-2.4273943978722578E-2</v>
      </c>
    </row>
    <row r="4546" spans="7:8">
      <c r="G4546" s="171">
        <v>4543</v>
      </c>
      <c r="H4546" s="186">
        <f t="shared" ca="1" si="116"/>
        <v>9.2408678493622835E-3</v>
      </c>
    </row>
    <row r="4547" spans="7:8">
      <c r="G4547" s="171">
        <v>4544</v>
      </c>
      <c r="H4547" s="186">
        <f t="shared" ca="1" si="116"/>
        <v>-2.0353259005454802E-2</v>
      </c>
    </row>
    <row r="4548" spans="7:8">
      <c r="G4548" s="171">
        <v>4545</v>
      </c>
      <c r="H4548" s="186">
        <f t="shared" ca="1" si="116"/>
        <v>-1.3614841009146228E-2</v>
      </c>
    </row>
    <row r="4549" spans="7:8">
      <c r="G4549" s="171">
        <v>4546</v>
      </c>
      <c r="H4549" s="186">
        <f t="shared" ref="H4549:H4612" ca="1" si="117">_xlfn.NORM.INV(RAND(),N$6,N$7)</f>
        <v>-2.0277749325436956E-2</v>
      </c>
    </row>
    <row r="4550" spans="7:8">
      <c r="G4550" s="171">
        <v>4547</v>
      </c>
      <c r="H4550" s="186">
        <f t="shared" ca="1" si="117"/>
        <v>8.8560878019679698E-3</v>
      </c>
    </row>
    <row r="4551" spans="7:8">
      <c r="G4551" s="171">
        <v>4548</v>
      </c>
      <c r="H4551" s="186">
        <f t="shared" ca="1" si="117"/>
        <v>-1.5926263958251016E-2</v>
      </c>
    </row>
    <row r="4552" spans="7:8">
      <c r="G4552" s="171">
        <v>4549</v>
      </c>
      <c r="H4552" s="186">
        <f t="shared" ca="1" si="117"/>
        <v>3.6370651167811012E-2</v>
      </c>
    </row>
    <row r="4553" spans="7:8">
      <c r="G4553" s="171">
        <v>4550</v>
      </c>
      <c r="H4553" s="186">
        <f t="shared" ca="1" si="117"/>
        <v>-8.9848969942015258E-3</v>
      </c>
    </row>
    <row r="4554" spans="7:8">
      <c r="G4554" s="171">
        <v>4551</v>
      </c>
      <c r="H4554" s="186">
        <f t="shared" ca="1" si="117"/>
        <v>-5.2400779534845577E-4</v>
      </c>
    </row>
    <row r="4555" spans="7:8">
      <c r="G4555" s="171">
        <v>4552</v>
      </c>
      <c r="H4555" s="186">
        <f t="shared" ca="1" si="117"/>
        <v>1.1730984966032173E-2</v>
      </c>
    </row>
    <row r="4556" spans="7:8">
      <c r="G4556" s="171">
        <v>4553</v>
      </c>
      <c r="H4556" s="186">
        <f t="shared" ca="1" si="117"/>
        <v>-1.1150671149492577E-2</v>
      </c>
    </row>
    <row r="4557" spans="7:8">
      <c r="G4557" s="171">
        <v>4554</v>
      </c>
      <c r="H4557" s="186">
        <f t="shared" ca="1" si="117"/>
        <v>1.7071706189115687E-2</v>
      </c>
    </row>
    <row r="4558" spans="7:8">
      <c r="G4558" s="171">
        <v>4555</v>
      </c>
      <c r="H4558" s="186">
        <f t="shared" ca="1" si="117"/>
        <v>-1.0598190310487745E-2</v>
      </c>
    </row>
    <row r="4559" spans="7:8">
      <c r="G4559" s="171">
        <v>4556</v>
      </c>
      <c r="H4559" s="186">
        <f t="shared" ca="1" si="117"/>
        <v>-3.8853182953405337E-3</v>
      </c>
    </row>
    <row r="4560" spans="7:8">
      <c r="G4560" s="171">
        <v>4557</v>
      </c>
      <c r="H4560" s="186">
        <f t="shared" ca="1" si="117"/>
        <v>-3.0535018040568711E-3</v>
      </c>
    </row>
    <row r="4561" spans="7:8">
      <c r="G4561" s="171">
        <v>4558</v>
      </c>
      <c r="H4561" s="186">
        <f t="shared" ca="1" si="117"/>
        <v>-2.5154234262720547E-3</v>
      </c>
    </row>
    <row r="4562" spans="7:8">
      <c r="G4562" s="171">
        <v>4559</v>
      </c>
      <c r="H4562" s="186">
        <f t="shared" ca="1" si="117"/>
        <v>-1.5934146134210544E-3</v>
      </c>
    </row>
    <row r="4563" spans="7:8">
      <c r="G4563" s="171">
        <v>4560</v>
      </c>
      <c r="H4563" s="186">
        <f t="shared" ca="1" si="117"/>
        <v>-9.1152822693776406E-3</v>
      </c>
    </row>
    <row r="4564" spans="7:8">
      <c r="G4564" s="171">
        <v>4561</v>
      </c>
      <c r="H4564" s="186">
        <f t="shared" ca="1" si="117"/>
        <v>8.6159400024403733E-3</v>
      </c>
    </row>
    <row r="4565" spans="7:8">
      <c r="G4565" s="171">
        <v>4562</v>
      </c>
      <c r="H4565" s="186">
        <f t="shared" ca="1" si="117"/>
        <v>-1.4890278828379795E-2</v>
      </c>
    </row>
    <row r="4566" spans="7:8">
      <c r="G4566" s="171">
        <v>4563</v>
      </c>
      <c r="H4566" s="186">
        <f t="shared" ca="1" si="117"/>
        <v>-2.1374921750113351E-2</v>
      </c>
    </row>
    <row r="4567" spans="7:8">
      <c r="G4567" s="171">
        <v>4564</v>
      </c>
      <c r="H4567" s="186">
        <f t="shared" ca="1" si="117"/>
        <v>2.4765597857626047E-2</v>
      </c>
    </row>
    <row r="4568" spans="7:8">
      <c r="G4568" s="171">
        <v>4565</v>
      </c>
      <c r="H4568" s="186">
        <f t="shared" ca="1" si="117"/>
        <v>6.0495409475564803E-3</v>
      </c>
    </row>
    <row r="4569" spans="7:8">
      <c r="G4569" s="171">
        <v>4566</v>
      </c>
      <c r="H4569" s="186">
        <f t="shared" ca="1" si="117"/>
        <v>8.2670191543377861E-3</v>
      </c>
    </row>
    <row r="4570" spans="7:8">
      <c r="G4570" s="171">
        <v>4567</v>
      </c>
      <c r="H4570" s="186">
        <f t="shared" ca="1" si="117"/>
        <v>2.1871727802581266E-4</v>
      </c>
    </row>
    <row r="4571" spans="7:8">
      <c r="G4571" s="171">
        <v>4568</v>
      </c>
      <c r="H4571" s="186">
        <f t="shared" ca="1" si="117"/>
        <v>3.5318939353120519E-4</v>
      </c>
    </row>
    <row r="4572" spans="7:8">
      <c r="G4572" s="171">
        <v>4569</v>
      </c>
      <c r="H4572" s="186">
        <f t="shared" ca="1" si="117"/>
        <v>-1.7504294340892516E-2</v>
      </c>
    </row>
    <row r="4573" spans="7:8">
      <c r="G4573" s="171">
        <v>4570</v>
      </c>
      <c r="H4573" s="186">
        <f t="shared" ca="1" si="117"/>
        <v>3.2988803477359326E-4</v>
      </c>
    </row>
    <row r="4574" spans="7:8">
      <c r="G4574" s="171">
        <v>4571</v>
      </c>
      <c r="H4574" s="186">
        <f t="shared" ca="1" si="117"/>
        <v>1.4467715599041307E-2</v>
      </c>
    </row>
    <row r="4575" spans="7:8">
      <c r="G4575" s="171">
        <v>4572</v>
      </c>
      <c r="H4575" s="186">
        <f t="shared" ca="1" si="117"/>
        <v>9.4246793511413673E-4</v>
      </c>
    </row>
    <row r="4576" spans="7:8">
      <c r="G4576" s="171">
        <v>4573</v>
      </c>
      <c r="H4576" s="186">
        <f t="shared" ca="1" si="117"/>
        <v>2.3450360260097412E-3</v>
      </c>
    </row>
    <row r="4577" spans="7:8">
      <c r="G4577" s="171">
        <v>4574</v>
      </c>
      <c r="H4577" s="186">
        <f t="shared" ca="1" si="117"/>
        <v>-3.636374063609624E-3</v>
      </c>
    </row>
    <row r="4578" spans="7:8">
      <c r="G4578" s="171">
        <v>4575</v>
      </c>
      <c r="H4578" s="186">
        <f t="shared" ca="1" si="117"/>
        <v>7.8071588970380257E-4</v>
      </c>
    </row>
    <row r="4579" spans="7:8">
      <c r="G4579" s="171">
        <v>4576</v>
      </c>
      <c r="H4579" s="186">
        <f t="shared" ca="1" si="117"/>
        <v>1.3252778962539425E-2</v>
      </c>
    </row>
    <row r="4580" spans="7:8">
      <c r="G4580" s="171">
        <v>4577</v>
      </c>
      <c r="H4580" s="186">
        <f t="shared" ca="1" si="117"/>
        <v>1.1752360260406684E-2</v>
      </c>
    </row>
    <row r="4581" spans="7:8">
      <c r="G4581" s="171">
        <v>4578</v>
      </c>
      <c r="H4581" s="186">
        <f t="shared" ca="1" si="117"/>
        <v>-5.9102330298935156E-3</v>
      </c>
    </row>
    <row r="4582" spans="7:8">
      <c r="G4582" s="171">
        <v>4579</v>
      </c>
      <c r="H4582" s="186">
        <f t="shared" ca="1" si="117"/>
        <v>-5.0582198922599535E-3</v>
      </c>
    </row>
    <row r="4583" spans="7:8">
      <c r="G4583" s="171">
        <v>4580</v>
      </c>
      <c r="H4583" s="186">
        <f t="shared" ca="1" si="117"/>
        <v>5.8762489163152378E-3</v>
      </c>
    </row>
    <row r="4584" spans="7:8">
      <c r="G4584" s="171">
        <v>4581</v>
      </c>
      <c r="H4584" s="186">
        <f t="shared" ca="1" si="117"/>
        <v>2.1632152307858286E-2</v>
      </c>
    </row>
    <row r="4585" spans="7:8">
      <c r="G4585" s="171">
        <v>4582</v>
      </c>
      <c r="H4585" s="186">
        <f t="shared" ca="1" si="117"/>
        <v>-1.4110048091414957E-2</v>
      </c>
    </row>
    <row r="4586" spans="7:8">
      <c r="G4586" s="171">
        <v>4583</v>
      </c>
      <c r="H4586" s="186">
        <f t="shared" ca="1" si="117"/>
        <v>-2.8874486935407387E-3</v>
      </c>
    </row>
    <row r="4587" spans="7:8">
      <c r="G4587" s="171">
        <v>4584</v>
      </c>
      <c r="H4587" s="186">
        <f t="shared" ca="1" si="117"/>
        <v>1.7965676844064193E-2</v>
      </c>
    </row>
    <row r="4588" spans="7:8">
      <c r="G4588" s="171">
        <v>4585</v>
      </c>
      <c r="H4588" s="186">
        <f t="shared" ca="1" si="117"/>
        <v>9.484556921700792E-3</v>
      </c>
    </row>
    <row r="4589" spans="7:8">
      <c r="G4589" s="171">
        <v>4586</v>
      </c>
      <c r="H4589" s="186">
        <f t="shared" ca="1" si="117"/>
        <v>-1.93576099759927E-3</v>
      </c>
    </row>
    <row r="4590" spans="7:8">
      <c r="G4590" s="171">
        <v>4587</v>
      </c>
      <c r="H4590" s="186">
        <f t="shared" ca="1" si="117"/>
        <v>-9.6188351795396939E-5</v>
      </c>
    </row>
    <row r="4591" spans="7:8">
      <c r="G4591" s="171">
        <v>4588</v>
      </c>
      <c r="H4591" s="186">
        <f t="shared" ca="1" si="117"/>
        <v>-1.7053979417485422E-2</v>
      </c>
    </row>
    <row r="4592" spans="7:8">
      <c r="G4592" s="171">
        <v>4589</v>
      </c>
      <c r="H4592" s="186">
        <f t="shared" ca="1" si="117"/>
        <v>-1.5557244727873218E-2</v>
      </c>
    </row>
    <row r="4593" spans="7:8">
      <c r="G4593" s="171">
        <v>4590</v>
      </c>
      <c r="H4593" s="186">
        <f t="shared" ca="1" si="117"/>
        <v>2.9932411912243127E-2</v>
      </c>
    </row>
    <row r="4594" spans="7:8">
      <c r="G4594" s="171">
        <v>4591</v>
      </c>
      <c r="H4594" s="186">
        <f t="shared" ca="1" si="117"/>
        <v>6.1403897006802191E-6</v>
      </c>
    </row>
    <row r="4595" spans="7:8">
      <c r="G4595" s="171">
        <v>4592</v>
      </c>
      <c r="H4595" s="186">
        <f t="shared" ca="1" si="117"/>
        <v>-6.5198539196516822E-4</v>
      </c>
    </row>
    <row r="4596" spans="7:8">
      <c r="G4596" s="171">
        <v>4593</v>
      </c>
      <c r="H4596" s="186">
        <f t="shared" ca="1" si="117"/>
        <v>7.3088735742756665E-3</v>
      </c>
    </row>
    <row r="4597" spans="7:8">
      <c r="G4597" s="171">
        <v>4594</v>
      </c>
      <c r="H4597" s="186">
        <f t="shared" ca="1" si="117"/>
        <v>2.2849932577683769E-2</v>
      </c>
    </row>
    <row r="4598" spans="7:8">
      <c r="G4598" s="171">
        <v>4595</v>
      </c>
      <c r="H4598" s="186">
        <f t="shared" ca="1" si="117"/>
        <v>-9.6014447597027354E-3</v>
      </c>
    </row>
    <row r="4599" spans="7:8">
      <c r="G4599" s="171">
        <v>4596</v>
      </c>
      <c r="H4599" s="186">
        <f t="shared" ca="1" si="117"/>
        <v>2.8005315803436459E-2</v>
      </c>
    </row>
    <row r="4600" spans="7:8">
      <c r="G4600" s="171">
        <v>4597</v>
      </c>
      <c r="H4600" s="186">
        <f t="shared" ca="1" si="117"/>
        <v>4.4473379031523758E-3</v>
      </c>
    </row>
    <row r="4601" spans="7:8">
      <c r="G4601" s="171">
        <v>4598</v>
      </c>
      <c r="H4601" s="186">
        <f t="shared" ca="1" si="117"/>
        <v>-3.1567801000884129E-3</v>
      </c>
    </row>
    <row r="4602" spans="7:8">
      <c r="G4602" s="171">
        <v>4599</v>
      </c>
      <c r="H4602" s="186">
        <f t="shared" ca="1" si="117"/>
        <v>-8.8123804348979751E-3</v>
      </c>
    </row>
    <row r="4603" spans="7:8">
      <c r="G4603" s="171">
        <v>4600</v>
      </c>
      <c r="H4603" s="186">
        <f t="shared" ca="1" si="117"/>
        <v>1.4587305995979278E-2</v>
      </c>
    </row>
    <row r="4604" spans="7:8">
      <c r="G4604" s="171">
        <v>4601</v>
      </c>
      <c r="H4604" s="186">
        <f t="shared" ca="1" si="117"/>
        <v>2.2833637563485359E-2</v>
      </c>
    </row>
    <row r="4605" spans="7:8">
      <c r="G4605" s="171">
        <v>4602</v>
      </c>
      <c r="H4605" s="186">
        <f t="shared" ca="1" si="117"/>
        <v>-1.1568323161738897E-2</v>
      </c>
    </row>
    <row r="4606" spans="7:8">
      <c r="G4606" s="171">
        <v>4603</v>
      </c>
      <c r="H4606" s="186">
        <f t="shared" ca="1" si="117"/>
        <v>4.344980189598318E-3</v>
      </c>
    </row>
    <row r="4607" spans="7:8">
      <c r="G4607" s="171">
        <v>4604</v>
      </c>
      <c r="H4607" s="186">
        <f t="shared" ca="1" si="117"/>
        <v>-9.0038278467760111E-3</v>
      </c>
    </row>
    <row r="4608" spans="7:8">
      <c r="G4608" s="171">
        <v>4605</v>
      </c>
      <c r="H4608" s="186">
        <f t="shared" ca="1" si="117"/>
        <v>2.4135746895374774E-3</v>
      </c>
    </row>
    <row r="4609" spans="7:8">
      <c r="G4609" s="171">
        <v>4606</v>
      </c>
      <c r="H4609" s="186">
        <f t="shared" ca="1" si="117"/>
        <v>2.2578261688894251E-3</v>
      </c>
    </row>
    <row r="4610" spans="7:8">
      <c r="G4610" s="171">
        <v>4607</v>
      </c>
      <c r="H4610" s="186">
        <f t="shared" ca="1" si="117"/>
        <v>-1.1896088735781022E-2</v>
      </c>
    </row>
    <row r="4611" spans="7:8">
      <c r="G4611" s="171">
        <v>4608</v>
      </c>
      <c r="H4611" s="186">
        <f t="shared" ca="1" si="117"/>
        <v>2.0919423881517577E-2</v>
      </c>
    </row>
    <row r="4612" spans="7:8">
      <c r="G4612" s="171">
        <v>4609</v>
      </c>
      <c r="H4612" s="186">
        <f t="shared" ca="1" si="117"/>
        <v>7.9092422610573306E-3</v>
      </c>
    </row>
    <row r="4613" spans="7:8">
      <c r="G4613" s="171">
        <v>4610</v>
      </c>
      <c r="H4613" s="186">
        <f t="shared" ref="H4613:H4676" ca="1" si="118">_xlfn.NORM.INV(RAND(),N$6,N$7)</f>
        <v>-6.1733313148218272E-3</v>
      </c>
    </row>
    <row r="4614" spans="7:8">
      <c r="G4614" s="171">
        <v>4611</v>
      </c>
      <c r="H4614" s="186">
        <f t="shared" ca="1" si="118"/>
        <v>-1.1535095714519071E-2</v>
      </c>
    </row>
    <row r="4615" spans="7:8">
      <c r="G4615" s="171">
        <v>4612</v>
      </c>
      <c r="H4615" s="186">
        <f t="shared" ca="1" si="118"/>
        <v>2.3453889209046116E-3</v>
      </c>
    </row>
    <row r="4616" spans="7:8">
      <c r="G4616" s="171">
        <v>4613</v>
      </c>
      <c r="H4616" s="186">
        <f t="shared" ca="1" si="118"/>
        <v>2.5808043333602426E-2</v>
      </c>
    </row>
    <row r="4617" spans="7:8">
      <c r="G4617" s="171">
        <v>4614</v>
      </c>
      <c r="H4617" s="186">
        <f t="shared" ca="1" si="118"/>
        <v>5.5349596621953883E-4</v>
      </c>
    </row>
    <row r="4618" spans="7:8">
      <c r="G4618" s="171">
        <v>4615</v>
      </c>
      <c r="H4618" s="186">
        <f t="shared" ca="1" si="118"/>
        <v>1.0812530415613506E-2</v>
      </c>
    </row>
    <row r="4619" spans="7:8">
      <c r="G4619" s="171">
        <v>4616</v>
      </c>
      <c r="H4619" s="186">
        <f t="shared" ca="1" si="118"/>
        <v>-6.7832625646713825E-3</v>
      </c>
    </row>
    <row r="4620" spans="7:8">
      <c r="G4620" s="171">
        <v>4617</v>
      </c>
      <c r="H4620" s="186">
        <f t="shared" ca="1" si="118"/>
        <v>-7.5898877408671133E-3</v>
      </c>
    </row>
    <row r="4621" spans="7:8">
      <c r="G4621" s="171">
        <v>4618</v>
      </c>
      <c r="H4621" s="186">
        <f t="shared" ca="1" si="118"/>
        <v>-9.1391868317390081E-3</v>
      </c>
    </row>
    <row r="4622" spans="7:8">
      <c r="G4622" s="171">
        <v>4619</v>
      </c>
      <c r="H4622" s="186">
        <f t="shared" ca="1" si="118"/>
        <v>1.180173352165737E-3</v>
      </c>
    </row>
    <row r="4623" spans="7:8">
      <c r="G4623" s="171">
        <v>4620</v>
      </c>
      <c r="H4623" s="186">
        <f t="shared" ca="1" si="118"/>
        <v>1.7507874913360547E-2</v>
      </c>
    </row>
    <row r="4624" spans="7:8">
      <c r="G4624" s="171">
        <v>4621</v>
      </c>
      <c r="H4624" s="186">
        <f t="shared" ca="1" si="118"/>
        <v>-6.7021495316885345E-3</v>
      </c>
    </row>
    <row r="4625" spans="7:8">
      <c r="G4625" s="171">
        <v>4622</v>
      </c>
      <c r="H4625" s="186">
        <f t="shared" ca="1" si="118"/>
        <v>-3.3210738508623384E-3</v>
      </c>
    </row>
    <row r="4626" spans="7:8">
      <c r="G4626" s="171">
        <v>4623</v>
      </c>
      <c r="H4626" s="186">
        <f t="shared" ca="1" si="118"/>
        <v>3.975341530094368E-3</v>
      </c>
    </row>
    <row r="4627" spans="7:8">
      <c r="G4627" s="171">
        <v>4624</v>
      </c>
      <c r="H4627" s="186">
        <f t="shared" ca="1" si="118"/>
        <v>-3.9976790257146193E-3</v>
      </c>
    </row>
    <row r="4628" spans="7:8">
      <c r="G4628" s="171">
        <v>4625</v>
      </c>
      <c r="H4628" s="186">
        <f t="shared" ca="1" si="118"/>
        <v>4.3615488432777209E-3</v>
      </c>
    </row>
    <row r="4629" spans="7:8">
      <c r="G4629" s="171">
        <v>4626</v>
      </c>
      <c r="H4629" s="186">
        <f t="shared" ca="1" si="118"/>
        <v>1.7530343921678412E-4</v>
      </c>
    </row>
    <row r="4630" spans="7:8">
      <c r="G4630" s="171">
        <v>4627</v>
      </c>
      <c r="H4630" s="186">
        <f t="shared" ca="1" si="118"/>
        <v>1.7326966902143363E-2</v>
      </c>
    </row>
    <row r="4631" spans="7:8">
      <c r="G4631" s="171">
        <v>4628</v>
      </c>
      <c r="H4631" s="186">
        <f t="shared" ca="1" si="118"/>
        <v>4.3822263362784906E-3</v>
      </c>
    </row>
    <row r="4632" spans="7:8">
      <c r="G4632" s="171">
        <v>4629</v>
      </c>
      <c r="H4632" s="186">
        <f t="shared" ca="1" si="118"/>
        <v>5.8193189799126835E-3</v>
      </c>
    </row>
    <row r="4633" spans="7:8">
      <c r="G4633" s="171">
        <v>4630</v>
      </c>
      <c r="H4633" s="186">
        <f t="shared" ca="1" si="118"/>
        <v>-1.336592024441916E-2</v>
      </c>
    </row>
    <row r="4634" spans="7:8">
      <c r="G4634" s="171">
        <v>4631</v>
      </c>
      <c r="H4634" s="186">
        <f t="shared" ca="1" si="118"/>
        <v>2.1087658758122341E-2</v>
      </c>
    </row>
    <row r="4635" spans="7:8">
      <c r="G4635" s="171">
        <v>4632</v>
      </c>
      <c r="H4635" s="186">
        <f t="shared" ca="1" si="118"/>
        <v>1.1257487237802873E-2</v>
      </c>
    </row>
    <row r="4636" spans="7:8">
      <c r="G4636" s="171">
        <v>4633</v>
      </c>
      <c r="H4636" s="186">
        <f t="shared" ca="1" si="118"/>
        <v>-3.1965532420106788E-2</v>
      </c>
    </row>
    <row r="4637" spans="7:8">
      <c r="G4637" s="171">
        <v>4634</v>
      </c>
      <c r="H4637" s="186">
        <f t="shared" ca="1" si="118"/>
        <v>3.2870427950154545E-3</v>
      </c>
    </row>
    <row r="4638" spans="7:8">
      <c r="G4638" s="171">
        <v>4635</v>
      </c>
      <c r="H4638" s="186">
        <f t="shared" ca="1" si="118"/>
        <v>-5.6732740110263392E-4</v>
      </c>
    </row>
    <row r="4639" spans="7:8">
      <c r="G4639" s="171">
        <v>4636</v>
      </c>
      <c r="H4639" s="186">
        <f t="shared" ca="1" si="118"/>
        <v>-4.0216337804237015E-3</v>
      </c>
    </row>
    <row r="4640" spans="7:8">
      <c r="G4640" s="171">
        <v>4637</v>
      </c>
      <c r="H4640" s="186">
        <f t="shared" ca="1" si="118"/>
        <v>-4.6448466232083324E-3</v>
      </c>
    </row>
    <row r="4641" spans="7:8">
      <c r="G4641" s="171">
        <v>4638</v>
      </c>
      <c r="H4641" s="186">
        <f t="shared" ca="1" si="118"/>
        <v>9.5466179253003193E-3</v>
      </c>
    </row>
    <row r="4642" spans="7:8">
      <c r="G4642" s="171">
        <v>4639</v>
      </c>
      <c r="H4642" s="186">
        <f t="shared" ca="1" si="118"/>
        <v>-7.3885026760889911E-3</v>
      </c>
    </row>
    <row r="4643" spans="7:8">
      <c r="G4643" s="171">
        <v>4640</v>
      </c>
      <c r="H4643" s="186">
        <f t="shared" ca="1" si="118"/>
        <v>3.0457305731944372E-4</v>
      </c>
    </row>
    <row r="4644" spans="7:8">
      <c r="G4644" s="171">
        <v>4641</v>
      </c>
      <c r="H4644" s="186">
        <f t="shared" ca="1" si="118"/>
        <v>-1.3362777104727672E-2</v>
      </c>
    </row>
    <row r="4645" spans="7:8">
      <c r="G4645" s="171">
        <v>4642</v>
      </c>
      <c r="H4645" s="186">
        <f t="shared" ca="1" si="118"/>
        <v>1.5749596628805467E-2</v>
      </c>
    </row>
    <row r="4646" spans="7:8">
      <c r="G4646" s="171">
        <v>4643</v>
      </c>
      <c r="H4646" s="186">
        <f t="shared" ca="1" si="118"/>
        <v>-2.4541096879896421E-2</v>
      </c>
    </row>
    <row r="4647" spans="7:8">
      <c r="G4647" s="171">
        <v>4644</v>
      </c>
      <c r="H4647" s="186">
        <f t="shared" ca="1" si="118"/>
        <v>2.1178172408859178E-2</v>
      </c>
    </row>
    <row r="4648" spans="7:8">
      <c r="G4648" s="171">
        <v>4645</v>
      </c>
      <c r="H4648" s="186">
        <f t="shared" ca="1" si="118"/>
        <v>2.5796139782939563E-2</v>
      </c>
    </row>
    <row r="4649" spans="7:8">
      <c r="G4649" s="171">
        <v>4646</v>
      </c>
      <c r="H4649" s="186">
        <f t="shared" ca="1" si="118"/>
        <v>-2.1171655155648929E-2</v>
      </c>
    </row>
    <row r="4650" spans="7:8">
      <c r="G4650" s="171">
        <v>4647</v>
      </c>
      <c r="H4650" s="186">
        <f t="shared" ca="1" si="118"/>
        <v>-1.5472855280693348E-2</v>
      </c>
    </row>
    <row r="4651" spans="7:8">
      <c r="G4651" s="171">
        <v>4648</v>
      </c>
      <c r="H4651" s="186">
        <f t="shared" ca="1" si="118"/>
        <v>2.1458554001321923E-2</v>
      </c>
    </row>
    <row r="4652" spans="7:8">
      <c r="G4652" s="171">
        <v>4649</v>
      </c>
      <c r="H4652" s="186">
        <f t="shared" ca="1" si="118"/>
        <v>-3.5178472442414351E-2</v>
      </c>
    </row>
    <row r="4653" spans="7:8">
      <c r="G4653" s="171">
        <v>4650</v>
      </c>
      <c r="H4653" s="186">
        <f t="shared" ca="1" si="118"/>
        <v>7.3662057429501058E-3</v>
      </c>
    </row>
    <row r="4654" spans="7:8">
      <c r="G4654" s="171">
        <v>4651</v>
      </c>
      <c r="H4654" s="186">
        <f t="shared" ca="1" si="118"/>
        <v>1.2226849700050365E-2</v>
      </c>
    </row>
    <row r="4655" spans="7:8">
      <c r="G4655" s="171">
        <v>4652</v>
      </c>
      <c r="H4655" s="186">
        <f t="shared" ca="1" si="118"/>
        <v>-5.7145804593039329E-3</v>
      </c>
    </row>
    <row r="4656" spans="7:8">
      <c r="G4656" s="171">
        <v>4653</v>
      </c>
      <c r="H4656" s="186">
        <f t="shared" ca="1" si="118"/>
        <v>-4.3399691207015312E-3</v>
      </c>
    </row>
    <row r="4657" spans="7:8">
      <c r="G4657" s="171">
        <v>4654</v>
      </c>
      <c r="H4657" s="186">
        <f t="shared" ca="1" si="118"/>
        <v>-8.5572857841145972E-4</v>
      </c>
    </row>
    <row r="4658" spans="7:8">
      <c r="G4658" s="171">
        <v>4655</v>
      </c>
      <c r="H4658" s="186">
        <f t="shared" ca="1" si="118"/>
        <v>6.7129301462089119E-3</v>
      </c>
    </row>
    <row r="4659" spans="7:8">
      <c r="G4659" s="171">
        <v>4656</v>
      </c>
      <c r="H4659" s="186">
        <f t="shared" ca="1" si="118"/>
        <v>1.3989370334506309E-2</v>
      </c>
    </row>
    <row r="4660" spans="7:8">
      <c r="G4660" s="171">
        <v>4657</v>
      </c>
      <c r="H4660" s="186">
        <f t="shared" ca="1" si="118"/>
        <v>1.5459541410567669E-2</v>
      </c>
    </row>
    <row r="4661" spans="7:8">
      <c r="G4661" s="171">
        <v>4658</v>
      </c>
      <c r="H4661" s="186">
        <f t="shared" ca="1" si="118"/>
        <v>-2.159787387051211E-2</v>
      </c>
    </row>
    <row r="4662" spans="7:8">
      <c r="G4662" s="171">
        <v>4659</v>
      </c>
      <c r="H4662" s="186">
        <f t="shared" ca="1" si="118"/>
        <v>-7.1881922160311447E-3</v>
      </c>
    </row>
    <row r="4663" spans="7:8">
      <c r="G4663" s="171">
        <v>4660</v>
      </c>
      <c r="H4663" s="186">
        <f t="shared" ca="1" si="118"/>
        <v>-2.2537325423676795E-2</v>
      </c>
    </row>
    <row r="4664" spans="7:8">
      <c r="G4664" s="171">
        <v>4661</v>
      </c>
      <c r="H4664" s="186">
        <f t="shared" ca="1" si="118"/>
        <v>1.3477079493378256E-2</v>
      </c>
    </row>
    <row r="4665" spans="7:8">
      <c r="G4665" s="171">
        <v>4662</v>
      </c>
      <c r="H4665" s="186">
        <f t="shared" ca="1" si="118"/>
        <v>-2.3113062198867385E-3</v>
      </c>
    </row>
    <row r="4666" spans="7:8">
      <c r="G4666" s="171">
        <v>4663</v>
      </c>
      <c r="H4666" s="186">
        <f t="shared" ca="1" si="118"/>
        <v>2.5215502633679086E-2</v>
      </c>
    </row>
    <row r="4667" spans="7:8">
      <c r="G4667" s="171">
        <v>4664</v>
      </c>
      <c r="H4667" s="186">
        <f t="shared" ca="1" si="118"/>
        <v>-1.1303649427047646E-2</v>
      </c>
    </row>
    <row r="4668" spans="7:8">
      <c r="G4668" s="171">
        <v>4665</v>
      </c>
      <c r="H4668" s="186">
        <f t="shared" ca="1" si="118"/>
        <v>2.2853213336350219E-2</v>
      </c>
    </row>
    <row r="4669" spans="7:8">
      <c r="G4669" s="171">
        <v>4666</v>
      </c>
      <c r="H4669" s="186">
        <f t="shared" ca="1" si="118"/>
        <v>-7.5891222066022919E-3</v>
      </c>
    </row>
    <row r="4670" spans="7:8">
      <c r="G4670" s="171">
        <v>4667</v>
      </c>
      <c r="H4670" s="186">
        <f t="shared" ca="1" si="118"/>
        <v>-1.7522209869827412E-2</v>
      </c>
    </row>
    <row r="4671" spans="7:8">
      <c r="G4671" s="171">
        <v>4668</v>
      </c>
      <c r="H4671" s="186">
        <f t="shared" ca="1" si="118"/>
        <v>3.4143268758782243E-2</v>
      </c>
    </row>
    <row r="4672" spans="7:8">
      <c r="G4672" s="171">
        <v>4669</v>
      </c>
      <c r="H4672" s="186">
        <f t="shared" ca="1" si="118"/>
        <v>-7.5478738958393741E-6</v>
      </c>
    </row>
    <row r="4673" spans="7:8">
      <c r="G4673" s="171">
        <v>4670</v>
      </c>
      <c r="H4673" s="186">
        <f t="shared" ca="1" si="118"/>
        <v>1.9653495093454876E-2</v>
      </c>
    </row>
    <row r="4674" spans="7:8">
      <c r="G4674" s="171">
        <v>4671</v>
      </c>
      <c r="H4674" s="186">
        <f t="shared" ca="1" si="118"/>
        <v>-9.6689147276845869E-3</v>
      </c>
    </row>
    <row r="4675" spans="7:8">
      <c r="G4675" s="171">
        <v>4672</v>
      </c>
      <c r="H4675" s="186">
        <f t="shared" ca="1" si="118"/>
        <v>1.174180670608518E-2</v>
      </c>
    </row>
    <row r="4676" spans="7:8">
      <c r="G4676" s="171">
        <v>4673</v>
      </c>
      <c r="H4676" s="186">
        <f t="shared" ca="1" si="118"/>
        <v>-5.9817264714615475E-3</v>
      </c>
    </row>
    <row r="4677" spans="7:8">
      <c r="G4677" s="171">
        <v>4674</v>
      </c>
      <c r="H4677" s="186">
        <f t="shared" ref="H4677:H4740" ca="1" si="119">_xlfn.NORM.INV(RAND(),N$6,N$7)</f>
        <v>1.1682446702099504E-2</v>
      </c>
    </row>
    <row r="4678" spans="7:8">
      <c r="G4678" s="171">
        <v>4675</v>
      </c>
      <c r="H4678" s="186">
        <f t="shared" ca="1" si="119"/>
        <v>-3.4075222979754474E-2</v>
      </c>
    </row>
    <row r="4679" spans="7:8">
      <c r="G4679" s="171">
        <v>4676</v>
      </c>
      <c r="H4679" s="186">
        <f t="shared" ca="1" si="119"/>
        <v>2.9579159365706046E-2</v>
      </c>
    </row>
    <row r="4680" spans="7:8">
      <c r="G4680" s="171">
        <v>4677</v>
      </c>
      <c r="H4680" s="186">
        <f t="shared" ca="1" si="119"/>
        <v>-1.166144398616565E-2</v>
      </c>
    </row>
    <row r="4681" spans="7:8">
      <c r="G4681" s="171">
        <v>4678</v>
      </c>
      <c r="H4681" s="186">
        <f t="shared" ca="1" si="119"/>
        <v>-1.6696797285478179E-2</v>
      </c>
    </row>
    <row r="4682" spans="7:8">
      <c r="G4682" s="171">
        <v>4679</v>
      </c>
      <c r="H4682" s="186">
        <f t="shared" ca="1" si="119"/>
        <v>-2.2067369892499002E-2</v>
      </c>
    </row>
    <row r="4683" spans="7:8">
      <c r="G4683" s="171">
        <v>4680</v>
      </c>
      <c r="H4683" s="186">
        <f t="shared" ca="1" si="119"/>
        <v>1.1928825786189767E-2</v>
      </c>
    </row>
    <row r="4684" spans="7:8">
      <c r="G4684" s="171">
        <v>4681</v>
      </c>
      <c r="H4684" s="186">
        <f t="shared" ca="1" si="119"/>
        <v>-1.8951724895996554E-2</v>
      </c>
    </row>
    <row r="4685" spans="7:8">
      <c r="G4685" s="171">
        <v>4682</v>
      </c>
      <c r="H4685" s="186">
        <f t="shared" ca="1" si="119"/>
        <v>5.7943850445086381E-3</v>
      </c>
    </row>
    <row r="4686" spans="7:8">
      <c r="G4686" s="171">
        <v>4683</v>
      </c>
      <c r="H4686" s="186">
        <f t="shared" ca="1" si="119"/>
        <v>-1.0500613325763321E-2</v>
      </c>
    </row>
    <row r="4687" spans="7:8">
      <c r="G4687" s="171">
        <v>4684</v>
      </c>
      <c r="H4687" s="186">
        <f t="shared" ca="1" si="119"/>
        <v>-3.8187485529109664E-3</v>
      </c>
    </row>
    <row r="4688" spans="7:8">
      <c r="G4688" s="171">
        <v>4685</v>
      </c>
      <c r="H4688" s="186">
        <f t="shared" ca="1" si="119"/>
        <v>-1.2547184746000074E-2</v>
      </c>
    </row>
    <row r="4689" spans="7:8">
      <c r="G4689" s="171">
        <v>4686</v>
      </c>
      <c r="H4689" s="186">
        <f t="shared" ca="1" si="119"/>
        <v>1.2565796053966473E-2</v>
      </c>
    </row>
    <row r="4690" spans="7:8">
      <c r="G4690" s="171">
        <v>4687</v>
      </c>
      <c r="H4690" s="186">
        <f t="shared" ca="1" si="119"/>
        <v>1.3479808043900527E-2</v>
      </c>
    </row>
    <row r="4691" spans="7:8">
      <c r="G4691" s="171">
        <v>4688</v>
      </c>
      <c r="H4691" s="186">
        <f t="shared" ca="1" si="119"/>
        <v>-1.8862679959718016E-3</v>
      </c>
    </row>
    <row r="4692" spans="7:8">
      <c r="G4692" s="171">
        <v>4689</v>
      </c>
      <c r="H4692" s="186">
        <f t="shared" ca="1" si="119"/>
        <v>-3.4048609748238553E-3</v>
      </c>
    </row>
    <row r="4693" spans="7:8">
      <c r="G4693" s="171">
        <v>4690</v>
      </c>
      <c r="H4693" s="186">
        <f t="shared" ca="1" si="119"/>
        <v>-2.0583485828338337E-2</v>
      </c>
    </row>
    <row r="4694" spans="7:8">
      <c r="G4694" s="171">
        <v>4691</v>
      </c>
      <c r="H4694" s="186">
        <f t="shared" ca="1" si="119"/>
        <v>-1.0890877908242507E-2</v>
      </c>
    </row>
    <row r="4695" spans="7:8">
      <c r="G4695" s="171">
        <v>4692</v>
      </c>
      <c r="H4695" s="186">
        <f t="shared" ca="1" si="119"/>
        <v>9.6968476007550115E-3</v>
      </c>
    </row>
    <row r="4696" spans="7:8">
      <c r="G4696" s="171">
        <v>4693</v>
      </c>
      <c r="H4696" s="186">
        <f t="shared" ca="1" si="119"/>
        <v>-1.6747319304086215E-2</v>
      </c>
    </row>
    <row r="4697" spans="7:8">
      <c r="G4697" s="171">
        <v>4694</v>
      </c>
      <c r="H4697" s="186">
        <f t="shared" ca="1" si="119"/>
        <v>1.0415148434087482E-2</v>
      </c>
    </row>
    <row r="4698" spans="7:8">
      <c r="G4698" s="171">
        <v>4695</v>
      </c>
      <c r="H4698" s="186">
        <f t="shared" ca="1" si="119"/>
        <v>-4.1440863430799472E-3</v>
      </c>
    </row>
    <row r="4699" spans="7:8">
      <c r="G4699" s="171">
        <v>4696</v>
      </c>
      <c r="H4699" s="186">
        <f t="shared" ca="1" si="119"/>
        <v>1.324495567769278E-2</v>
      </c>
    </row>
    <row r="4700" spans="7:8">
      <c r="G4700" s="171">
        <v>4697</v>
      </c>
      <c r="H4700" s="186">
        <f t="shared" ca="1" si="119"/>
        <v>1.2144241641431105E-3</v>
      </c>
    </row>
    <row r="4701" spans="7:8">
      <c r="G4701" s="171">
        <v>4698</v>
      </c>
      <c r="H4701" s="186">
        <f t="shared" ca="1" si="119"/>
        <v>-1.9355876377365674E-2</v>
      </c>
    </row>
    <row r="4702" spans="7:8">
      <c r="G4702" s="171">
        <v>4699</v>
      </c>
      <c r="H4702" s="186">
        <f t="shared" ca="1" si="119"/>
        <v>-1.7262490174830267E-2</v>
      </c>
    </row>
    <row r="4703" spans="7:8">
      <c r="G4703" s="171">
        <v>4700</v>
      </c>
      <c r="H4703" s="186">
        <f t="shared" ca="1" si="119"/>
        <v>1.3856499669897106E-2</v>
      </c>
    </row>
    <row r="4704" spans="7:8">
      <c r="G4704" s="171">
        <v>4701</v>
      </c>
      <c r="H4704" s="186">
        <f t="shared" ca="1" si="119"/>
        <v>-2.9116586132984346E-2</v>
      </c>
    </row>
    <row r="4705" spans="7:8">
      <c r="G4705" s="171">
        <v>4702</v>
      </c>
      <c r="H4705" s="186">
        <f t="shared" ca="1" si="119"/>
        <v>9.6768903310662045E-3</v>
      </c>
    </row>
    <row r="4706" spans="7:8">
      <c r="G4706" s="171">
        <v>4703</v>
      </c>
      <c r="H4706" s="186">
        <f t="shared" ca="1" si="119"/>
        <v>2.588130755134431E-2</v>
      </c>
    </row>
    <row r="4707" spans="7:8">
      <c r="G4707" s="171">
        <v>4704</v>
      </c>
      <c r="H4707" s="186">
        <f t="shared" ca="1" si="119"/>
        <v>3.0002443455180338E-2</v>
      </c>
    </row>
    <row r="4708" spans="7:8">
      <c r="G4708" s="171">
        <v>4705</v>
      </c>
      <c r="H4708" s="186">
        <f t="shared" ca="1" si="119"/>
        <v>1.1629305910103997E-2</v>
      </c>
    </row>
    <row r="4709" spans="7:8">
      <c r="G4709" s="171">
        <v>4706</v>
      </c>
      <c r="H4709" s="186">
        <f t="shared" ca="1" si="119"/>
        <v>1.8837482412819878E-2</v>
      </c>
    </row>
    <row r="4710" spans="7:8">
      <c r="G4710" s="171">
        <v>4707</v>
      </c>
      <c r="H4710" s="186">
        <f t="shared" ca="1" si="119"/>
        <v>-5.9238644820913981E-3</v>
      </c>
    </row>
    <row r="4711" spans="7:8">
      <c r="G4711" s="171">
        <v>4708</v>
      </c>
      <c r="H4711" s="186">
        <f t="shared" ca="1" si="119"/>
        <v>-2.3853077943616751E-2</v>
      </c>
    </row>
    <row r="4712" spans="7:8">
      <c r="G4712" s="171">
        <v>4709</v>
      </c>
      <c r="H4712" s="186">
        <f t="shared" ca="1" si="119"/>
        <v>-2.2965782439266835E-2</v>
      </c>
    </row>
    <row r="4713" spans="7:8">
      <c r="G4713" s="171">
        <v>4710</v>
      </c>
      <c r="H4713" s="186">
        <f t="shared" ca="1" si="119"/>
        <v>-2.8132578632635546E-2</v>
      </c>
    </row>
    <row r="4714" spans="7:8">
      <c r="G4714" s="171">
        <v>4711</v>
      </c>
      <c r="H4714" s="186">
        <f t="shared" ca="1" si="119"/>
        <v>-2.02205723013382E-2</v>
      </c>
    </row>
    <row r="4715" spans="7:8">
      <c r="G4715" s="171">
        <v>4712</v>
      </c>
      <c r="H4715" s="186">
        <f t="shared" ca="1" si="119"/>
        <v>9.6353004194509092E-3</v>
      </c>
    </row>
    <row r="4716" spans="7:8">
      <c r="G4716" s="171">
        <v>4713</v>
      </c>
      <c r="H4716" s="186">
        <f t="shared" ca="1" si="119"/>
        <v>-9.5862734773004901E-3</v>
      </c>
    </row>
    <row r="4717" spans="7:8">
      <c r="G4717" s="171">
        <v>4714</v>
      </c>
      <c r="H4717" s="186">
        <f t="shared" ca="1" si="119"/>
        <v>-2.3326190513610896E-3</v>
      </c>
    </row>
    <row r="4718" spans="7:8">
      <c r="G4718" s="171">
        <v>4715</v>
      </c>
      <c r="H4718" s="186">
        <f t="shared" ca="1" si="119"/>
        <v>2.133837271868369E-2</v>
      </c>
    </row>
    <row r="4719" spans="7:8">
      <c r="G4719" s="171">
        <v>4716</v>
      </c>
      <c r="H4719" s="186">
        <f t="shared" ca="1" si="119"/>
        <v>2.1780683648254576E-3</v>
      </c>
    </row>
    <row r="4720" spans="7:8">
      <c r="G4720" s="171">
        <v>4717</v>
      </c>
      <c r="H4720" s="186">
        <f t="shared" ca="1" si="119"/>
        <v>3.4607550556758883E-2</v>
      </c>
    </row>
    <row r="4721" spans="7:8">
      <c r="G4721" s="171">
        <v>4718</v>
      </c>
      <c r="H4721" s="186">
        <f t="shared" ca="1" si="119"/>
        <v>7.3139269681233403E-3</v>
      </c>
    </row>
    <row r="4722" spans="7:8">
      <c r="G4722" s="171">
        <v>4719</v>
      </c>
      <c r="H4722" s="186">
        <f t="shared" ca="1" si="119"/>
        <v>-5.2741271364561502E-3</v>
      </c>
    </row>
    <row r="4723" spans="7:8">
      <c r="G4723" s="171">
        <v>4720</v>
      </c>
      <c r="H4723" s="186">
        <f t="shared" ca="1" si="119"/>
        <v>4.1826987727651581E-2</v>
      </c>
    </row>
    <row r="4724" spans="7:8">
      <c r="G4724" s="171">
        <v>4721</v>
      </c>
      <c r="H4724" s="186">
        <f t="shared" ca="1" si="119"/>
        <v>1.8665119733426983E-2</v>
      </c>
    </row>
    <row r="4725" spans="7:8">
      <c r="G4725" s="171">
        <v>4722</v>
      </c>
      <c r="H4725" s="186">
        <f t="shared" ca="1" si="119"/>
        <v>3.7592910423682093E-3</v>
      </c>
    </row>
    <row r="4726" spans="7:8">
      <c r="G4726" s="171">
        <v>4723</v>
      </c>
      <c r="H4726" s="186">
        <f t="shared" ca="1" si="119"/>
        <v>-1.2357007130156668E-2</v>
      </c>
    </row>
    <row r="4727" spans="7:8">
      <c r="G4727" s="171">
        <v>4724</v>
      </c>
      <c r="H4727" s="186">
        <f t="shared" ca="1" si="119"/>
        <v>6.5582869221159062E-3</v>
      </c>
    </row>
    <row r="4728" spans="7:8">
      <c r="G4728" s="171">
        <v>4725</v>
      </c>
      <c r="H4728" s="186">
        <f t="shared" ca="1" si="119"/>
        <v>1.13515096360981E-2</v>
      </c>
    </row>
    <row r="4729" spans="7:8">
      <c r="G4729" s="171">
        <v>4726</v>
      </c>
      <c r="H4729" s="186">
        <f t="shared" ca="1" si="119"/>
        <v>2.0419234125072003E-2</v>
      </c>
    </row>
    <row r="4730" spans="7:8">
      <c r="G4730" s="171">
        <v>4727</v>
      </c>
      <c r="H4730" s="186">
        <f t="shared" ca="1" si="119"/>
        <v>-1.0728542896354581E-2</v>
      </c>
    </row>
    <row r="4731" spans="7:8">
      <c r="G4731" s="171">
        <v>4728</v>
      </c>
      <c r="H4731" s="186">
        <f t="shared" ca="1" si="119"/>
        <v>5.7045472795096246E-3</v>
      </c>
    </row>
    <row r="4732" spans="7:8">
      <c r="G4732" s="171">
        <v>4729</v>
      </c>
      <c r="H4732" s="186">
        <f t="shared" ca="1" si="119"/>
        <v>5.0185898002627332E-3</v>
      </c>
    </row>
    <row r="4733" spans="7:8">
      <c r="G4733" s="171">
        <v>4730</v>
      </c>
      <c r="H4733" s="186">
        <f t="shared" ca="1" si="119"/>
        <v>-8.8731478299754196E-3</v>
      </c>
    </row>
    <row r="4734" spans="7:8">
      <c r="G4734" s="171">
        <v>4731</v>
      </c>
      <c r="H4734" s="186">
        <f t="shared" ca="1" si="119"/>
        <v>2.0417378025964064E-2</v>
      </c>
    </row>
    <row r="4735" spans="7:8">
      <c r="G4735" s="171">
        <v>4732</v>
      </c>
      <c r="H4735" s="186">
        <f t="shared" ca="1" si="119"/>
        <v>7.3313619837137554E-4</v>
      </c>
    </row>
    <row r="4736" spans="7:8">
      <c r="G4736" s="171">
        <v>4733</v>
      </c>
      <c r="H4736" s="186">
        <f t="shared" ca="1" si="119"/>
        <v>5.1873777170851239E-3</v>
      </c>
    </row>
    <row r="4737" spans="7:8">
      <c r="G4737" s="171">
        <v>4734</v>
      </c>
      <c r="H4737" s="186">
        <f t="shared" ca="1" si="119"/>
        <v>-1.2007470716306675E-2</v>
      </c>
    </row>
    <row r="4738" spans="7:8">
      <c r="G4738" s="171">
        <v>4735</v>
      </c>
      <c r="H4738" s="186">
        <f t="shared" ca="1" si="119"/>
        <v>-2.8025981192762797E-2</v>
      </c>
    </row>
    <row r="4739" spans="7:8">
      <c r="G4739" s="171">
        <v>4736</v>
      </c>
      <c r="H4739" s="186">
        <f t="shared" ca="1" si="119"/>
        <v>5.7888924178626146E-3</v>
      </c>
    </row>
    <row r="4740" spans="7:8">
      <c r="G4740" s="171">
        <v>4737</v>
      </c>
      <c r="H4740" s="186">
        <f t="shared" ca="1" si="119"/>
        <v>-3.0336165954878251E-3</v>
      </c>
    </row>
    <row r="4741" spans="7:8">
      <c r="G4741" s="171">
        <v>4738</v>
      </c>
      <c r="H4741" s="186">
        <f t="shared" ref="H4741:H4804" ca="1" si="120">_xlfn.NORM.INV(RAND(),N$6,N$7)</f>
        <v>1.0523483297566018E-3</v>
      </c>
    </row>
    <row r="4742" spans="7:8">
      <c r="G4742" s="171">
        <v>4739</v>
      </c>
      <c r="H4742" s="186">
        <f t="shared" ca="1" si="120"/>
        <v>5.6832973634866934E-3</v>
      </c>
    </row>
    <row r="4743" spans="7:8">
      <c r="G4743" s="171">
        <v>4740</v>
      </c>
      <c r="H4743" s="186">
        <f t="shared" ca="1" si="120"/>
        <v>5.164140677686495E-4</v>
      </c>
    </row>
    <row r="4744" spans="7:8">
      <c r="G4744" s="171">
        <v>4741</v>
      </c>
      <c r="H4744" s="186">
        <f t="shared" ca="1" si="120"/>
        <v>2.2432553178595924E-2</v>
      </c>
    </row>
    <row r="4745" spans="7:8">
      <c r="G4745" s="171">
        <v>4742</v>
      </c>
      <c r="H4745" s="186">
        <f t="shared" ca="1" si="120"/>
        <v>2.1848716850948031E-3</v>
      </c>
    </row>
    <row r="4746" spans="7:8">
      <c r="G4746" s="171">
        <v>4743</v>
      </c>
      <c r="H4746" s="186">
        <f t="shared" ca="1" si="120"/>
        <v>-1.3131196623041491E-2</v>
      </c>
    </row>
    <row r="4747" spans="7:8">
      <c r="G4747" s="171">
        <v>4744</v>
      </c>
      <c r="H4747" s="186">
        <f t="shared" ca="1" si="120"/>
        <v>3.1718326065375918E-2</v>
      </c>
    </row>
    <row r="4748" spans="7:8">
      <c r="G4748" s="171">
        <v>4745</v>
      </c>
      <c r="H4748" s="186">
        <f t="shared" ca="1" si="120"/>
        <v>-1.4171704733484634E-2</v>
      </c>
    </row>
    <row r="4749" spans="7:8">
      <c r="G4749" s="171">
        <v>4746</v>
      </c>
      <c r="H4749" s="186">
        <f t="shared" ca="1" si="120"/>
        <v>1.9492421597467256E-2</v>
      </c>
    </row>
    <row r="4750" spans="7:8">
      <c r="G4750" s="171">
        <v>4747</v>
      </c>
      <c r="H4750" s="186">
        <f t="shared" ca="1" si="120"/>
        <v>9.9656349779165335E-3</v>
      </c>
    </row>
    <row r="4751" spans="7:8">
      <c r="G4751" s="171">
        <v>4748</v>
      </c>
      <c r="H4751" s="186">
        <f t="shared" ca="1" si="120"/>
        <v>1.9079864728503433E-2</v>
      </c>
    </row>
    <row r="4752" spans="7:8">
      <c r="G4752" s="171">
        <v>4749</v>
      </c>
      <c r="H4752" s="186">
        <f t="shared" ca="1" si="120"/>
        <v>-2.2101675796489223E-2</v>
      </c>
    </row>
    <row r="4753" spans="7:8">
      <c r="G4753" s="171">
        <v>4750</v>
      </c>
      <c r="H4753" s="186">
        <f t="shared" ca="1" si="120"/>
        <v>-4.2864077440310892E-3</v>
      </c>
    </row>
    <row r="4754" spans="7:8">
      <c r="G4754" s="171">
        <v>4751</v>
      </c>
      <c r="H4754" s="186">
        <f t="shared" ca="1" si="120"/>
        <v>-2.2890054432453136E-2</v>
      </c>
    </row>
    <row r="4755" spans="7:8">
      <c r="G4755" s="171">
        <v>4752</v>
      </c>
      <c r="H4755" s="186">
        <f t="shared" ca="1" si="120"/>
        <v>-1.1360184873935218E-2</v>
      </c>
    </row>
    <row r="4756" spans="7:8">
      <c r="G4756" s="171">
        <v>4753</v>
      </c>
      <c r="H4756" s="186">
        <f t="shared" ca="1" si="120"/>
        <v>-2.4594063693503899E-2</v>
      </c>
    </row>
    <row r="4757" spans="7:8">
      <c r="G4757" s="171">
        <v>4754</v>
      </c>
      <c r="H4757" s="186">
        <f t="shared" ca="1" si="120"/>
        <v>1.2852380182084993E-2</v>
      </c>
    </row>
    <row r="4758" spans="7:8">
      <c r="G4758" s="171">
        <v>4755</v>
      </c>
      <c r="H4758" s="186">
        <f t="shared" ca="1" si="120"/>
        <v>1.9423944695050363E-2</v>
      </c>
    </row>
    <row r="4759" spans="7:8">
      <c r="G4759" s="171">
        <v>4756</v>
      </c>
      <c r="H4759" s="186">
        <f t="shared" ca="1" si="120"/>
        <v>2.1318128925262563E-2</v>
      </c>
    </row>
    <row r="4760" spans="7:8">
      <c r="G4760" s="171">
        <v>4757</v>
      </c>
      <c r="H4760" s="186">
        <f t="shared" ca="1" si="120"/>
        <v>-1.7994803239483356E-3</v>
      </c>
    </row>
    <row r="4761" spans="7:8">
      <c r="G4761" s="171">
        <v>4758</v>
      </c>
      <c r="H4761" s="186">
        <f t="shared" ca="1" si="120"/>
        <v>-5.8459186348921973E-3</v>
      </c>
    </row>
    <row r="4762" spans="7:8">
      <c r="G4762" s="171">
        <v>4759</v>
      </c>
      <c r="H4762" s="186">
        <f t="shared" ca="1" si="120"/>
        <v>1.5189786820413703E-2</v>
      </c>
    </row>
    <row r="4763" spans="7:8">
      <c r="G4763" s="171">
        <v>4760</v>
      </c>
      <c r="H4763" s="186">
        <f t="shared" ca="1" si="120"/>
        <v>-7.4526125910452249E-3</v>
      </c>
    </row>
    <row r="4764" spans="7:8">
      <c r="G4764" s="171">
        <v>4761</v>
      </c>
      <c r="H4764" s="186">
        <f t="shared" ca="1" si="120"/>
        <v>-5.2214467924106738E-3</v>
      </c>
    </row>
    <row r="4765" spans="7:8">
      <c r="G4765" s="171">
        <v>4762</v>
      </c>
      <c r="H4765" s="186">
        <f t="shared" ca="1" si="120"/>
        <v>1.3288802812759799E-2</v>
      </c>
    </row>
    <row r="4766" spans="7:8">
      <c r="G4766" s="171">
        <v>4763</v>
      </c>
      <c r="H4766" s="186">
        <f t="shared" ca="1" si="120"/>
        <v>-9.0536929373912917E-3</v>
      </c>
    </row>
    <row r="4767" spans="7:8">
      <c r="G4767" s="171">
        <v>4764</v>
      </c>
      <c r="H4767" s="186">
        <f t="shared" ca="1" si="120"/>
        <v>3.5818177334969695E-3</v>
      </c>
    </row>
    <row r="4768" spans="7:8">
      <c r="G4768" s="171">
        <v>4765</v>
      </c>
      <c r="H4768" s="186">
        <f t="shared" ca="1" si="120"/>
        <v>-1.1723077559311314E-2</v>
      </c>
    </row>
    <row r="4769" spans="7:8">
      <c r="G4769" s="171">
        <v>4766</v>
      </c>
      <c r="H4769" s="186">
        <f t="shared" ca="1" si="120"/>
        <v>2.0543657574718356E-2</v>
      </c>
    </row>
    <row r="4770" spans="7:8">
      <c r="G4770" s="171">
        <v>4767</v>
      </c>
      <c r="H4770" s="186">
        <f t="shared" ca="1" si="120"/>
        <v>-8.5013644533688346E-3</v>
      </c>
    </row>
    <row r="4771" spans="7:8">
      <c r="G4771" s="171">
        <v>4768</v>
      </c>
      <c r="H4771" s="186">
        <f t="shared" ca="1" si="120"/>
        <v>7.3466698891560588E-3</v>
      </c>
    </row>
    <row r="4772" spans="7:8">
      <c r="G4772" s="171">
        <v>4769</v>
      </c>
      <c r="H4772" s="186">
        <f t="shared" ca="1" si="120"/>
        <v>-1.1256217794830414E-2</v>
      </c>
    </row>
    <row r="4773" spans="7:8">
      <c r="G4773" s="171">
        <v>4770</v>
      </c>
      <c r="H4773" s="186">
        <f t="shared" ca="1" si="120"/>
        <v>8.5366903832529966E-3</v>
      </c>
    </row>
    <row r="4774" spans="7:8">
      <c r="G4774" s="171">
        <v>4771</v>
      </c>
      <c r="H4774" s="186">
        <f t="shared" ca="1" si="120"/>
        <v>-1.5126711921186042E-3</v>
      </c>
    </row>
    <row r="4775" spans="7:8">
      <c r="G4775" s="171">
        <v>4772</v>
      </c>
      <c r="H4775" s="186">
        <f t="shared" ca="1" si="120"/>
        <v>-2.1313834215101191E-2</v>
      </c>
    </row>
    <row r="4776" spans="7:8">
      <c r="G4776" s="171">
        <v>4773</v>
      </c>
      <c r="H4776" s="186">
        <f t="shared" ca="1" si="120"/>
        <v>1.3640452171503991E-2</v>
      </c>
    </row>
    <row r="4777" spans="7:8">
      <c r="G4777" s="171">
        <v>4774</v>
      </c>
      <c r="H4777" s="186">
        <f t="shared" ca="1" si="120"/>
        <v>-2.4830208821143371E-2</v>
      </c>
    </row>
    <row r="4778" spans="7:8">
      <c r="G4778" s="171">
        <v>4775</v>
      </c>
      <c r="H4778" s="186">
        <f t="shared" ca="1" si="120"/>
        <v>1.0473584085053663E-2</v>
      </c>
    </row>
    <row r="4779" spans="7:8">
      <c r="G4779" s="171">
        <v>4776</v>
      </c>
      <c r="H4779" s="186">
        <f t="shared" ca="1" si="120"/>
        <v>1.2336437915885044E-2</v>
      </c>
    </row>
    <row r="4780" spans="7:8">
      <c r="G4780" s="171">
        <v>4777</v>
      </c>
      <c r="H4780" s="186">
        <f t="shared" ca="1" si="120"/>
        <v>-2.0718460411696142E-3</v>
      </c>
    </row>
    <row r="4781" spans="7:8">
      <c r="G4781" s="171">
        <v>4778</v>
      </c>
      <c r="H4781" s="186">
        <f t="shared" ca="1" si="120"/>
        <v>3.1694788495070313E-2</v>
      </c>
    </row>
    <row r="4782" spans="7:8">
      <c r="G4782" s="171">
        <v>4779</v>
      </c>
      <c r="H4782" s="186">
        <f t="shared" ca="1" si="120"/>
        <v>1.1402307243552653E-3</v>
      </c>
    </row>
    <row r="4783" spans="7:8">
      <c r="G4783" s="171">
        <v>4780</v>
      </c>
      <c r="H4783" s="186">
        <f t="shared" ca="1" si="120"/>
        <v>-2.3759528516956291E-3</v>
      </c>
    </row>
    <row r="4784" spans="7:8">
      <c r="G4784" s="171">
        <v>4781</v>
      </c>
      <c r="H4784" s="186">
        <f t="shared" ca="1" si="120"/>
        <v>-1.6797623115823366E-2</v>
      </c>
    </row>
    <row r="4785" spans="7:8">
      <c r="G4785" s="171">
        <v>4782</v>
      </c>
      <c r="H4785" s="186">
        <f t="shared" ca="1" si="120"/>
        <v>2.6026333072538741E-2</v>
      </c>
    </row>
    <row r="4786" spans="7:8">
      <c r="G4786" s="171">
        <v>4783</v>
      </c>
      <c r="H4786" s="186">
        <f t="shared" ca="1" si="120"/>
        <v>-8.0810312635299728E-3</v>
      </c>
    </row>
    <row r="4787" spans="7:8">
      <c r="G4787" s="171">
        <v>4784</v>
      </c>
      <c r="H4787" s="186">
        <f t="shared" ca="1" si="120"/>
        <v>6.1619379958295318E-3</v>
      </c>
    </row>
    <row r="4788" spans="7:8">
      <c r="G4788" s="171">
        <v>4785</v>
      </c>
      <c r="H4788" s="186">
        <f t="shared" ca="1" si="120"/>
        <v>-7.0428408522605979E-3</v>
      </c>
    </row>
    <row r="4789" spans="7:8">
      <c r="G4789" s="171">
        <v>4786</v>
      </c>
      <c r="H4789" s="186">
        <f t="shared" ca="1" si="120"/>
        <v>-5.869184509180966E-3</v>
      </c>
    </row>
    <row r="4790" spans="7:8">
      <c r="G4790" s="171">
        <v>4787</v>
      </c>
      <c r="H4790" s="186">
        <f t="shared" ca="1" si="120"/>
        <v>-3.5720576414216616E-2</v>
      </c>
    </row>
    <row r="4791" spans="7:8">
      <c r="G4791" s="171">
        <v>4788</v>
      </c>
      <c r="H4791" s="186">
        <f t="shared" ca="1" si="120"/>
        <v>-2.1435103564625503E-2</v>
      </c>
    </row>
    <row r="4792" spans="7:8">
      <c r="G4792" s="171">
        <v>4789</v>
      </c>
      <c r="H4792" s="186">
        <f t="shared" ca="1" si="120"/>
        <v>5.8256812886484685E-4</v>
      </c>
    </row>
    <row r="4793" spans="7:8">
      <c r="G4793" s="171">
        <v>4790</v>
      </c>
      <c r="H4793" s="186">
        <f t="shared" ca="1" si="120"/>
        <v>1.2567035705527647E-2</v>
      </c>
    </row>
    <row r="4794" spans="7:8">
      <c r="G4794" s="171">
        <v>4791</v>
      </c>
      <c r="H4794" s="186">
        <f t="shared" ca="1" si="120"/>
        <v>-1.2101474146035877E-2</v>
      </c>
    </row>
    <row r="4795" spans="7:8">
      <c r="G4795" s="171">
        <v>4792</v>
      </c>
      <c r="H4795" s="186">
        <f t="shared" ca="1" si="120"/>
        <v>-7.9670276099479791E-3</v>
      </c>
    </row>
    <row r="4796" spans="7:8">
      <c r="G4796" s="171">
        <v>4793</v>
      </c>
      <c r="H4796" s="186">
        <f t="shared" ca="1" si="120"/>
        <v>1.3529821331550002E-2</v>
      </c>
    </row>
    <row r="4797" spans="7:8">
      <c r="G4797" s="171">
        <v>4794</v>
      </c>
      <c r="H4797" s="186">
        <f t="shared" ca="1" si="120"/>
        <v>8.5815215385518472E-3</v>
      </c>
    </row>
    <row r="4798" spans="7:8">
      <c r="G4798" s="171">
        <v>4795</v>
      </c>
      <c r="H4798" s="186">
        <f t="shared" ca="1" si="120"/>
        <v>-1.0022459461820161E-2</v>
      </c>
    </row>
    <row r="4799" spans="7:8">
      <c r="G4799" s="171">
        <v>4796</v>
      </c>
      <c r="H4799" s="186">
        <f t="shared" ca="1" si="120"/>
        <v>-1.8880515812754847E-2</v>
      </c>
    </row>
    <row r="4800" spans="7:8">
      <c r="G4800" s="171">
        <v>4797</v>
      </c>
      <c r="H4800" s="186">
        <f t="shared" ca="1" si="120"/>
        <v>-4.2467353010261369E-3</v>
      </c>
    </row>
    <row r="4801" spans="7:8">
      <c r="G4801" s="171">
        <v>4798</v>
      </c>
      <c r="H4801" s="186">
        <f t="shared" ca="1" si="120"/>
        <v>5.3254552031150931E-3</v>
      </c>
    </row>
    <row r="4802" spans="7:8">
      <c r="G4802" s="171">
        <v>4799</v>
      </c>
      <c r="H4802" s="186">
        <f t="shared" ca="1" si="120"/>
        <v>-8.7726659238046151E-3</v>
      </c>
    </row>
    <row r="4803" spans="7:8">
      <c r="G4803" s="171">
        <v>4800</v>
      </c>
      <c r="H4803" s="186">
        <f t="shared" ca="1" si="120"/>
        <v>-4.7169278276409706E-3</v>
      </c>
    </row>
    <row r="4804" spans="7:8">
      <c r="G4804" s="171">
        <v>4801</v>
      </c>
      <c r="H4804" s="186">
        <f t="shared" ca="1" si="120"/>
        <v>4.9229666840251429E-3</v>
      </c>
    </row>
    <row r="4805" spans="7:8">
      <c r="G4805" s="171">
        <v>4802</v>
      </c>
      <c r="H4805" s="186">
        <f t="shared" ref="H4805:H4868" ca="1" si="121">_xlfn.NORM.INV(RAND(),N$6,N$7)</f>
        <v>3.3618426750176168E-3</v>
      </c>
    </row>
    <row r="4806" spans="7:8">
      <c r="G4806" s="171">
        <v>4803</v>
      </c>
      <c r="H4806" s="186">
        <f t="shared" ca="1" si="121"/>
        <v>8.1074954664086436E-3</v>
      </c>
    </row>
    <row r="4807" spans="7:8">
      <c r="G4807" s="171">
        <v>4804</v>
      </c>
      <c r="H4807" s="186">
        <f t="shared" ca="1" si="121"/>
        <v>-1.5270820462026994E-2</v>
      </c>
    </row>
    <row r="4808" spans="7:8">
      <c r="G4808" s="171">
        <v>4805</v>
      </c>
      <c r="H4808" s="186">
        <f t="shared" ca="1" si="121"/>
        <v>2.1273705337173838E-2</v>
      </c>
    </row>
    <row r="4809" spans="7:8">
      <c r="G4809" s="171">
        <v>4806</v>
      </c>
      <c r="H4809" s="186">
        <f t="shared" ca="1" si="121"/>
        <v>-4.1060863683417539E-3</v>
      </c>
    </row>
    <row r="4810" spans="7:8">
      <c r="G4810" s="171">
        <v>4807</v>
      </c>
      <c r="H4810" s="186">
        <f t="shared" ca="1" si="121"/>
        <v>1.9810298023957364E-2</v>
      </c>
    </row>
    <row r="4811" spans="7:8">
      <c r="G4811" s="171">
        <v>4808</v>
      </c>
      <c r="H4811" s="186">
        <f t="shared" ca="1" si="121"/>
        <v>1.2784604719579987E-2</v>
      </c>
    </row>
    <row r="4812" spans="7:8">
      <c r="G4812" s="171">
        <v>4809</v>
      </c>
      <c r="H4812" s="186">
        <f t="shared" ca="1" si="121"/>
        <v>-2.0044959194857492E-2</v>
      </c>
    </row>
    <row r="4813" spans="7:8">
      <c r="G4813" s="171">
        <v>4810</v>
      </c>
      <c r="H4813" s="186">
        <f t="shared" ca="1" si="121"/>
        <v>2.3060041279035767E-2</v>
      </c>
    </row>
    <row r="4814" spans="7:8">
      <c r="G4814" s="171">
        <v>4811</v>
      </c>
      <c r="H4814" s="186">
        <f t="shared" ca="1" si="121"/>
        <v>1.7816981763447981E-2</v>
      </c>
    </row>
    <row r="4815" spans="7:8">
      <c r="G4815" s="171">
        <v>4812</v>
      </c>
      <c r="H4815" s="186">
        <f t="shared" ca="1" si="121"/>
        <v>1.0867970426158826E-3</v>
      </c>
    </row>
    <row r="4816" spans="7:8">
      <c r="G4816" s="171">
        <v>4813</v>
      </c>
      <c r="H4816" s="186">
        <f t="shared" ca="1" si="121"/>
        <v>1.8548253446059631E-2</v>
      </c>
    </row>
    <row r="4817" spans="7:8">
      <c r="G4817" s="171">
        <v>4814</v>
      </c>
      <c r="H4817" s="186">
        <f t="shared" ca="1" si="121"/>
        <v>-9.8248610527875606E-4</v>
      </c>
    </row>
    <row r="4818" spans="7:8">
      <c r="G4818" s="171">
        <v>4815</v>
      </c>
      <c r="H4818" s="186">
        <f t="shared" ca="1" si="121"/>
        <v>9.6986062695673895E-3</v>
      </c>
    </row>
    <row r="4819" spans="7:8">
      <c r="G4819" s="171">
        <v>4816</v>
      </c>
      <c r="H4819" s="186">
        <f t="shared" ca="1" si="121"/>
        <v>1.1575231265635531E-2</v>
      </c>
    </row>
    <row r="4820" spans="7:8">
      <c r="G4820" s="171">
        <v>4817</v>
      </c>
      <c r="H4820" s="186">
        <f t="shared" ca="1" si="121"/>
        <v>2.2368459939842451E-2</v>
      </c>
    </row>
    <row r="4821" spans="7:8">
      <c r="G4821" s="171">
        <v>4818</v>
      </c>
      <c r="H4821" s="186">
        <f t="shared" ca="1" si="121"/>
        <v>1.1143340487762967E-2</v>
      </c>
    </row>
    <row r="4822" spans="7:8">
      <c r="G4822" s="171">
        <v>4819</v>
      </c>
      <c r="H4822" s="186">
        <f t="shared" ca="1" si="121"/>
        <v>-3.0611172265718181E-3</v>
      </c>
    </row>
    <row r="4823" spans="7:8">
      <c r="G4823" s="171">
        <v>4820</v>
      </c>
      <c r="H4823" s="186">
        <f t="shared" ca="1" si="121"/>
        <v>-5.5946214110758419E-3</v>
      </c>
    </row>
    <row r="4824" spans="7:8">
      <c r="G4824" s="171">
        <v>4821</v>
      </c>
      <c r="H4824" s="186">
        <f t="shared" ca="1" si="121"/>
        <v>-1.2302013073252819E-2</v>
      </c>
    </row>
    <row r="4825" spans="7:8">
      <c r="G4825" s="171">
        <v>4822</v>
      </c>
      <c r="H4825" s="186">
        <f t="shared" ca="1" si="121"/>
        <v>-1.0319378633228963E-2</v>
      </c>
    </row>
    <row r="4826" spans="7:8">
      <c r="G4826" s="171">
        <v>4823</v>
      </c>
      <c r="H4826" s="186">
        <f t="shared" ca="1" si="121"/>
        <v>1.053457434044149E-3</v>
      </c>
    </row>
    <row r="4827" spans="7:8">
      <c r="G4827" s="171">
        <v>4824</v>
      </c>
      <c r="H4827" s="186">
        <f t="shared" ca="1" si="121"/>
        <v>4.5380560048178271E-3</v>
      </c>
    </row>
    <row r="4828" spans="7:8">
      <c r="G4828" s="171">
        <v>4825</v>
      </c>
      <c r="H4828" s="186">
        <f t="shared" ca="1" si="121"/>
        <v>-4.6085333757639266E-3</v>
      </c>
    </row>
    <row r="4829" spans="7:8">
      <c r="G4829" s="171">
        <v>4826</v>
      </c>
      <c r="H4829" s="186">
        <f t="shared" ca="1" si="121"/>
        <v>-7.874797817364643E-4</v>
      </c>
    </row>
    <row r="4830" spans="7:8">
      <c r="G4830" s="171">
        <v>4827</v>
      </c>
      <c r="H4830" s="186">
        <f t="shared" ca="1" si="121"/>
        <v>7.608051120923001E-4</v>
      </c>
    </row>
    <row r="4831" spans="7:8">
      <c r="G4831" s="171">
        <v>4828</v>
      </c>
      <c r="H4831" s="186">
        <f t="shared" ca="1" si="121"/>
        <v>3.2120032057691458E-3</v>
      </c>
    </row>
    <row r="4832" spans="7:8">
      <c r="G4832" s="171">
        <v>4829</v>
      </c>
      <c r="H4832" s="186">
        <f t="shared" ca="1" si="121"/>
        <v>1.7846452601389725E-2</v>
      </c>
    </row>
    <row r="4833" spans="7:8">
      <c r="G4833" s="171">
        <v>4830</v>
      </c>
      <c r="H4833" s="186">
        <f t="shared" ca="1" si="121"/>
        <v>-3.2156768343661953E-3</v>
      </c>
    </row>
    <row r="4834" spans="7:8">
      <c r="G4834" s="171">
        <v>4831</v>
      </c>
      <c r="H4834" s="186">
        <f t="shared" ca="1" si="121"/>
        <v>-1.4716362432485036E-2</v>
      </c>
    </row>
    <row r="4835" spans="7:8">
      <c r="G4835" s="171">
        <v>4832</v>
      </c>
      <c r="H4835" s="186">
        <f t="shared" ca="1" si="121"/>
        <v>-5.1774208177755713E-4</v>
      </c>
    </row>
    <row r="4836" spans="7:8">
      <c r="G4836" s="171">
        <v>4833</v>
      </c>
      <c r="H4836" s="186">
        <f t="shared" ca="1" si="121"/>
        <v>4.4940480054626048E-3</v>
      </c>
    </row>
    <row r="4837" spans="7:8">
      <c r="G4837" s="171">
        <v>4834</v>
      </c>
      <c r="H4837" s="186">
        <f t="shared" ca="1" si="121"/>
        <v>-8.1078009124528096E-3</v>
      </c>
    </row>
    <row r="4838" spans="7:8">
      <c r="G4838" s="171">
        <v>4835</v>
      </c>
      <c r="H4838" s="186">
        <f t="shared" ca="1" si="121"/>
        <v>-2.2212533052007648E-2</v>
      </c>
    </row>
    <row r="4839" spans="7:8">
      <c r="G4839" s="171">
        <v>4836</v>
      </c>
      <c r="H4839" s="186">
        <f t="shared" ca="1" si="121"/>
        <v>1.260862879131551E-2</v>
      </c>
    </row>
    <row r="4840" spans="7:8">
      <c r="G4840" s="171">
        <v>4837</v>
      </c>
      <c r="H4840" s="186">
        <f t="shared" ca="1" si="121"/>
        <v>-3.0918648209036149E-2</v>
      </c>
    </row>
    <row r="4841" spans="7:8">
      <c r="G4841" s="171">
        <v>4838</v>
      </c>
      <c r="H4841" s="186">
        <f t="shared" ca="1" si="121"/>
        <v>7.5449355672248522E-3</v>
      </c>
    </row>
    <row r="4842" spans="7:8">
      <c r="G4842" s="171">
        <v>4839</v>
      </c>
      <c r="H4842" s="186">
        <f t="shared" ca="1" si="121"/>
        <v>5.6166863672792895E-3</v>
      </c>
    </row>
    <row r="4843" spans="7:8">
      <c r="G4843" s="171">
        <v>4840</v>
      </c>
      <c r="H4843" s="186">
        <f t="shared" ca="1" si="121"/>
        <v>9.2930410496528011E-4</v>
      </c>
    </row>
    <row r="4844" spans="7:8">
      <c r="G4844" s="171">
        <v>4841</v>
      </c>
      <c r="H4844" s="186">
        <f t="shared" ca="1" si="121"/>
        <v>1.3768438981015327E-2</v>
      </c>
    </row>
    <row r="4845" spans="7:8">
      <c r="G4845" s="171">
        <v>4842</v>
      </c>
      <c r="H4845" s="186">
        <f t="shared" ca="1" si="121"/>
        <v>-7.4845617649964011E-3</v>
      </c>
    </row>
    <row r="4846" spans="7:8">
      <c r="G4846" s="171">
        <v>4843</v>
      </c>
      <c r="H4846" s="186">
        <f t="shared" ca="1" si="121"/>
        <v>2.7466747492451427E-2</v>
      </c>
    </row>
    <row r="4847" spans="7:8">
      <c r="G4847" s="171">
        <v>4844</v>
      </c>
      <c r="H4847" s="186">
        <f t="shared" ca="1" si="121"/>
        <v>-9.1259318221682522E-3</v>
      </c>
    </row>
    <row r="4848" spans="7:8">
      <c r="G4848" s="171">
        <v>4845</v>
      </c>
      <c r="H4848" s="186">
        <f t="shared" ca="1" si="121"/>
        <v>1.1584496713720976E-2</v>
      </c>
    </row>
    <row r="4849" spans="7:8">
      <c r="G4849" s="171">
        <v>4846</v>
      </c>
      <c r="H4849" s="186">
        <f t="shared" ca="1" si="121"/>
        <v>2.2289538609658946E-3</v>
      </c>
    </row>
    <row r="4850" spans="7:8">
      <c r="G4850" s="171">
        <v>4847</v>
      </c>
      <c r="H4850" s="186">
        <f t="shared" ca="1" si="121"/>
        <v>-5.6888023105180598E-3</v>
      </c>
    </row>
    <row r="4851" spans="7:8">
      <c r="G4851" s="171">
        <v>4848</v>
      </c>
      <c r="H4851" s="186">
        <f t="shared" ca="1" si="121"/>
        <v>-1.1949379635725805E-2</v>
      </c>
    </row>
    <row r="4852" spans="7:8">
      <c r="G4852" s="171">
        <v>4849</v>
      </c>
      <c r="H4852" s="186">
        <f t="shared" ca="1" si="121"/>
        <v>-8.788859415741675E-3</v>
      </c>
    </row>
    <row r="4853" spans="7:8">
      <c r="G4853" s="171">
        <v>4850</v>
      </c>
      <c r="H4853" s="186">
        <f t="shared" ca="1" si="121"/>
        <v>1.3938346783830451E-2</v>
      </c>
    </row>
    <row r="4854" spans="7:8">
      <c r="G4854" s="171">
        <v>4851</v>
      </c>
      <c r="H4854" s="186">
        <f t="shared" ca="1" si="121"/>
        <v>-1.9021322594519309E-2</v>
      </c>
    </row>
    <row r="4855" spans="7:8">
      <c r="G4855" s="171">
        <v>4852</v>
      </c>
      <c r="H4855" s="186">
        <f t="shared" ca="1" si="121"/>
        <v>7.2677991926794281E-3</v>
      </c>
    </row>
    <row r="4856" spans="7:8">
      <c r="G4856" s="171">
        <v>4853</v>
      </c>
      <c r="H4856" s="186">
        <f t="shared" ca="1" si="121"/>
        <v>3.871967280985448E-3</v>
      </c>
    </row>
    <row r="4857" spans="7:8">
      <c r="G4857" s="171">
        <v>4854</v>
      </c>
      <c r="H4857" s="186">
        <f t="shared" ca="1" si="121"/>
        <v>-7.6469053258356517E-3</v>
      </c>
    </row>
    <row r="4858" spans="7:8">
      <c r="G4858" s="171">
        <v>4855</v>
      </c>
      <c r="H4858" s="186">
        <f t="shared" ca="1" si="121"/>
        <v>-3.5617930041411386E-3</v>
      </c>
    </row>
    <row r="4859" spans="7:8">
      <c r="G4859" s="171">
        <v>4856</v>
      </c>
      <c r="H4859" s="186">
        <f t="shared" ca="1" si="121"/>
        <v>3.5378619009553795E-2</v>
      </c>
    </row>
    <row r="4860" spans="7:8">
      <c r="G4860" s="171">
        <v>4857</v>
      </c>
      <c r="H4860" s="186">
        <f t="shared" ca="1" si="121"/>
        <v>-6.3463869985126546E-4</v>
      </c>
    </row>
    <row r="4861" spans="7:8">
      <c r="G4861" s="171">
        <v>4858</v>
      </c>
      <c r="H4861" s="186">
        <f t="shared" ca="1" si="121"/>
        <v>2.7002029618584415E-3</v>
      </c>
    </row>
    <row r="4862" spans="7:8">
      <c r="G4862" s="171">
        <v>4859</v>
      </c>
      <c r="H4862" s="186">
        <f t="shared" ca="1" si="121"/>
        <v>-7.738745549713225E-5</v>
      </c>
    </row>
    <row r="4863" spans="7:8">
      <c r="G4863" s="171">
        <v>4860</v>
      </c>
      <c r="H4863" s="186">
        <f t="shared" ca="1" si="121"/>
        <v>-9.793842936535218E-3</v>
      </c>
    </row>
    <row r="4864" spans="7:8">
      <c r="G4864" s="171">
        <v>4861</v>
      </c>
      <c r="H4864" s="186">
        <f t="shared" ca="1" si="121"/>
        <v>1.9010499856521371E-2</v>
      </c>
    </row>
    <row r="4865" spans="7:8">
      <c r="G4865" s="171">
        <v>4862</v>
      </c>
      <c r="H4865" s="186">
        <f t="shared" ca="1" si="121"/>
        <v>1.0608775007491364E-2</v>
      </c>
    </row>
    <row r="4866" spans="7:8">
      <c r="G4866" s="171">
        <v>4863</v>
      </c>
      <c r="H4866" s="186">
        <f t="shared" ca="1" si="121"/>
        <v>1.0012673327745357E-2</v>
      </c>
    </row>
    <row r="4867" spans="7:8">
      <c r="G4867" s="171">
        <v>4864</v>
      </c>
      <c r="H4867" s="186">
        <f t="shared" ca="1" si="121"/>
        <v>-1.5062993104054203E-2</v>
      </c>
    </row>
    <row r="4868" spans="7:8">
      <c r="G4868" s="171">
        <v>4865</v>
      </c>
      <c r="H4868" s="186">
        <f t="shared" ca="1" si="121"/>
        <v>1.2773718291742297E-2</v>
      </c>
    </row>
    <row r="4869" spans="7:8">
      <c r="G4869" s="171">
        <v>4866</v>
      </c>
      <c r="H4869" s="186">
        <f t="shared" ref="H4869:H4932" ca="1" si="122">_xlfn.NORM.INV(RAND(),N$6,N$7)</f>
        <v>-1.1653340771343496E-2</v>
      </c>
    </row>
    <row r="4870" spans="7:8">
      <c r="G4870" s="171">
        <v>4867</v>
      </c>
      <c r="H4870" s="186">
        <f t="shared" ca="1" si="122"/>
        <v>-1.4384618820046512E-2</v>
      </c>
    </row>
    <row r="4871" spans="7:8">
      <c r="G4871" s="171">
        <v>4868</v>
      </c>
      <c r="H4871" s="186">
        <f t="shared" ca="1" si="122"/>
        <v>9.9991139036466475E-3</v>
      </c>
    </row>
    <row r="4872" spans="7:8">
      <c r="G4872" s="171">
        <v>4869</v>
      </c>
      <c r="H4872" s="186">
        <f t="shared" ca="1" si="122"/>
        <v>-2.7134611049469308E-3</v>
      </c>
    </row>
    <row r="4873" spans="7:8">
      <c r="G4873" s="171">
        <v>4870</v>
      </c>
      <c r="H4873" s="186">
        <f t="shared" ca="1" si="122"/>
        <v>-1.3832567771825025E-2</v>
      </c>
    </row>
    <row r="4874" spans="7:8">
      <c r="G4874" s="171">
        <v>4871</v>
      </c>
      <c r="H4874" s="186">
        <f t="shared" ca="1" si="122"/>
        <v>-1.9794310895092548E-2</v>
      </c>
    </row>
    <row r="4875" spans="7:8">
      <c r="G4875" s="171">
        <v>4872</v>
      </c>
      <c r="H4875" s="186">
        <f t="shared" ca="1" si="122"/>
        <v>-6.2034422488526232E-4</v>
      </c>
    </row>
    <row r="4876" spans="7:8">
      <c r="G4876" s="171">
        <v>4873</v>
      </c>
      <c r="H4876" s="186">
        <f t="shared" ca="1" si="122"/>
        <v>-1.6374113620620741E-2</v>
      </c>
    </row>
    <row r="4877" spans="7:8">
      <c r="G4877" s="171">
        <v>4874</v>
      </c>
      <c r="H4877" s="186">
        <f t="shared" ca="1" si="122"/>
        <v>1.5757269516593932E-2</v>
      </c>
    </row>
    <row r="4878" spans="7:8">
      <c r="G4878" s="171">
        <v>4875</v>
      </c>
      <c r="H4878" s="186">
        <f t="shared" ca="1" si="122"/>
        <v>7.7647744744356361E-3</v>
      </c>
    </row>
    <row r="4879" spans="7:8">
      <c r="G4879" s="171">
        <v>4876</v>
      </c>
      <c r="H4879" s="186">
        <f t="shared" ca="1" si="122"/>
        <v>1.0466651556201269E-2</v>
      </c>
    </row>
    <row r="4880" spans="7:8">
      <c r="G4880" s="171">
        <v>4877</v>
      </c>
      <c r="H4880" s="186">
        <f t="shared" ca="1" si="122"/>
        <v>1.6442649857616058E-2</v>
      </c>
    </row>
    <row r="4881" spans="7:8">
      <c r="G4881" s="171">
        <v>4878</v>
      </c>
      <c r="H4881" s="186">
        <f t="shared" ca="1" si="122"/>
        <v>2.9897722495135196E-3</v>
      </c>
    </row>
    <row r="4882" spans="7:8">
      <c r="G4882" s="171">
        <v>4879</v>
      </c>
      <c r="H4882" s="186">
        <f t="shared" ca="1" si="122"/>
        <v>-1.5596771747317287E-2</v>
      </c>
    </row>
    <row r="4883" spans="7:8">
      <c r="G4883" s="171">
        <v>4880</v>
      </c>
      <c r="H4883" s="186">
        <f t="shared" ca="1" si="122"/>
        <v>2.2463800489249293E-2</v>
      </c>
    </row>
    <row r="4884" spans="7:8">
      <c r="G4884" s="171">
        <v>4881</v>
      </c>
      <c r="H4884" s="186">
        <f t="shared" ca="1" si="122"/>
        <v>1.8302847388620394E-3</v>
      </c>
    </row>
    <row r="4885" spans="7:8">
      <c r="G4885" s="171">
        <v>4882</v>
      </c>
      <c r="H4885" s="186">
        <f t="shared" ca="1" si="122"/>
        <v>-1.0559076948961282E-2</v>
      </c>
    </row>
    <row r="4886" spans="7:8">
      <c r="G4886" s="171">
        <v>4883</v>
      </c>
      <c r="H4886" s="186">
        <f t="shared" ca="1" si="122"/>
        <v>6.6457401868302906E-3</v>
      </c>
    </row>
    <row r="4887" spans="7:8">
      <c r="G4887" s="171">
        <v>4884</v>
      </c>
      <c r="H4887" s="186">
        <f t="shared" ca="1" si="122"/>
        <v>-8.7510997219811726E-4</v>
      </c>
    </row>
    <row r="4888" spans="7:8">
      <c r="G4888" s="171">
        <v>4885</v>
      </c>
      <c r="H4888" s="186">
        <f t="shared" ca="1" si="122"/>
        <v>-2.9472965519957914E-2</v>
      </c>
    </row>
    <row r="4889" spans="7:8">
      <c r="G4889" s="171">
        <v>4886</v>
      </c>
      <c r="H4889" s="186">
        <f t="shared" ca="1" si="122"/>
        <v>-6.2779400576825706E-3</v>
      </c>
    </row>
    <row r="4890" spans="7:8">
      <c r="G4890" s="171">
        <v>4887</v>
      </c>
      <c r="H4890" s="186">
        <f t="shared" ca="1" si="122"/>
        <v>-7.2296724783878262E-3</v>
      </c>
    </row>
    <row r="4891" spans="7:8">
      <c r="G4891" s="171">
        <v>4888</v>
      </c>
      <c r="H4891" s="186">
        <f t="shared" ca="1" si="122"/>
        <v>-1.0855546057014583E-2</v>
      </c>
    </row>
    <row r="4892" spans="7:8">
      <c r="G4892" s="171">
        <v>4889</v>
      </c>
      <c r="H4892" s="186">
        <f t="shared" ca="1" si="122"/>
        <v>-9.6616510255403965E-3</v>
      </c>
    </row>
    <row r="4893" spans="7:8">
      <c r="G4893" s="171">
        <v>4890</v>
      </c>
      <c r="H4893" s="186">
        <f t="shared" ca="1" si="122"/>
        <v>4.2509427162151737E-3</v>
      </c>
    </row>
    <row r="4894" spans="7:8">
      <c r="G4894" s="171">
        <v>4891</v>
      </c>
      <c r="H4894" s="186">
        <f t="shared" ca="1" si="122"/>
        <v>-1.0452096568363472E-2</v>
      </c>
    </row>
    <row r="4895" spans="7:8">
      <c r="G4895" s="171">
        <v>4892</v>
      </c>
      <c r="H4895" s="186">
        <f t="shared" ca="1" si="122"/>
        <v>-1.6110382194161454E-2</v>
      </c>
    </row>
    <row r="4896" spans="7:8">
      <c r="G4896" s="171">
        <v>4893</v>
      </c>
      <c r="H4896" s="186">
        <f t="shared" ca="1" si="122"/>
        <v>6.0752732368438804E-3</v>
      </c>
    </row>
    <row r="4897" spans="7:8">
      <c r="G4897" s="171">
        <v>4894</v>
      </c>
      <c r="H4897" s="186">
        <f t="shared" ca="1" si="122"/>
        <v>-8.1586469102753814E-3</v>
      </c>
    </row>
    <row r="4898" spans="7:8">
      <c r="G4898" s="171">
        <v>4895</v>
      </c>
      <c r="H4898" s="186">
        <f t="shared" ca="1" si="122"/>
        <v>-1.1368728456516174E-2</v>
      </c>
    </row>
    <row r="4899" spans="7:8">
      <c r="G4899" s="171">
        <v>4896</v>
      </c>
      <c r="H4899" s="186">
        <f t="shared" ca="1" si="122"/>
        <v>-3.1163243741646307E-2</v>
      </c>
    </row>
    <row r="4900" spans="7:8">
      <c r="G4900" s="171">
        <v>4897</v>
      </c>
      <c r="H4900" s="186">
        <f t="shared" ca="1" si="122"/>
        <v>6.3914961018709162E-3</v>
      </c>
    </row>
    <row r="4901" spans="7:8">
      <c r="G4901" s="171">
        <v>4898</v>
      </c>
      <c r="H4901" s="186">
        <f t="shared" ca="1" si="122"/>
        <v>-1.9565922304946148E-2</v>
      </c>
    </row>
    <row r="4902" spans="7:8">
      <c r="G4902" s="171">
        <v>4899</v>
      </c>
      <c r="H4902" s="186">
        <f t="shared" ca="1" si="122"/>
        <v>1.4885594276219596E-2</v>
      </c>
    </row>
    <row r="4903" spans="7:8">
      <c r="G4903" s="171">
        <v>4900</v>
      </c>
      <c r="H4903" s="186">
        <f t="shared" ca="1" si="122"/>
        <v>-6.385638799186133E-3</v>
      </c>
    </row>
    <row r="4904" spans="7:8">
      <c r="G4904" s="171">
        <v>4901</v>
      </c>
      <c r="H4904" s="186">
        <f t="shared" ca="1" si="122"/>
        <v>-3.9903636949808349E-2</v>
      </c>
    </row>
    <row r="4905" spans="7:8">
      <c r="G4905" s="171">
        <v>4902</v>
      </c>
      <c r="H4905" s="186">
        <f t="shared" ca="1" si="122"/>
        <v>1.1416773843230855E-2</v>
      </c>
    </row>
    <row r="4906" spans="7:8">
      <c r="G4906" s="171">
        <v>4903</v>
      </c>
      <c r="H4906" s="186">
        <f t="shared" ca="1" si="122"/>
        <v>1.9293919164173015E-2</v>
      </c>
    </row>
    <row r="4907" spans="7:8">
      <c r="G4907" s="171">
        <v>4904</v>
      </c>
      <c r="H4907" s="186">
        <f t="shared" ca="1" si="122"/>
        <v>-7.8603467169800524E-3</v>
      </c>
    </row>
    <row r="4908" spans="7:8">
      <c r="G4908" s="171">
        <v>4905</v>
      </c>
      <c r="H4908" s="186">
        <f t="shared" ca="1" si="122"/>
        <v>-3.0853698423049393E-2</v>
      </c>
    </row>
    <row r="4909" spans="7:8">
      <c r="G4909" s="171">
        <v>4906</v>
      </c>
      <c r="H4909" s="186">
        <f t="shared" ca="1" si="122"/>
        <v>1.6528977970465444E-2</v>
      </c>
    </row>
    <row r="4910" spans="7:8">
      <c r="G4910" s="171">
        <v>4907</v>
      </c>
      <c r="H4910" s="186">
        <f t="shared" ca="1" si="122"/>
        <v>-1.3526444985739816E-2</v>
      </c>
    </row>
    <row r="4911" spans="7:8">
      <c r="G4911" s="171">
        <v>4908</v>
      </c>
      <c r="H4911" s="186">
        <f t="shared" ca="1" si="122"/>
        <v>-5.7642892586757376E-3</v>
      </c>
    </row>
    <row r="4912" spans="7:8">
      <c r="G4912" s="171">
        <v>4909</v>
      </c>
      <c r="H4912" s="186">
        <f t="shared" ca="1" si="122"/>
        <v>-1.3451254683462574E-2</v>
      </c>
    </row>
    <row r="4913" spans="7:8">
      <c r="G4913" s="171">
        <v>4910</v>
      </c>
      <c r="H4913" s="186">
        <f t="shared" ca="1" si="122"/>
        <v>1.448828306601228E-2</v>
      </c>
    </row>
    <row r="4914" spans="7:8">
      <c r="G4914" s="171">
        <v>4911</v>
      </c>
      <c r="H4914" s="186">
        <f t="shared" ca="1" si="122"/>
        <v>1.3659155119329592E-2</v>
      </c>
    </row>
    <row r="4915" spans="7:8">
      <c r="G4915" s="171">
        <v>4912</v>
      </c>
      <c r="H4915" s="186">
        <f t="shared" ca="1" si="122"/>
        <v>-2.0231156455543412E-2</v>
      </c>
    </row>
    <row r="4916" spans="7:8">
      <c r="G4916" s="171">
        <v>4913</v>
      </c>
      <c r="H4916" s="186">
        <f t="shared" ca="1" si="122"/>
        <v>-6.6713418825505863E-3</v>
      </c>
    </row>
    <row r="4917" spans="7:8">
      <c r="G4917" s="171">
        <v>4914</v>
      </c>
      <c r="H4917" s="186">
        <f t="shared" ca="1" si="122"/>
        <v>2.7603825303181527E-3</v>
      </c>
    </row>
    <row r="4918" spans="7:8">
      <c r="G4918" s="171">
        <v>4915</v>
      </c>
      <c r="H4918" s="186">
        <f t="shared" ca="1" si="122"/>
        <v>-3.2647383238875228E-3</v>
      </c>
    </row>
    <row r="4919" spans="7:8">
      <c r="G4919" s="171">
        <v>4916</v>
      </c>
      <c r="H4919" s="186">
        <f t="shared" ca="1" si="122"/>
        <v>1.170237990545888E-2</v>
      </c>
    </row>
    <row r="4920" spans="7:8">
      <c r="G4920" s="171">
        <v>4917</v>
      </c>
      <c r="H4920" s="186">
        <f t="shared" ca="1" si="122"/>
        <v>-1.6224679080672346E-2</v>
      </c>
    </row>
    <row r="4921" spans="7:8">
      <c r="G4921" s="171">
        <v>4918</v>
      </c>
      <c r="H4921" s="186">
        <f t="shared" ca="1" si="122"/>
        <v>-1.0467420124336609E-2</v>
      </c>
    </row>
    <row r="4922" spans="7:8">
      <c r="G4922" s="171">
        <v>4919</v>
      </c>
      <c r="H4922" s="186">
        <f t="shared" ca="1" si="122"/>
        <v>2.1185384714866737E-2</v>
      </c>
    </row>
    <row r="4923" spans="7:8">
      <c r="G4923" s="171">
        <v>4920</v>
      </c>
      <c r="H4923" s="186">
        <f t="shared" ca="1" si="122"/>
        <v>1.6380351897659962E-2</v>
      </c>
    </row>
    <row r="4924" spans="7:8">
      <c r="G4924" s="171">
        <v>4921</v>
      </c>
      <c r="H4924" s="186">
        <f t="shared" ca="1" si="122"/>
        <v>-1.7050862117796953E-2</v>
      </c>
    </row>
    <row r="4925" spans="7:8">
      <c r="G4925" s="171">
        <v>4922</v>
      </c>
      <c r="H4925" s="186">
        <f t="shared" ca="1" si="122"/>
        <v>-2.1735669234329551E-2</v>
      </c>
    </row>
    <row r="4926" spans="7:8">
      <c r="G4926" s="171">
        <v>4923</v>
      </c>
      <c r="H4926" s="186">
        <f t="shared" ca="1" si="122"/>
        <v>6.8423698228141806E-3</v>
      </c>
    </row>
    <row r="4927" spans="7:8">
      <c r="G4927" s="171">
        <v>4924</v>
      </c>
      <c r="H4927" s="186">
        <f t="shared" ca="1" si="122"/>
        <v>-4.6386896244078489E-3</v>
      </c>
    </row>
    <row r="4928" spans="7:8">
      <c r="G4928" s="171">
        <v>4925</v>
      </c>
      <c r="H4928" s="186">
        <f t="shared" ca="1" si="122"/>
        <v>2.8842397134346658E-2</v>
      </c>
    </row>
    <row r="4929" spans="7:8">
      <c r="G4929" s="171">
        <v>4926</v>
      </c>
      <c r="H4929" s="186">
        <f t="shared" ca="1" si="122"/>
        <v>1.0651112026942532E-2</v>
      </c>
    </row>
    <row r="4930" spans="7:8">
      <c r="G4930" s="171">
        <v>4927</v>
      </c>
      <c r="H4930" s="186">
        <f t="shared" ca="1" si="122"/>
        <v>-8.5080176269830485E-3</v>
      </c>
    </row>
    <row r="4931" spans="7:8">
      <c r="G4931" s="171">
        <v>4928</v>
      </c>
      <c r="H4931" s="186">
        <f t="shared" ca="1" si="122"/>
        <v>-2.5245676087711708E-2</v>
      </c>
    </row>
    <row r="4932" spans="7:8">
      <c r="G4932" s="171">
        <v>4929</v>
      </c>
      <c r="H4932" s="186">
        <f t="shared" ca="1" si="122"/>
        <v>5.6112388185264681E-3</v>
      </c>
    </row>
    <row r="4933" spans="7:8">
      <c r="G4933" s="171">
        <v>4930</v>
      </c>
      <c r="H4933" s="186">
        <f t="shared" ref="H4933:H4996" ca="1" si="123">_xlfn.NORM.INV(RAND(),N$6,N$7)</f>
        <v>-9.9862832722443055E-3</v>
      </c>
    </row>
    <row r="4934" spans="7:8">
      <c r="G4934" s="171">
        <v>4931</v>
      </c>
      <c r="H4934" s="186">
        <f t="shared" ca="1" si="123"/>
        <v>3.713489509469702E-3</v>
      </c>
    </row>
    <row r="4935" spans="7:8">
      <c r="G4935" s="171">
        <v>4932</v>
      </c>
      <c r="H4935" s="186">
        <f t="shared" ca="1" si="123"/>
        <v>4.5976365199697188E-3</v>
      </c>
    </row>
    <row r="4936" spans="7:8">
      <c r="G4936" s="171">
        <v>4933</v>
      </c>
      <c r="H4936" s="186">
        <f t="shared" ca="1" si="123"/>
        <v>3.4410059782812752E-2</v>
      </c>
    </row>
    <row r="4937" spans="7:8">
      <c r="G4937" s="171">
        <v>4934</v>
      </c>
      <c r="H4937" s="186">
        <f t="shared" ca="1" si="123"/>
        <v>-1.5636446831011831E-2</v>
      </c>
    </row>
    <row r="4938" spans="7:8">
      <c r="G4938" s="171">
        <v>4935</v>
      </c>
      <c r="H4938" s="186">
        <f t="shared" ca="1" si="123"/>
        <v>3.6221024848303938E-2</v>
      </c>
    </row>
    <row r="4939" spans="7:8">
      <c r="G4939" s="171">
        <v>4936</v>
      </c>
      <c r="H4939" s="186">
        <f t="shared" ca="1" si="123"/>
        <v>-4.1665321313464664E-3</v>
      </c>
    </row>
    <row r="4940" spans="7:8">
      <c r="G4940" s="171">
        <v>4937</v>
      </c>
      <c r="H4940" s="186">
        <f t="shared" ca="1" si="123"/>
        <v>9.6644331691243205E-3</v>
      </c>
    </row>
    <row r="4941" spans="7:8">
      <c r="G4941" s="171">
        <v>4938</v>
      </c>
      <c r="H4941" s="186">
        <f t="shared" ca="1" si="123"/>
        <v>-1.6490248691977303E-4</v>
      </c>
    </row>
    <row r="4942" spans="7:8">
      <c r="G4942" s="171">
        <v>4939</v>
      </c>
      <c r="H4942" s="186">
        <f t="shared" ca="1" si="123"/>
        <v>-4.6882760946055143E-3</v>
      </c>
    </row>
    <row r="4943" spans="7:8">
      <c r="G4943" s="171">
        <v>4940</v>
      </c>
      <c r="H4943" s="186">
        <f t="shared" ca="1" si="123"/>
        <v>-1.9197602571509272E-3</v>
      </c>
    </row>
    <row r="4944" spans="7:8">
      <c r="G4944" s="171">
        <v>4941</v>
      </c>
      <c r="H4944" s="186">
        <f t="shared" ca="1" si="123"/>
        <v>8.7717573225778583E-3</v>
      </c>
    </row>
    <row r="4945" spans="7:8">
      <c r="G4945" s="171">
        <v>4942</v>
      </c>
      <c r="H4945" s="186">
        <f t="shared" ca="1" si="123"/>
        <v>-1.6007801261412442E-2</v>
      </c>
    </row>
    <row r="4946" spans="7:8">
      <c r="G4946" s="171">
        <v>4943</v>
      </c>
      <c r="H4946" s="186">
        <f t="shared" ca="1" si="123"/>
        <v>-1.1935511221059708E-2</v>
      </c>
    </row>
    <row r="4947" spans="7:8">
      <c r="G4947" s="171">
        <v>4944</v>
      </c>
      <c r="H4947" s="186">
        <f t="shared" ca="1" si="123"/>
        <v>1.6099991096587177E-2</v>
      </c>
    </row>
    <row r="4948" spans="7:8">
      <c r="G4948" s="171">
        <v>4945</v>
      </c>
      <c r="H4948" s="186">
        <f t="shared" ca="1" si="123"/>
        <v>9.3298476176585862E-3</v>
      </c>
    </row>
    <row r="4949" spans="7:8">
      <c r="G4949" s="171">
        <v>4946</v>
      </c>
      <c r="H4949" s="186">
        <f t="shared" ca="1" si="123"/>
        <v>-4.6346490707858653E-3</v>
      </c>
    </row>
    <row r="4950" spans="7:8">
      <c r="G4950" s="171">
        <v>4947</v>
      </c>
      <c r="H4950" s="186">
        <f t="shared" ca="1" si="123"/>
        <v>8.3379860452833868E-3</v>
      </c>
    </row>
    <row r="4951" spans="7:8">
      <c r="G4951" s="171">
        <v>4948</v>
      </c>
      <c r="H4951" s="186">
        <f t="shared" ca="1" si="123"/>
        <v>-5.7316682388626021E-3</v>
      </c>
    </row>
    <row r="4952" spans="7:8">
      <c r="G4952" s="171">
        <v>4949</v>
      </c>
      <c r="H4952" s="186">
        <f t="shared" ca="1" si="123"/>
        <v>5.4572456091601185E-3</v>
      </c>
    </row>
    <row r="4953" spans="7:8">
      <c r="G4953" s="171">
        <v>4950</v>
      </c>
      <c r="H4953" s="186">
        <f t="shared" ca="1" si="123"/>
        <v>-1.9582932449873684E-2</v>
      </c>
    </row>
    <row r="4954" spans="7:8">
      <c r="G4954" s="171">
        <v>4951</v>
      </c>
      <c r="H4954" s="186">
        <f t="shared" ca="1" si="123"/>
        <v>-2.0033610756201559E-3</v>
      </c>
    </row>
    <row r="4955" spans="7:8">
      <c r="G4955" s="171">
        <v>4952</v>
      </c>
      <c r="H4955" s="186">
        <f t="shared" ca="1" si="123"/>
        <v>3.6238299246398866E-3</v>
      </c>
    </row>
    <row r="4956" spans="7:8">
      <c r="G4956" s="171">
        <v>4953</v>
      </c>
      <c r="H4956" s="186">
        <f t="shared" ca="1" si="123"/>
        <v>1.1134551073398535E-2</v>
      </c>
    </row>
    <row r="4957" spans="7:8">
      <c r="G4957" s="171">
        <v>4954</v>
      </c>
      <c r="H4957" s="186">
        <f t="shared" ca="1" si="123"/>
        <v>1.4410753838608804E-2</v>
      </c>
    </row>
    <row r="4958" spans="7:8">
      <c r="G4958" s="171">
        <v>4955</v>
      </c>
      <c r="H4958" s="186">
        <f t="shared" ca="1" si="123"/>
        <v>7.8003749028104545E-3</v>
      </c>
    </row>
    <row r="4959" spans="7:8">
      <c r="G4959" s="171">
        <v>4956</v>
      </c>
      <c r="H4959" s="186">
        <f t="shared" ca="1" si="123"/>
        <v>1.6119118726065289E-2</v>
      </c>
    </row>
    <row r="4960" spans="7:8">
      <c r="G4960" s="171">
        <v>4957</v>
      </c>
      <c r="H4960" s="186">
        <f t="shared" ca="1" si="123"/>
        <v>-1.1803578647542308E-2</v>
      </c>
    </row>
    <row r="4961" spans="7:8">
      <c r="G4961" s="171">
        <v>4958</v>
      </c>
      <c r="H4961" s="186">
        <f t="shared" ca="1" si="123"/>
        <v>1.4196414425013293E-2</v>
      </c>
    </row>
    <row r="4962" spans="7:8">
      <c r="G4962" s="171">
        <v>4959</v>
      </c>
      <c r="H4962" s="186">
        <f t="shared" ca="1" si="123"/>
        <v>2.2226428205487192E-3</v>
      </c>
    </row>
    <row r="4963" spans="7:8">
      <c r="G4963" s="171">
        <v>4960</v>
      </c>
      <c r="H4963" s="186">
        <f t="shared" ca="1" si="123"/>
        <v>2.1673991013839197E-2</v>
      </c>
    </row>
    <row r="4964" spans="7:8">
      <c r="G4964" s="171">
        <v>4961</v>
      </c>
      <c r="H4964" s="186">
        <f t="shared" ca="1" si="123"/>
        <v>-3.2580023447170794E-3</v>
      </c>
    </row>
    <row r="4965" spans="7:8">
      <c r="G4965" s="171">
        <v>4962</v>
      </c>
      <c r="H4965" s="186">
        <f t="shared" ca="1" si="123"/>
        <v>-1.8246017856054876E-2</v>
      </c>
    </row>
    <row r="4966" spans="7:8">
      <c r="G4966" s="171">
        <v>4963</v>
      </c>
      <c r="H4966" s="186">
        <f t="shared" ca="1" si="123"/>
        <v>-2.1392902910678479E-2</v>
      </c>
    </row>
    <row r="4967" spans="7:8">
      <c r="G4967" s="171">
        <v>4964</v>
      </c>
      <c r="H4967" s="186">
        <f t="shared" ca="1" si="123"/>
        <v>-4.825134012758685E-4</v>
      </c>
    </row>
    <row r="4968" spans="7:8">
      <c r="G4968" s="171">
        <v>4965</v>
      </c>
      <c r="H4968" s="186">
        <f t="shared" ca="1" si="123"/>
        <v>-4.5029619118600621E-3</v>
      </c>
    </row>
    <row r="4969" spans="7:8">
      <c r="G4969" s="171">
        <v>4966</v>
      </c>
      <c r="H4969" s="186">
        <f t="shared" ca="1" si="123"/>
        <v>1.1735039727207247E-2</v>
      </c>
    </row>
    <row r="4970" spans="7:8">
      <c r="G4970" s="171">
        <v>4967</v>
      </c>
      <c r="H4970" s="186">
        <f t="shared" ca="1" si="123"/>
        <v>-1.3103147289798263E-2</v>
      </c>
    </row>
    <row r="4971" spans="7:8">
      <c r="G4971" s="171">
        <v>4968</v>
      </c>
      <c r="H4971" s="186">
        <f t="shared" ca="1" si="123"/>
        <v>-9.554690517158201E-3</v>
      </c>
    </row>
    <row r="4972" spans="7:8">
      <c r="G4972" s="171">
        <v>4969</v>
      </c>
      <c r="H4972" s="186">
        <f t="shared" ca="1" si="123"/>
        <v>-7.5433729080686849E-3</v>
      </c>
    </row>
    <row r="4973" spans="7:8">
      <c r="G4973" s="171">
        <v>4970</v>
      </c>
      <c r="H4973" s="186">
        <f t="shared" ca="1" si="123"/>
        <v>-1.1112495633108559E-2</v>
      </c>
    </row>
    <row r="4974" spans="7:8">
      <c r="G4974" s="171">
        <v>4971</v>
      </c>
      <c r="H4974" s="186">
        <f t="shared" ca="1" si="123"/>
        <v>-3.238614180903536E-3</v>
      </c>
    </row>
    <row r="4975" spans="7:8">
      <c r="G4975" s="171">
        <v>4972</v>
      </c>
      <c r="H4975" s="186">
        <f t="shared" ca="1" si="123"/>
        <v>-3.9243172701444067E-4</v>
      </c>
    </row>
    <row r="4976" spans="7:8">
      <c r="G4976" s="171">
        <v>4973</v>
      </c>
      <c r="H4976" s="186">
        <f t="shared" ca="1" si="123"/>
        <v>-1.8986348656648655E-3</v>
      </c>
    </row>
    <row r="4977" spans="7:8">
      <c r="G4977" s="171">
        <v>4974</v>
      </c>
      <c r="H4977" s="186">
        <f t="shared" ca="1" si="123"/>
        <v>1.9572346714839216E-2</v>
      </c>
    </row>
    <row r="4978" spans="7:8">
      <c r="G4978" s="171">
        <v>4975</v>
      </c>
      <c r="H4978" s="186">
        <f t="shared" ca="1" si="123"/>
        <v>-2.1849737840185065E-2</v>
      </c>
    </row>
    <row r="4979" spans="7:8">
      <c r="G4979" s="171">
        <v>4976</v>
      </c>
      <c r="H4979" s="186">
        <f t="shared" ca="1" si="123"/>
        <v>1.3097035640981879E-2</v>
      </c>
    </row>
    <row r="4980" spans="7:8">
      <c r="G4980" s="171">
        <v>4977</v>
      </c>
      <c r="H4980" s="186">
        <f t="shared" ca="1" si="123"/>
        <v>5.4751143550430129E-3</v>
      </c>
    </row>
    <row r="4981" spans="7:8">
      <c r="G4981" s="171">
        <v>4978</v>
      </c>
      <c r="H4981" s="186">
        <f t="shared" ca="1" si="123"/>
        <v>-1.347845682943855E-3</v>
      </c>
    </row>
    <row r="4982" spans="7:8">
      <c r="G4982" s="171">
        <v>4979</v>
      </c>
      <c r="H4982" s="186">
        <f t="shared" ca="1" si="123"/>
        <v>-2.8556098085537971E-3</v>
      </c>
    </row>
    <row r="4983" spans="7:8">
      <c r="G4983" s="171">
        <v>4980</v>
      </c>
      <c r="H4983" s="186">
        <f t="shared" ca="1" si="123"/>
        <v>1.3671671780424716E-2</v>
      </c>
    </row>
    <row r="4984" spans="7:8">
      <c r="G4984" s="171">
        <v>4981</v>
      </c>
      <c r="H4984" s="186">
        <f t="shared" ca="1" si="123"/>
        <v>-6.2020167877921651E-3</v>
      </c>
    </row>
    <row r="4985" spans="7:8">
      <c r="G4985" s="171">
        <v>4982</v>
      </c>
      <c r="H4985" s="186">
        <f t="shared" ca="1" si="123"/>
        <v>-1.189990355176028E-2</v>
      </c>
    </row>
    <row r="4986" spans="7:8">
      <c r="G4986" s="171">
        <v>4983</v>
      </c>
      <c r="H4986" s="186">
        <f t="shared" ca="1" si="123"/>
        <v>9.9191783974071895E-3</v>
      </c>
    </row>
    <row r="4987" spans="7:8">
      <c r="G4987" s="171">
        <v>4984</v>
      </c>
      <c r="H4987" s="186">
        <f t="shared" ca="1" si="123"/>
        <v>3.4300154266019352E-2</v>
      </c>
    </row>
    <row r="4988" spans="7:8">
      <c r="G4988" s="171">
        <v>4985</v>
      </c>
      <c r="H4988" s="186">
        <f t="shared" ca="1" si="123"/>
        <v>4.8586611410120478E-3</v>
      </c>
    </row>
    <row r="4989" spans="7:8">
      <c r="G4989" s="171">
        <v>4986</v>
      </c>
      <c r="H4989" s="186">
        <f t="shared" ca="1" si="123"/>
        <v>-4.1500962044720521E-2</v>
      </c>
    </row>
    <row r="4990" spans="7:8">
      <c r="G4990" s="171">
        <v>4987</v>
      </c>
      <c r="H4990" s="186">
        <f t="shared" ca="1" si="123"/>
        <v>-8.2100685976955485E-3</v>
      </c>
    </row>
    <row r="4991" spans="7:8">
      <c r="G4991" s="171">
        <v>4988</v>
      </c>
      <c r="H4991" s="186">
        <f t="shared" ca="1" si="123"/>
        <v>-1.8189696103939033E-2</v>
      </c>
    </row>
    <row r="4992" spans="7:8">
      <c r="G4992" s="171">
        <v>4989</v>
      </c>
      <c r="H4992" s="186">
        <f t="shared" ca="1" si="123"/>
        <v>8.9110139687790871E-3</v>
      </c>
    </row>
    <row r="4993" spans="7:8">
      <c r="G4993" s="171">
        <v>4990</v>
      </c>
      <c r="H4993" s="186">
        <f t="shared" ca="1" si="123"/>
        <v>4.625141435544558E-3</v>
      </c>
    </row>
    <row r="4994" spans="7:8">
      <c r="G4994" s="171">
        <v>4991</v>
      </c>
      <c r="H4994" s="186">
        <f t="shared" ca="1" si="123"/>
        <v>2.3389307335387081E-2</v>
      </c>
    </row>
    <row r="4995" spans="7:8">
      <c r="G4995" s="171">
        <v>4992</v>
      </c>
      <c r="H4995" s="186">
        <f t="shared" ca="1" si="123"/>
        <v>1.6845974992247079E-2</v>
      </c>
    </row>
    <row r="4996" spans="7:8">
      <c r="G4996" s="171">
        <v>4993</v>
      </c>
      <c r="H4996" s="186">
        <f t="shared" ca="1" si="123"/>
        <v>1.8811634898733245E-2</v>
      </c>
    </row>
    <row r="4997" spans="7:8">
      <c r="G4997" s="171">
        <v>4994</v>
      </c>
      <c r="H4997" s="186">
        <f t="shared" ref="H4997:H5003" ca="1" si="124">_xlfn.NORM.INV(RAND(),N$6,N$7)</f>
        <v>-8.313701322716336E-3</v>
      </c>
    </row>
    <row r="4998" spans="7:8">
      <c r="G4998" s="171">
        <v>4995</v>
      </c>
      <c r="H4998" s="186">
        <f t="shared" ca="1" si="124"/>
        <v>-7.9897164637664862E-3</v>
      </c>
    </row>
    <row r="4999" spans="7:8">
      <c r="G4999" s="171">
        <v>4996</v>
      </c>
      <c r="H4999" s="186">
        <f t="shared" ca="1" si="124"/>
        <v>-4.8104357385233675E-3</v>
      </c>
    </row>
    <row r="5000" spans="7:8">
      <c r="G5000" s="171">
        <v>4997</v>
      </c>
      <c r="H5000" s="186">
        <f t="shared" ca="1" si="124"/>
        <v>-4.9737596788096625E-3</v>
      </c>
    </row>
    <row r="5001" spans="7:8">
      <c r="G5001" s="171">
        <v>4998</v>
      </c>
      <c r="H5001" s="186">
        <f t="shared" ca="1" si="124"/>
        <v>3.4512555990563335E-3</v>
      </c>
    </row>
    <row r="5002" spans="7:8">
      <c r="G5002" s="171">
        <v>4999</v>
      </c>
      <c r="H5002" s="186">
        <f t="shared" ca="1" si="124"/>
        <v>-8.1790815138960329E-3</v>
      </c>
    </row>
    <row r="5003" spans="7:8">
      <c r="G5003" s="171">
        <v>5000</v>
      </c>
      <c r="H5003" s="186">
        <f t="shared" ca="1" si="124"/>
        <v>2.4317665569253575E-3</v>
      </c>
    </row>
  </sheetData>
  <autoFilter ref="G3:H5003" xr:uid="{65E64157-E039-4800-A69F-5507B7EA57BC}"/>
  <pageMargins left="0.7" right="0.96" top="0.28999999999999998" bottom="0.11" header="0.3" footer="0.3"/>
  <pageSetup paperSize="9" scale="77" orientation="landscape" r:id="rId1"/>
  <rowBreaks count="1" manualBreakCount="1">
    <brk id="4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B3028-09C3-4890-AA43-104D2373D3A3}">
  <dimension ref="B1:X106"/>
  <sheetViews>
    <sheetView showGridLines="0" topLeftCell="A18" zoomScale="79" zoomScaleNormal="80" zoomScaleSheetLayoutView="88" workbookViewId="0">
      <selection activeCell="M8" sqref="M8"/>
    </sheetView>
  </sheetViews>
  <sheetFormatPr defaultRowHeight="15"/>
  <cols>
    <col min="1" max="1" width="1.85546875" customWidth="1"/>
    <col min="2" max="2" width="35.7109375" customWidth="1"/>
    <col min="3" max="9" width="12.7109375" customWidth="1"/>
  </cols>
  <sheetData>
    <row r="1" spans="2:10">
      <c r="B1" s="220"/>
      <c r="C1" s="220"/>
      <c r="D1" s="220"/>
      <c r="E1" s="220"/>
      <c r="F1" s="220"/>
      <c r="G1" s="220"/>
      <c r="H1" s="220"/>
      <c r="I1" s="220"/>
      <c r="J1" s="220"/>
    </row>
    <row r="2" spans="2:10" ht="7.5" customHeight="1"/>
    <row r="3" spans="2:10" ht="36" customHeight="1">
      <c r="B3" s="221" t="str">
        <f>'Data Sheet'!B1</f>
        <v>ASIAN PAINTS LTD</v>
      </c>
    </row>
    <row r="4" spans="2:10">
      <c r="B4" t="str">
        <f>CONCATENATE("(",_xlfn.XLOOKUP(B3,'List Of Stocks'!B2:B5442,'List Of Stocks'!D2:D5442), " | ","BSE Code: ",_xlfn.XLOOKUP('Altman Z Score'!B3,'List Of Stocks'!B2:B5442,'List Of Stocks'!C2:C5442,,0)," ) ")</f>
        <v xml:space="preserve">(ASIANPAINT | BSE Code: 500820 ) </v>
      </c>
    </row>
    <row r="5" spans="2:10" ht="18.75">
      <c r="B5" s="219" t="str">
        <f>CONCATENATE("INR", " ",'Data Sheet'!B8)</f>
        <v>INR 2605.6</v>
      </c>
    </row>
    <row r="6" spans="2:10">
      <c r="B6" t="str">
        <f>"52 Week"  &amp;  "  "&amp;"("&amp;"High -" &amp; " INR " &amp;'Football Field Analysis'!Q10  &amp;  "  "  &amp;"LOW - "  &amp; " INR " &amp;'Football Field Analysis'!N10 &amp;")"</f>
        <v>52 Week  (High - INR 2985.7  LOW -  INR 2115)</v>
      </c>
    </row>
    <row r="7" spans="2:10" ht="31.5" customHeight="1" thickBot="1">
      <c r="B7" s="214"/>
      <c r="C7" s="214"/>
      <c r="D7" s="214"/>
      <c r="E7" s="214"/>
      <c r="F7" s="214"/>
      <c r="G7" s="214"/>
      <c r="H7" s="214"/>
      <c r="I7" s="214"/>
    </row>
    <row r="8" spans="2:10" ht="30.75" customHeight="1">
      <c r="B8" s="227" t="s">
        <v>8576</v>
      </c>
      <c r="C8" s="227"/>
      <c r="D8" s="227"/>
      <c r="E8" s="227"/>
      <c r="F8" s="227"/>
      <c r="G8" s="227"/>
      <c r="H8" s="227"/>
      <c r="I8" s="227"/>
    </row>
    <row r="9" spans="2:10" ht="15.75" customHeight="1">
      <c r="B9" s="229" t="s">
        <v>8569</v>
      </c>
      <c r="C9" s="230"/>
      <c r="D9" s="230"/>
      <c r="E9" s="230"/>
      <c r="F9" s="230"/>
      <c r="G9" s="230"/>
      <c r="H9" s="230"/>
      <c r="I9" s="230"/>
    </row>
    <row r="10" spans="2:10" ht="15" customHeight="1">
      <c r="B10" s="230"/>
      <c r="C10" s="230"/>
      <c r="D10" s="230"/>
      <c r="E10" s="230"/>
      <c r="F10" s="230"/>
      <c r="G10" s="230"/>
      <c r="H10" s="230"/>
      <c r="I10" s="230"/>
    </row>
    <row r="11" spans="2:10" ht="15" customHeight="1">
      <c r="B11" s="230"/>
      <c r="C11" s="230"/>
      <c r="D11" s="230"/>
      <c r="E11" s="230"/>
      <c r="F11" s="230"/>
      <c r="G11" s="230"/>
      <c r="H11" s="230"/>
      <c r="I11" s="230"/>
    </row>
    <row r="12" spans="2:10">
      <c r="B12" s="230"/>
      <c r="C12" s="230"/>
      <c r="D12" s="230"/>
      <c r="E12" s="230"/>
      <c r="F12" s="230"/>
      <c r="G12" s="230"/>
      <c r="H12" s="230"/>
      <c r="I12" s="230"/>
    </row>
    <row r="13" spans="2:10">
      <c r="B13" s="230"/>
      <c r="C13" s="230"/>
      <c r="D13" s="230"/>
      <c r="E13" s="230"/>
      <c r="F13" s="230"/>
      <c r="G13" s="230"/>
      <c r="H13" s="230"/>
      <c r="I13" s="230"/>
    </row>
    <row r="14" spans="2:10" ht="24.75" customHeight="1">
      <c r="B14" s="230"/>
      <c r="C14" s="230"/>
      <c r="D14" s="230"/>
      <c r="E14" s="230"/>
      <c r="F14" s="230"/>
      <c r="G14" s="230"/>
      <c r="H14" s="230"/>
      <c r="I14" s="230"/>
    </row>
    <row r="15" spans="2:10" ht="6" customHeight="1">
      <c r="B15" s="230"/>
      <c r="C15" s="230"/>
      <c r="D15" s="230"/>
      <c r="E15" s="230"/>
      <c r="F15" s="230"/>
      <c r="G15" s="230"/>
      <c r="H15" s="230"/>
      <c r="I15" s="230"/>
    </row>
    <row r="16" spans="2:10" ht="21.75" customHeight="1">
      <c r="B16" s="219" t="s">
        <v>8573</v>
      </c>
    </row>
    <row r="17" spans="2:2" ht="10.5" customHeight="1">
      <c r="B17" s="219"/>
    </row>
    <row r="18" spans="2:2" ht="18.75">
      <c r="B18" s="219"/>
    </row>
    <row r="19" spans="2:2">
      <c r="B19" s="2"/>
    </row>
    <row r="61" spans="2:10" ht="19.5" customHeight="1"/>
    <row r="62" spans="2:10">
      <c r="B62" s="220"/>
      <c r="C62" s="220"/>
      <c r="D62" s="220"/>
      <c r="E62" s="220"/>
      <c r="F62" s="220"/>
      <c r="G62" s="220"/>
      <c r="H62" s="220"/>
      <c r="I62" s="220"/>
      <c r="J62" s="220"/>
    </row>
    <row r="63" spans="2:10" ht="0.75" customHeight="1"/>
    <row r="64" spans="2:10">
      <c r="B64" s="220"/>
      <c r="C64" s="220"/>
      <c r="D64" s="220"/>
      <c r="E64" s="220"/>
      <c r="F64" s="220"/>
      <c r="G64" s="220"/>
      <c r="H64" s="220"/>
      <c r="I64" s="220"/>
      <c r="J64" s="220"/>
    </row>
    <row r="67" spans="2:24">
      <c r="B67" s="226" t="s">
        <v>8577</v>
      </c>
      <c r="C67" s="226"/>
      <c r="D67" s="226"/>
      <c r="E67" s="226"/>
      <c r="F67" s="226"/>
      <c r="G67" s="226"/>
      <c r="H67" s="226"/>
      <c r="I67" s="226"/>
    </row>
    <row r="68" spans="2:24">
      <c r="C68" s="215">
        <f>HistoricalFS!F3</f>
        <v>43555</v>
      </c>
      <c r="D68" s="215">
        <f>HistoricalFS!G3</f>
        <v>43921</v>
      </c>
      <c r="E68" s="215">
        <f>HistoricalFS!H3</f>
        <v>44286</v>
      </c>
      <c r="F68" s="215">
        <f>HistoricalFS!I3</f>
        <v>44651</v>
      </c>
      <c r="G68" s="215">
        <f>HistoricalFS!J3</f>
        <v>45016</v>
      </c>
      <c r="H68" s="215">
        <f>HistoricalFS!K3</f>
        <v>45382</v>
      </c>
      <c r="I68" s="215">
        <f>HistoricalFS!L3</f>
        <v>45747</v>
      </c>
    </row>
    <row r="69" spans="2:24">
      <c r="B69" t="s">
        <v>8578</v>
      </c>
      <c r="C69" s="155">
        <f>'Data Sheet'!E65-'Data Sheet'!E60</f>
        <v>1515.3400000000001</v>
      </c>
      <c r="D69" s="155">
        <f>'Data Sheet'!F65-'Data Sheet'!F60</f>
        <v>2817.2599999999993</v>
      </c>
      <c r="E69" s="155">
        <f>'Data Sheet'!G65-'Data Sheet'!G60</f>
        <v>3121.1100000000006</v>
      </c>
      <c r="F69" s="155">
        <f>'Data Sheet'!H65-'Data Sheet'!H60</f>
        <v>6205.42</v>
      </c>
      <c r="G69" s="155">
        <f>'Data Sheet'!I65-'Data Sheet'!I60</f>
        <v>6873.09</v>
      </c>
      <c r="H69" s="155">
        <f>'Data Sheet'!J65-'Data Sheet'!J60</f>
        <v>6769.77</v>
      </c>
      <c r="I69" s="155">
        <f>'Data Sheet'!K65-'Data Sheet'!K60</f>
        <v>6490.76</v>
      </c>
    </row>
    <row r="70" spans="2:24">
      <c r="B70" t="s">
        <v>113</v>
      </c>
      <c r="C70" s="155">
        <f>'Data Sheet'!E66</f>
        <v>16248.84</v>
      </c>
      <c r="D70" s="155">
        <f>'Data Sheet'!F66</f>
        <v>16137.97</v>
      </c>
      <c r="E70" s="155">
        <f>'Data Sheet'!G66</f>
        <v>20355.34</v>
      </c>
      <c r="F70" s="155">
        <f>'Data Sheet'!H66</f>
        <v>22958.43</v>
      </c>
      <c r="G70" s="155">
        <f>'Data Sheet'!I66</f>
        <v>25779.33</v>
      </c>
      <c r="H70" s="155">
        <f>'Data Sheet'!J66</f>
        <v>29900.77</v>
      </c>
      <c r="I70" s="155">
        <f>'Data Sheet'!K66</f>
        <v>30355.25</v>
      </c>
    </row>
    <row r="71" spans="2:24">
      <c r="B71" s="216" t="s">
        <v>8586</v>
      </c>
      <c r="C71" s="217">
        <f>C69/C70</f>
        <v>9.3258349519104139E-2</v>
      </c>
      <c r="D71" s="217">
        <f>D69/D70</f>
        <v>0.17457338190615049</v>
      </c>
      <c r="E71" s="217">
        <f>E69/E70</f>
        <v>0.15333126344241857</v>
      </c>
      <c r="F71" s="217">
        <f>F69/F70</f>
        <v>0.27028938825520732</v>
      </c>
      <c r="G71" s="217">
        <f t="shared" ref="G71" si="0">G69/G70</f>
        <v>0.26661243717350297</v>
      </c>
      <c r="H71" s="217">
        <f>H69/H70</f>
        <v>0.22640788180371277</v>
      </c>
      <c r="I71" s="217">
        <f>I69/I70</f>
        <v>0.21382660330585321</v>
      </c>
    </row>
    <row r="73" spans="2:24">
      <c r="B73" s="226" t="s">
        <v>8579</v>
      </c>
      <c r="C73" s="226"/>
      <c r="D73" s="226"/>
      <c r="E73" s="226"/>
      <c r="F73" s="226"/>
      <c r="G73" s="226"/>
      <c r="H73" s="226"/>
      <c r="I73" s="226"/>
    </row>
    <row r="74" spans="2:24">
      <c r="C74" s="215">
        <f t="shared" ref="C74:H74" si="1">C68</f>
        <v>43555</v>
      </c>
      <c r="D74" s="215">
        <f t="shared" si="1"/>
        <v>43921</v>
      </c>
      <c r="E74" s="215">
        <f t="shared" si="1"/>
        <v>44286</v>
      </c>
      <c r="F74" s="215">
        <f t="shared" si="1"/>
        <v>44651</v>
      </c>
      <c r="G74" s="215">
        <f t="shared" si="1"/>
        <v>45016</v>
      </c>
      <c r="H74" s="215">
        <f t="shared" si="1"/>
        <v>45382</v>
      </c>
      <c r="I74" s="215">
        <f>I68</f>
        <v>45747</v>
      </c>
    </row>
    <row r="75" spans="2:24">
      <c r="B75" t="s">
        <v>97</v>
      </c>
      <c r="C75" s="155">
        <f>HistoricalFS!F36*HistoricalFS!F38*HistoricalFS!F44</f>
        <v>927.11000000000126</v>
      </c>
      <c r="D75" s="155">
        <f>HistoricalFS!G36*HistoricalFS!G38*HistoricalFS!G44</f>
        <v>1273.0499999999977</v>
      </c>
      <c r="E75" s="155">
        <f>HistoricalFS!H36*HistoricalFS!H38*HistoricalFS!H44</f>
        <v>1162.9300000000028</v>
      </c>
      <c r="F75" s="155">
        <f>HistoricalFS!I36*HistoricalFS!I38*HistoricalFS!I44</f>
        <v>952.05999999999835</v>
      </c>
      <c r="G75" s="155">
        <f>HistoricalFS!J36*HistoricalFS!J38*HistoricalFS!J44</f>
        <v>1303.5199999999957</v>
      </c>
      <c r="H75" s="155">
        <f>HistoricalFS!K36*HistoricalFS!K38*HistoricalFS!K44</f>
        <v>1542.5900000000015</v>
      </c>
      <c r="I75" s="155">
        <f>HistoricalFS!L36*HistoricalFS!L38*HistoricalFS!L44</f>
        <v>980.67000000000246</v>
      </c>
      <c r="Q75" s="228"/>
      <c r="R75" s="228"/>
      <c r="S75" s="228"/>
      <c r="T75" s="228"/>
      <c r="U75" s="228"/>
      <c r="V75" s="228"/>
      <c r="W75" s="228"/>
      <c r="X75" s="228"/>
    </row>
    <row r="76" spans="2:24">
      <c r="B76" t="str">
        <f>B70</f>
        <v>Total Assets</v>
      </c>
      <c r="C76" s="155">
        <f>C$70</f>
        <v>16248.84</v>
      </c>
      <c r="D76" s="155">
        <f t="shared" ref="D76:I76" si="2">D$70</f>
        <v>16137.97</v>
      </c>
      <c r="E76" s="155">
        <f t="shared" si="2"/>
        <v>20355.34</v>
      </c>
      <c r="F76" s="155">
        <f t="shared" si="2"/>
        <v>22958.43</v>
      </c>
      <c r="G76" s="155">
        <f t="shared" si="2"/>
        <v>25779.33</v>
      </c>
      <c r="H76" s="155">
        <f t="shared" si="2"/>
        <v>29900.77</v>
      </c>
      <c r="I76" s="155">
        <f t="shared" si="2"/>
        <v>30355.25</v>
      </c>
      <c r="J76" s="155"/>
      <c r="K76" s="155"/>
      <c r="L76" s="155"/>
    </row>
    <row r="77" spans="2:24">
      <c r="B77" s="216" t="s">
        <v>8587</v>
      </c>
      <c r="C77" s="217">
        <f t="shared" ref="C77:H77" si="3">C75/C76</f>
        <v>5.7056996068642514E-2</v>
      </c>
      <c r="D77" s="217">
        <f t="shared" si="3"/>
        <v>7.8885386451951381E-2</v>
      </c>
      <c r="E77" s="217">
        <f t="shared" si="3"/>
        <v>5.7131445605919762E-2</v>
      </c>
      <c r="F77" s="217">
        <f t="shared" si="3"/>
        <v>4.1468863506781535E-2</v>
      </c>
      <c r="G77" s="217">
        <f t="shared" si="3"/>
        <v>5.0564541436879683E-2</v>
      </c>
      <c r="H77" s="217">
        <f t="shared" si="3"/>
        <v>5.1590310216091471E-2</v>
      </c>
      <c r="I77" s="217">
        <f>I75/I76</f>
        <v>3.230643793083577E-2</v>
      </c>
    </row>
    <row r="79" spans="2:24">
      <c r="B79" s="226" t="s">
        <v>8580</v>
      </c>
      <c r="C79" s="226"/>
      <c r="D79" s="226"/>
      <c r="E79" s="226"/>
      <c r="F79" s="226"/>
      <c r="G79" s="226"/>
      <c r="H79" s="226"/>
      <c r="I79" s="226"/>
    </row>
    <row r="80" spans="2:24">
      <c r="C80" s="215">
        <f t="shared" ref="C80:I80" si="4">C74</f>
        <v>43555</v>
      </c>
      <c r="D80" s="215">
        <f t="shared" si="4"/>
        <v>43921</v>
      </c>
      <c r="E80" s="215">
        <f t="shared" si="4"/>
        <v>44286</v>
      </c>
      <c r="F80" s="215">
        <f t="shared" si="4"/>
        <v>44651</v>
      </c>
      <c r="G80" s="215">
        <f t="shared" si="4"/>
        <v>45016</v>
      </c>
      <c r="H80" s="215">
        <f t="shared" si="4"/>
        <v>45382</v>
      </c>
      <c r="I80" s="215">
        <f t="shared" si="4"/>
        <v>45747</v>
      </c>
    </row>
    <row r="81" spans="2:12">
      <c r="B81" t="s">
        <v>196</v>
      </c>
      <c r="C81" s="155">
        <f>HistoricalFS!F18-HistoricalFS!F24</f>
        <v>3142.8000000000015</v>
      </c>
      <c r="D81" s="155">
        <f>HistoricalFS!G18-HistoricalFS!G24</f>
        <v>3381.2699999999977</v>
      </c>
      <c r="E81" s="155">
        <f>HistoricalFS!H18-HistoricalFS!H24</f>
        <v>4064.3300000000031</v>
      </c>
      <c r="F81" s="155">
        <f>HistoricalFS!I18-HistoricalFS!I24</f>
        <v>3987.2499999999986</v>
      </c>
      <c r="G81" s="155">
        <f>HistoricalFS!J18-HistoricalFS!J24</f>
        <v>5401.8199999999961</v>
      </c>
      <c r="H81" s="155">
        <f>HistoricalFS!K18-HistoricalFS!K24</f>
        <v>6731.9800000000014</v>
      </c>
      <c r="I81" s="155">
        <f>HistoricalFS!L18-HistoricalFS!L24</f>
        <v>4979.8700000000017</v>
      </c>
    </row>
    <row r="82" spans="2:12">
      <c r="B82" t="str">
        <f>B76</f>
        <v>Total Assets</v>
      </c>
      <c r="C82" s="155">
        <f>C76</f>
        <v>16248.84</v>
      </c>
      <c r="D82" s="155">
        <f t="shared" ref="D82:I82" si="5">D76</f>
        <v>16137.97</v>
      </c>
      <c r="E82" s="155">
        <f t="shared" si="5"/>
        <v>20355.34</v>
      </c>
      <c r="F82" s="155">
        <f t="shared" si="5"/>
        <v>22958.43</v>
      </c>
      <c r="G82" s="155">
        <f t="shared" si="5"/>
        <v>25779.33</v>
      </c>
      <c r="H82" s="155">
        <f t="shared" si="5"/>
        <v>29900.77</v>
      </c>
      <c r="I82" s="155">
        <f t="shared" si="5"/>
        <v>30355.25</v>
      </c>
    </row>
    <row r="83" spans="2:12">
      <c r="B83" s="216" t="s">
        <v>8588</v>
      </c>
      <c r="C83" s="217">
        <f t="shared" ref="C83:H83" si="6">C81/C82</f>
        <v>0.19341688391294404</v>
      </c>
      <c r="D83" s="217">
        <f t="shared" si="6"/>
        <v>0.20952263512697061</v>
      </c>
      <c r="E83" s="217">
        <f t="shared" si="6"/>
        <v>0.19966898121082738</v>
      </c>
      <c r="F83" s="217">
        <f t="shared" si="6"/>
        <v>0.17367258998110927</v>
      </c>
      <c r="G83" s="217">
        <f t="shared" si="6"/>
        <v>0.20954074446465426</v>
      </c>
      <c r="H83" s="217">
        <f t="shared" si="6"/>
        <v>0.22514403475228234</v>
      </c>
      <c r="I83" s="217">
        <f>I81/I82</f>
        <v>0.16405300565799991</v>
      </c>
    </row>
    <row r="84" spans="2:12">
      <c r="B84" s="2"/>
      <c r="C84" s="222"/>
      <c r="D84" s="222"/>
      <c r="E84" s="222"/>
      <c r="F84" s="222"/>
      <c r="G84" s="222"/>
      <c r="H84" s="222"/>
      <c r="I84" s="222"/>
    </row>
    <row r="85" spans="2:12">
      <c r="B85" s="226" t="s">
        <v>8581</v>
      </c>
      <c r="C85" s="226"/>
      <c r="D85" s="226"/>
      <c r="E85" s="226"/>
      <c r="F85" s="226"/>
      <c r="G85" s="226"/>
      <c r="H85" s="226"/>
      <c r="I85" s="226"/>
    </row>
    <row r="86" spans="2:12">
      <c r="C86" s="215">
        <f t="shared" ref="C86:I86" si="7">C80</f>
        <v>43555</v>
      </c>
      <c r="D86" s="215">
        <f t="shared" si="7"/>
        <v>43921</v>
      </c>
      <c r="E86" s="215">
        <f t="shared" si="7"/>
        <v>44286</v>
      </c>
      <c r="F86" s="215">
        <f t="shared" si="7"/>
        <v>44651</v>
      </c>
      <c r="G86" s="215">
        <f t="shared" si="7"/>
        <v>45016</v>
      </c>
      <c r="H86" s="215">
        <f t="shared" si="7"/>
        <v>45382</v>
      </c>
      <c r="I86" s="215">
        <f t="shared" si="7"/>
        <v>45747</v>
      </c>
    </row>
    <row r="87" spans="2:12">
      <c r="B87" t="s">
        <v>8582</v>
      </c>
      <c r="C87" s="155">
        <f>('Data Sheet'!E70*'Data Sheet'!E90)/10000000</f>
        <v>143179.45411329999</v>
      </c>
      <c r="D87" s="155">
        <f>('Data Sheet'!F70*'Data Sheet'!F90)/10000000</f>
        <v>159850.31170349999</v>
      </c>
      <c r="E87" s="155">
        <f>('Data Sheet'!G70*'Data Sheet'!G90)/10000000</f>
        <v>243386.84723459999</v>
      </c>
      <c r="F87" s="155">
        <f>('Data Sheet'!H70*'Data Sheet'!H90)/10000000</f>
        <v>295428.12333104998</v>
      </c>
      <c r="G87" s="155">
        <f>('Data Sheet'!I70*'Data Sheet'!I90)/10000000</f>
        <v>264896.85767534998</v>
      </c>
      <c r="H87" s="155">
        <f>('Data Sheet'!J70*'Data Sheet'!J90)/10000000</f>
        <v>273059.63086824998</v>
      </c>
      <c r="I87" s="155">
        <f>('Data Sheet'!K70*'Data Sheet'!K90)/10000000</f>
        <v>224514.63071634999</v>
      </c>
    </row>
    <row r="88" spans="2:12">
      <c r="B88" t="s">
        <v>8583</v>
      </c>
      <c r="C88" s="155">
        <f>'Data Sheet'!E59</f>
        <v>1319.6</v>
      </c>
      <c r="D88" s="155">
        <f>'Data Sheet'!F59</f>
        <v>1118.5</v>
      </c>
      <c r="E88" s="155">
        <f>'Data Sheet'!G59</f>
        <v>1093.1199999999999</v>
      </c>
      <c r="F88" s="155">
        <f>'Data Sheet'!H59</f>
        <v>1586.88</v>
      </c>
      <c r="G88" s="155">
        <f>'Data Sheet'!I59</f>
        <v>1932.62</v>
      </c>
      <c r="H88" s="155">
        <f>'Data Sheet'!J59</f>
        <v>2474.38</v>
      </c>
      <c r="I88" s="155">
        <f>'Data Sheet'!K59</f>
        <v>2290.29</v>
      </c>
    </row>
    <row r="89" spans="2:12">
      <c r="B89" s="216" t="s">
        <v>8589</v>
      </c>
      <c r="C89" s="217">
        <f t="shared" ref="C89:H89" si="8">C87/C88</f>
        <v>108.50216286245832</v>
      </c>
      <c r="D89" s="217">
        <f t="shared" si="8"/>
        <v>142.91489647161376</v>
      </c>
      <c r="E89" s="217">
        <f t="shared" si="8"/>
        <v>222.65336581034106</v>
      </c>
      <c r="F89" s="217">
        <f t="shared" si="8"/>
        <v>186.1691642285806</v>
      </c>
      <c r="G89" s="217">
        <f t="shared" si="8"/>
        <v>137.06618873619749</v>
      </c>
      <c r="H89" s="217">
        <f t="shared" si="8"/>
        <v>110.35476800986508</v>
      </c>
      <c r="I89" s="217">
        <f>I87/I88</f>
        <v>98.02890931556702</v>
      </c>
      <c r="L89" s="125"/>
    </row>
    <row r="91" spans="2:12">
      <c r="B91" s="2"/>
      <c r="C91" s="222"/>
      <c r="D91" s="222"/>
      <c r="E91" s="222"/>
      <c r="F91" s="222"/>
      <c r="G91" s="222"/>
      <c r="H91" s="222"/>
      <c r="I91" s="222"/>
    </row>
    <row r="93" spans="2:12">
      <c r="B93" s="226" t="s">
        <v>8584</v>
      </c>
      <c r="C93" s="226"/>
      <c r="D93" s="226"/>
      <c r="E93" s="226"/>
      <c r="F93" s="226"/>
      <c r="G93" s="226"/>
      <c r="H93" s="226"/>
      <c r="I93" s="226"/>
    </row>
    <row r="94" spans="2:12">
      <c r="C94" s="215">
        <f t="shared" ref="C94:H94" si="9">C86</f>
        <v>43555</v>
      </c>
      <c r="D94" s="215">
        <f t="shared" si="9"/>
        <v>43921</v>
      </c>
      <c r="E94" s="215">
        <f t="shared" si="9"/>
        <v>44286</v>
      </c>
      <c r="F94" s="215">
        <f t="shared" si="9"/>
        <v>44651</v>
      </c>
      <c r="G94" s="215">
        <f t="shared" si="9"/>
        <v>45016</v>
      </c>
      <c r="H94" s="215">
        <f t="shared" si="9"/>
        <v>45382</v>
      </c>
      <c r="I94" s="215">
        <f>I86</f>
        <v>45747</v>
      </c>
    </row>
    <row r="95" spans="2:12">
      <c r="B95" t="s">
        <v>8585</v>
      </c>
      <c r="C95" s="155">
        <f>'Data Sheet'!E17</f>
        <v>19240.13</v>
      </c>
      <c r="D95" s="155">
        <f>'Data Sheet'!F17</f>
        <v>20211.25</v>
      </c>
      <c r="E95" s="155">
        <f>'Data Sheet'!G17</f>
        <v>21712.79</v>
      </c>
      <c r="F95" s="155">
        <f>'Data Sheet'!H17</f>
        <v>29101.279999999999</v>
      </c>
      <c r="G95" s="155">
        <f>'Data Sheet'!I17</f>
        <v>34488.589999999997</v>
      </c>
      <c r="H95" s="155">
        <f>'Data Sheet'!J17</f>
        <v>35494.730000000003</v>
      </c>
      <c r="I95" s="155">
        <f>'Data Sheet'!K17</f>
        <v>33905.620000000003</v>
      </c>
    </row>
    <row r="96" spans="2:12">
      <c r="B96" t="s">
        <v>113</v>
      </c>
      <c r="C96" s="155">
        <f>C82</f>
        <v>16248.84</v>
      </c>
      <c r="D96" s="155">
        <f t="shared" ref="D96:I96" si="10">D82</f>
        <v>16137.97</v>
      </c>
      <c r="E96" s="155">
        <f t="shared" si="10"/>
        <v>20355.34</v>
      </c>
      <c r="F96" s="155">
        <f t="shared" si="10"/>
        <v>22958.43</v>
      </c>
      <c r="G96" s="155">
        <f t="shared" si="10"/>
        <v>25779.33</v>
      </c>
      <c r="H96" s="155">
        <f t="shared" si="10"/>
        <v>29900.77</v>
      </c>
      <c r="I96" s="155">
        <f t="shared" si="10"/>
        <v>30355.25</v>
      </c>
    </row>
    <row r="97" spans="2:10">
      <c r="B97" s="216" t="s">
        <v>8590</v>
      </c>
      <c r="C97" s="217">
        <f t="shared" ref="C97:I97" si="11">C95/C96</f>
        <v>1.1840925259895476</v>
      </c>
      <c r="D97" s="217">
        <f t="shared" si="11"/>
        <v>1.2524034931283179</v>
      </c>
      <c r="E97" s="217">
        <f t="shared" si="11"/>
        <v>1.0666876603387612</v>
      </c>
      <c r="F97" s="217">
        <f t="shared" si="11"/>
        <v>1.267564027679593</v>
      </c>
      <c r="G97" s="217">
        <f t="shared" si="11"/>
        <v>1.3378388809949675</v>
      </c>
      <c r="H97" s="217">
        <f t="shared" si="11"/>
        <v>1.1870841453246856</v>
      </c>
      <c r="I97" s="217">
        <f t="shared" si="11"/>
        <v>1.1169606575468825</v>
      </c>
    </row>
    <row r="99" spans="2:10">
      <c r="B99" s="226" t="s">
        <v>8591</v>
      </c>
      <c r="C99" s="226"/>
      <c r="D99" s="226"/>
      <c r="E99" s="226"/>
      <c r="F99" s="226"/>
      <c r="G99" s="226"/>
      <c r="H99" s="226"/>
      <c r="I99" s="226"/>
    </row>
    <row r="100" spans="2:10">
      <c r="C100" s="215">
        <f t="shared" ref="C100:H100" si="12">C94</f>
        <v>43555</v>
      </c>
      <c r="D100" s="215">
        <f t="shared" si="12"/>
        <v>43921</v>
      </c>
      <c r="E100" s="215">
        <f t="shared" si="12"/>
        <v>44286</v>
      </c>
      <c r="F100" s="215">
        <f t="shared" si="12"/>
        <v>44651</v>
      </c>
      <c r="G100" s="215">
        <f t="shared" si="12"/>
        <v>45016</v>
      </c>
      <c r="H100" s="215">
        <f t="shared" si="12"/>
        <v>45382</v>
      </c>
      <c r="I100" s="215">
        <f>I94</f>
        <v>45747</v>
      </c>
    </row>
    <row r="101" spans="2:10">
      <c r="B101" s="223" t="s">
        <v>8592</v>
      </c>
      <c r="C101" s="224">
        <f>(C71*1.2)+(C77*1.4)+(C83*3.3)+(C89*0.6)+(C97*1)</f>
        <v>67.115455774296279</v>
      </c>
      <c r="D101" s="224">
        <f t="shared" ref="D101:I101" si="13">(D71*1.2)+(D77*1.4)+(D83*3.3)+(D89*0.6)+(D97*1)</f>
        <v>88.012693671335683</v>
      </c>
      <c r="E101" s="224">
        <f t="shared" si="13"/>
        <v>135.58159632451833</v>
      </c>
      <c r="F101" s="224">
        <f t="shared" si="13"/>
        <v>113.92458578658136</v>
      </c>
      <c r="G101" s="224">
        <f t="shared" si="13"/>
        <v>84.659761862066645</v>
      </c>
      <c r="H101" s="224">
        <f t="shared" si="13"/>
        <v>68.48683615839326</v>
      </c>
      <c r="I101" s="224">
        <f t="shared" si="13"/>
        <v>60.777502102628681</v>
      </c>
    </row>
    <row r="102" spans="2:10">
      <c r="B102" t="s">
        <v>8593</v>
      </c>
      <c r="C102" s="225" t="str">
        <f>IF(C101&lt;1.81,"Distressed",IF(C101&gt;3,"Strong","Grey Zone"))</f>
        <v>Strong</v>
      </c>
      <c r="D102" s="225" t="str">
        <f t="shared" ref="D102:I102" si="14">IF(D101&lt;1.81,"Distressed",IF(D101&gt;3,"Strong","Grey Zone"))</f>
        <v>Strong</v>
      </c>
      <c r="E102" s="225" t="str">
        <f t="shared" si="14"/>
        <v>Strong</v>
      </c>
      <c r="F102" s="225" t="str">
        <f t="shared" si="14"/>
        <v>Strong</v>
      </c>
      <c r="G102" s="225" t="str">
        <f t="shared" si="14"/>
        <v>Strong</v>
      </c>
      <c r="H102" s="225" t="str">
        <f t="shared" si="14"/>
        <v>Strong</v>
      </c>
      <c r="I102" s="225" t="str">
        <f t="shared" si="14"/>
        <v>Strong</v>
      </c>
    </row>
    <row r="103" spans="2:10">
      <c r="C103" s="155"/>
      <c r="D103" s="155"/>
      <c r="E103" s="155"/>
      <c r="F103" s="155"/>
      <c r="G103" s="155"/>
      <c r="H103" s="155"/>
      <c r="I103" s="155"/>
    </row>
    <row r="106" spans="2:10">
      <c r="B106" s="220"/>
      <c r="C106" s="220"/>
      <c r="D106" s="220"/>
      <c r="E106" s="220"/>
      <c r="F106" s="220"/>
      <c r="G106" s="220"/>
      <c r="H106" s="220"/>
      <c r="I106" s="220"/>
      <c r="J106" s="220"/>
    </row>
  </sheetData>
  <mergeCells count="9">
    <mergeCell ref="B93:I93"/>
    <mergeCell ref="B99:I99"/>
    <mergeCell ref="B8:I8"/>
    <mergeCell ref="B79:I79"/>
    <mergeCell ref="Q75:X75"/>
    <mergeCell ref="B85:I85"/>
    <mergeCell ref="B9:I15"/>
    <mergeCell ref="B67:I67"/>
    <mergeCell ref="B73:I73"/>
  </mergeCells>
  <pageMargins left="0.25" right="0" top="0.5" bottom="0.6" header="0" footer="0"/>
  <pageSetup scale="73" orientation="portrait" r:id="rId1"/>
  <headerFooter>
    <oddFooter>&amp;RPage &amp;P</oddFooter>
  </headerFooter>
  <rowBreaks count="1" manualBreakCount="1">
    <brk id="62" max="9" man="1"/>
  </rowBreaks>
  <ignoredErrors>
    <ignoredError sqref="C75 C81:I81"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604B-C49D-4058-B0BC-4DBDC0225086}">
  <sheetPr>
    <tabColor rgb="FF002060"/>
    <pageSetUpPr fitToPage="1"/>
  </sheetPr>
  <dimension ref="B2:J40"/>
  <sheetViews>
    <sheetView showGridLines="0" zoomScale="98" workbookViewId="0">
      <selection activeCell="E4" sqref="E4"/>
    </sheetView>
  </sheetViews>
  <sheetFormatPr defaultRowHeight="15" outlineLevelRow="1"/>
  <cols>
    <col min="1" max="1" width="1.85546875" customWidth="1"/>
    <col min="2" max="10" width="12.7109375" customWidth="1"/>
  </cols>
  <sheetData>
    <row r="2" spans="2:10">
      <c r="B2" s="44" t="s">
        <v>230</v>
      </c>
      <c r="C2" s="44"/>
      <c r="D2" s="44"/>
      <c r="E2" s="111">
        <f>'Intrisic Growth'!I2</f>
        <v>45717</v>
      </c>
      <c r="F2" s="110">
        <f>E2+365</f>
        <v>46082</v>
      </c>
      <c r="G2" s="110">
        <f t="shared" ref="G2:J2" si="0">F2+365</f>
        <v>46447</v>
      </c>
      <c r="H2" s="110">
        <f>G2+366</f>
        <v>46813</v>
      </c>
      <c r="I2" s="110">
        <f t="shared" si="0"/>
        <v>47178</v>
      </c>
      <c r="J2" s="110">
        <f t="shared" si="0"/>
        <v>47543</v>
      </c>
    </row>
    <row r="4" spans="2:10">
      <c r="B4" s="114" t="s">
        <v>196</v>
      </c>
      <c r="C4" s="114"/>
      <c r="D4" s="114"/>
      <c r="E4" s="118">
        <f>IFERROR('Data Sheet'!K34-'Data Sheet'!K26,0)</f>
        <v>5287.6100000000006</v>
      </c>
      <c r="F4" s="115">
        <f>E4*(1+$D$14)</f>
        <v>6384.7890750000006</v>
      </c>
      <c r="G4" s="115">
        <f t="shared" ref="G4:J4" si="1">F4*(1+$D$14)</f>
        <v>7709.6328080625008</v>
      </c>
      <c r="H4" s="115">
        <f t="shared" si="1"/>
        <v>9309.3816157354704</v>
      </c>
      <c r="I4" s="115">
        <f t="shared" si="1"/>
        <v>11241.07830100058</v>
      </c>
      <c r="J4" s="115">
        <f t="shared" si="1"/>
        <v>13573.6020484582</v>
      </c>
    </row>
    <row r="5" spans="2:10">
      <c r="B5" s="114" t="s">
        <v>31</v>
      </c>
      <c r="C5" s="114"/>
      <c r="D5" s="114"/>
      <c r="E5" s="119">
        <v>0.25</v>
      </c>
      <c r="F5" s="116">
        <f>$E$5</f>
        <v>0.25</v>
      </c>
      <c r="G5" s="116">
        <f t="shared" ref="G5:J5" si="2">$E$5</f>
        <v>0.25</v>
      </c>
      <c r="H5" s="116">
        <f t="shared" si="2"/>
        <v>0.25</v>
      </c>
      <c r="I5" s="116">
        <f t="shared" si="2"/>
        <v>0.25</v>
      </c>
      <c r="J5" s="116">
        <f t="shared" si="2"/>
        <v>0.25</v>
      </c>
    </row>
    <row r="6" spans="2:10">
      <c r="B6" s="114" t="s">
        <v>231</v>
      </c>
      <c r="C6" s="114"/>
      <c r="D6" s="114"/>
      <c r="E6" s="118">
        <f>E4*(1-E5)</f>
        <v>3965.7075000000004</v>
      </c>
      <c r="F6" s="115">
        <f>E6*(1+$D$14)</f>
        <v>4788.5918062500004</v>
      </c>
      <c r="G6" s="115">
        <f>F6*(1+$D$14)</f>
        <v>5782.224606046876</v>
      </c>
      <c r="H6" s="115">
        <f>G6*(1+$D$14)</f>
        <v>6982.0362118016028</v>
      </c>
      <c r="I6" s="115">
        <f>H6*(1+$D$14)</f>
        <v>8430.8087257504358</v>
      </c>
      <c r="J6" s="115">
        <f>I6*(1+$D$14)</f>
        <v>10180.201536343651</v>
      </c>
    </row>
    <row r="7" spans="2:10">
      <c r="B7" s="114" t="s">
        <v>232</v>
      </c>
      <c r="C7" s="114"/>
      <c r="D7" s="114"/>
      <c r="E7" s="119">
        <v>0.4914</v>
      </c>
      <c r="F7" s="114"/>
      <c r="G7" s="114"/>
      <c r="H7" s="114"/>
      <c r="I7" s="114"/>
      <c r="J7" s="114"/>
    </row>
    <row r="8" spans="2:10">
      <c r="B8" s="114" t="s">
        <v>233</v>
      </c>
      <c r="C8" s="114"/>
      <c r="D8" s="114"/>
      <c r="E8" s="118">
        <f>E6*(1-E7)</f>
        <v>2016.9588345</v>
      </c>
      <c r="F8" s="115">
        <f>E8*(1+$D$14)</f>
        <v>2435.4777926587499</v>
      </c>
      <c r="G8" s="115">
        <f t="shared" ref="G8:J8" si="3">F8*(1+$D$14)</f>
        <v>2940.8394346354407</v>
      </c>
      <c r="H8" s="115">
        <f t="shared" si="3"/>
        <v>3551.0636173222947</v>
      </c>
      <c r="I8" s="115">
        <f t="shared" si="3"/>
        <v>4287.9093179166712</v>
      </c>
      <c r="J8" s="115">
        <f t="shared" si="3"/>
        <v>5177.6505013843807</v>
      </c>
    </row>
    <row r="9" spans="2:10">
      <c r="B9" s="114" t="s">
        <v>237</v>
      </c>
      <c r="C9" s="114"/>
      <c r="D9" s="114"/>
      <c r="E9" s="118"/>
      <c r="F9" s="117">
        <v>0.5</v>
      </c>
      <c r="G9" s="114">
        <f>F9+1</f>
        <v>1.5</v>
      </c>
      <c r="H9" s="114">
        <f t="shared" ref="H9:J9" si="4">G9+1</f>
        <v>2.5</v>
      </c>
      <c r="I9" s="114">
        <f t="shared" si="4"/>
        <v>3.5</v>
      </c>
      <c r="J9" s="114">
        <f t="shared" si="4"/>
        <v>4.5</v>
      </c>
    </row>
    <row r="10" spans="2:10">
      <c r="B10" s="114" t="s">
        <v>238</v>
      </c>
      <c r="C10" s="114"/>
      <c r="D10" s="114"/>
      <c r="E10" s="118"/>
      <c r="F10" s="121">
        <f>1/(1+$D$16)^F9</f>
        <v>0.94197419522456449</v>
      </c>
      <c r="G10" s="121">
        <f t="shared" ref="G10:J10" si="5">1/(1+$D$16)^G9</f>
        <v>0.83582819519552942</v>
      </c>
      <c r="H10" s="121">
        <f t="shared" si="5"/>
        <v>0.74164321636992325</v>
      </c>
      <c r="I10" s="121">
        <f t="shared" si="5"/>
        <v>0.65807143567207904</v>
      </c>
      <c r="J10" s="121">
        <f t="shared" si="5"/>
        <v>0.58391690895141535</v>
      </c>
    </row>
    <row r="11" spans="2:10" ht="6" customHeight="1">
      <c r="E11" s="120"/>
    </row>
    <row r="12" spans="2:10" ht="15.75" thickBot="1">
      <c r="B12" s="122" t="s">
        <v>239</v>
      </c>
      <c r="C12" s="122"/>
      <c r="D12" s="122"/>
      <c r="E12" s="123"/>
      <c r="F12" s="124">
        <f>F8*F10</f>
        <v>2294.1572337270245</v>
      </c>
      <c r="G12" s="124">
        <f t="shared" ref="G12:J12" si="6">G8*G10</f>
        <v>2458.0365170111813</v>
      </c>
      <c r="H12" s="124">
        <f t="shared" si="6"/>
        <v>2633.6222426851209</v>
      </c>
      <c r="I12" s="124">
        <f t="shared" si="6"/>
        <v>2821.7506408731092</v>
      </c>
      <c r="J12" s="124">
        <f t="shared" si="6"/>
        <v>3023.3176763991137</v>
      </c>
    </row>
    <row r="14" spans="2:10" outlineLevel="1">
      <c r="B14" s="41" t="s">
        <v>240</v>
      </c>
      <c r="C14" s="41"/>
      <c r="D14" s="170">
        <v>0.20749999999999999</v>
      </c>
    </row>
    <row r="15" spans="2:10" outlineLevel="1">
      <c r="B15" s="41" t="s">
        <v>241</v>
      </c>
      <c r="C15" s="41"/>
      <c r="D15" s="170">
        <v>4.4999999999999998E-2</v>
      </c>
      <c r="F15" s="44" t="s">
        <v>257</v>
      </c>
      <c r="G15" s="44"/>
      <c r="H15" s="44"/>
      <c r="I15" s="44"/>
      <c r="J15" s="44"/>
    </row>
    <row r="16" spans="2:10" outlineLevel="1">
      <c r="B16" s="41" t="s">
        <v>66</v>
      </c>
      <c r="C16" s="41"/>
      <c r="D16" s="113">
        <f>WACC!J43</f>
        <v>0.12699499806201661</v>
      </c>
      <c r="F16" s="129">
        <f>D37</f>
        <v>586.37307309060395</v>
      </c>
      <c r="G16" s="130">
        <v>0.12</v>
      </c>
      <c r="H16" s="130">
        <v>0.12690000000000001</v>
      </c>
      <c r="I16" s="130">
        <v>0.13500000000000001</v>
      </c>
      <c r="J16" s="130">
        <v>0.14000000000000001</v>
      </c>
    </row>
    <row r="17" spans="2:10">
      <c r="F17" s="130">
        <v>0.03</v>
      </c>
      <c r="G17" s="131">
        <f t="dataTable" ref="G17:J22" dt2D="1" dtr="1" r1="D21" r2="D22"/>
        <v>545.08788014996458</v>
      </c>
      <c r="H17" s="131">
        <v>514.97546766813673</v>
      </c>
      <c r="I17" s="131">
        <v>484.67602156840934</v>
      </c>
      <c r="J17" s="131">
        <v>468.20006013707615</v>
      </c>
    </row>
    <row r="18" spans="2:10">
      <c r="B18" s="44" t="s">
        <v>255</v>
      </c>
      <c r="C18" s="44"/>
      <c r="D18" s="44"/>
      <c r="F18" s="130">
        <v>0.04</v>
      </c>
      <c r="G18" s="131">
        <v>597.94825640882573</v>
      </c>
      <c r="H18" s="131">
        <v>560.1734650892023</v>
      </c>
      <c r="I18" s="131">
        <v>522.83087961991805</v>
      </c>
      <c r="J18" s="131">
        <v>502.79957914287598</v>
      </c>
    </row>
    <row r="19" spans="2:10">
      <c r="F19" s="130">
        <v>4.4999999999999998E-2</v>
      </c>
      <c r="G19" s="131">
        <v>629.6644821641421</v>
      </c>
      <c r="H19" s="132">
        <v>586.91147455257976</v>
      </c>
      <c r="I19" s="131">
        <v>545.08788014996458</v>
      </c>
      <c r="J19" s="131">
        <v>522.83087961991794</v>
      </c>
    </row>
    <row r="20" spans="2:10">
      <c r="B20" t="s">
        <v>242</v>
      </c>
      <c r="D20" s="9">
        <f>J8*(1+D14)</f>
        <v>6252.0129804216394</v>
      </c>
      <c r="F20" s="130">
        <v>0.05</v>
      </c>
      <c r="G20" s="131">
        <v>665.91159731307528</v>
      </c>
      <c r="H20" s="131">
        <v>617.12646834149416</v>
      </c>
      <c r="I20" s="131">
        <v>569.96335133060506</v>
      </c>
      <c r="J20" s="131">
        <v>545.08788014996458</v>
      </c>
    </row>
    <row r="21" spans="2:10">
      <c r="B21" t="s">
        <v>66</v>
      </c>
      <c r="D21" s="15">
        <f>D16</f>
        <v>0.12699499806201661</v>
      </c>
      <c r="F21" s="130">
        <v>0.06</v>
      </c>
      <c r="G21" s="131">
        <v>756.52938518540816</v>
      </c>
      <c r="H21" s="131">
        <v>691.10578048834259</v>
      </c>
      <c r="I21" s="131">
        <v>629.66448216414199</v>
      </c>
      <c r="J21" s="131">
        <v>597.9482564088255</v>
      </c>
    </row>
    <row r="22" spans="2:10">
      <c r="B22" t="s">
        <v>243</v>
      </c>
      <c r="D22" s="15">
        <f>D15</f>
        <v>4.4999999999999998E-2</v>
      </c>
      <c r="F22" s="130">
        <v>7.0000000000000007E-2</v>
      </c>
      <c r="G22" s="131">
        <v>883.39428820667445</v>
      </c>
      <c r="H22" s="131">
        <v>791.08836579752801</v>
      </c>
      <c r="I22" s="131">
        <v>707.73519171569046</v>
      </c>
      <c r="J22" s="131">
        <v>665.91159731307516</v>
      </c>
    </row>
    <row r="23" spans="2:10" ht="6" customHeight="1"/>
    <row r="24" spans="2:10" ht="15.75" thickBot="1">
      <c r="B24" s="122" t="s">
        <v>244</v>
      </c>
      <c r="C24" s="122"/>
      <c r="D24" s="124">
        <f>D20/(D21-D22)</f>
        <v>76248.711850605236</v>
      </c>
    </row>
    <row r="26" spans="2:10">
      <c r="B26" s="44" t="s">
        <v>256</v>
      </c>
      <c r="C26" s="44"/>
      <c r="D26" s="44"/>
    </row>
    <row r="28" spans="2:10">
      <c r="B28" t="s">
        <v>239</v>
      </c>
      <c r="D28" s="9">
        <f>SUM(F12:J12)</f>
        <v>13230.88431069555</v>
      </c>
    </row>
    <row r="29" spans="2:10">
      <c r="B29" t="s">
        <v>245</v>
      </c>
      <c r="D29" s="9">
        <f>D24*J10</f>
        <v>44522.912135332561</v>
      </c>
    </row>
    <row r="30" spans="2:10">
      <c r="B30" s="2" t="s">
        <v>246</v>
      </c>
      <c r="C30" s="2"/>
      <c r="D30" s="128">
        <f>SUM(D28:D29)</f>
        <v>57753.796446028107</v>
      </c>
    </row>
    <row r="32" spans="2:10">
      <c r="B32" t="s">
        <v>247</v>
      </c>
      <c r="D32">
        <f>'Data Sheet'!K69</f>
        <v>781.98</v>
      </c>
    </row>
    <row r="33" spans="2:4">
      <c r="B33" t="s">
        <v>248</v>
      </c>
      <c r="D33">
        <f>SUM('Raw FS'!N7:N9)</f>
        <v>2291</v>
      </c>
    </row>
    <row r="34" spans="2:4">
      <c r="B34" s="2" t="s">
        <v>249</v>
      </c>
      <c r="C34" s="2"/>
      <c r="D34" s="128">
        <f>D30+D32-D33</f>
        <v>56244.776446028111</v>
      </c>
    </row>
    <row r="35" spans="2:4">
      <c r="B35" t="s">
        <v>250</v>
      </c>
      <c r="D35" s="9">
        <f>'Data Sheet'!B6</f>
        <v>95.919780472827753</v>
      </c>
    </row>
    <row r="36" spans="2:4" ht="5.25" customHeight="1">
      <c r="D36" s="9"/>
    </row>
    <row r="37" spans="2:4" ht="15.75" thickBot="1">
      <c r="B37" s="122" t="s">
        <v>251</v>
      </c>
      <c r="C37" s="122"/>
      <c r="D37" s="124">
        <f>D34/D35</f>
        <v>586.37307309060395</v>
      </c>
    </row>
    <row r="39" spans="2:4">
      <c r="B39" t="s">
        <v>252</v>
      </c>
      <c r="D39">
        <f>'Data Sheet'!B8</f>
        <v>2605.6</v>
      </c>
    </row>
    <row r="40" spans="2:4">
      <c r="B40" t="s">
        <v>253</v>
      </c>
      <c r="D40" s="125">
        <f>D39/D37-1</f>
        <v>3.4435874012198946</v>
      </c>
    </row>
  </sheetData>
  <pageMargins left="0.7" right="0.7" top="0.75" bottom="0.75" header="0.3" footer="0.3"/>
  <pageSetup scale="77" orientation="portrait" r:id="rId1"/>
  <ignoredErrors>
    <ignoredError sqref="F5:J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B5B7B-C668-4751-B269-60A6246385E1}">
  <sheetPr>
    <pageSetUpPr fitToPage="1"/>
  </sheetPr>
  <dimension ref="A2:J43"/>
  <sheetViews>
    <sheetView showGridLines="0" topLeftCell="A12" zoomScale="110" zoomScaleNormal="100" workbookViewId="0">
      <selection activeCell="A10" sqref="A10"/>
    </sheetView>
  </sheetViews>
  <sheetFormatPr defaultRowHeight="15"/>
  <cols>
    <col min="1" max="1" width="1.85546875" customWidth="1"/>
    <col min="2" max="2" width="19.85546875" customWidth="1"/>
    <col min="3" max="3" width="10.28515625" bestFit="1" customWidth="1"/>
    <col min="4" max="4" width="10.140625" bestFit="1" customWidth="1"/>
    <col min="5" max="5" width="11.42578125" bestFit="1" customWidth="1"/>
    <col min="6" max="6" width="10.85546875" customWidth="1"/>
    <col min="7" max="9" width="9.28515625" customWidth="1"/>
    <col min="10" max="10" width="10.28515625" bestFit="1" customWidth="1"/>
    <col min="14" max="14" width="16.5703125" bestFit="1" customWidth="1"/>
    <col min="15" max="15" width="9.85546875" bestFit="1" customWidth="1"/>
    <col min="16" max="16" width="6.5703125" bestFit="1" customWidth="1"/>
  </cols>
  <sheetData>
    <row r="2" spans="2:10" ht="18.75">
      <c r="B2" s="5" t="s">
        <v>0</v>
      </c>
      <c r="C2" s="6"/>
      <c r="D2" s="6"/>
      <c r="E2" s="6"/>
      <c r="F2" s="7"/>
      <c r="G2" s="7"/>
      <c r="H2" s="7"/>
      <c r="I2" s="7"/>
      <c r="J2" s="7"/>
    </row>
    <row r="3" spans="2:10">
      <c r="F3" s="15"/>
    </row>
    <row r="4" spans="2:10">
      <c r="B4" s="32" t="s">
        <v>1</v>
      </c>
    </row>
    <row r="6" spans="2:10">
      <c r="B6" s="2" t="s">
        <v>2</v>
      </c>
    </row>
    <row r="7" spans="2:10" ht="13.5" customHeight="1">
      <c r="B7" s="3"/>
      <c r="C7" s="3"/>
      <c r="D7" s="3"/>
      <c r="E7" s="3"/>
      <c r="F7" s="10"/>
      <c r="G7" s="10" t="s">
        <v>8</v>
      </c>
      <c r="H7" s="10" t="s">
        <v>8</v>
      </c>
      <c r="I7" s="10" t="s">
        <v>10</v>
      </c>
      <c r="J7" s="10" t="s">
        <v>13</v>
      </c>
    </row>
    <row r="8" spans="2:10" ht="18.75" customHeight="1">
      <c r="B8" s="4" t="s">
        <v>3</v>
      </c>
      <c r="C8" s="4" t="s">
        <v>4</v>
      </c>
      <c r="D8" s="11" t="s">
        <v>5</v>
      </c>
      <c r="E8" s="11" t="s">
        <v>6</v>
      </c>
      <c r="F8" s="11" t="s">
        <v>11</v>
      </c>
      <c r="G8" s="11" t="s">
        <v>9</v>
      </c>
      <c r="H8" s="11" t="s">
        <v>16</v>
      </c>
      <c r="I8" s="11" t="s">
        <v>12</v>
      </c>
      <c r="J8" s="11" t="s">
        <v>14</v>
      </c>
    </row>
    <row r="9" spans="2:10">
      <c r="B9" s="8"/>
      <c r="C9" s="8"/>
      <c r="D9" s="8"/>
      <c r="E9" s="8"/>
      <c r="F9" s="8"/>
      <c r="G9" s="8"/>
      <c r="H9" s="8"/>
      <c r="I9" s="8"/>
      <c r="J9" s="8"/>
    </row>
    <row r="10" spans="2:10">
      <c r="B10" t="s">
        <v>258</v>
      </c>
      <c r="C10" t="s">
        <v>15</v>
      </c>
      <c r="D10" s="131">
        <f>'Relative Data'!G3</f>
        <v>2291</v>
      </c>
      <c r="E10" s="131">
        <f>'Beta - Comps'!E4</f>
        <v>249928.58</v>
      </c>
      <c r="F10" s="14">
        <v>0.25</v>
      </c>
      <c r="G10" s="22">
        <f>D10/E10</f>
        <v>9.1666187196358263E-3</v>
      </c>
      <c r="H10" s="22">
        <f>D10/(D10+E10)</f>
        <v>9.0833550670411881E-3</v>
      </c>
      <c r="I10" s="169">
        <f>'Beta - Regression'!J13</f>
        <v>1.0559519296077347</v>
      </c>
      <c r="J10" s="23">
        <f>I10/(1+(1-F10)*G10)</f>
        <v>1.0487418669852551</v>
      </c>
    </row>
    <row r="11" spans="2:10">
      <c r="B11" t="s">
        <v>259</v>
      </c>
      <c r="C11" t="s">
        <v>15</v>
      </c>
      <c r="D11" s="131">
        <f>'Relative Data'!G4</f>
        <v>635.13</v>
      </c>
      <c r="E11" s="131">
        <f>'Beta - Comps'!E5</f>
        <v>63791.48</v>
      </c>
      <c r="F11" s="162">
        <f>$F$10</f>
        <v>0.25</v>
      </c>
      <c r="G11" s="22">
        <f t="shared" ref="G11:G14" si="0">D11/E11</f>
        <v>9.9563452674244265E-3</v>
      </c>
      <c r="H11" s="22">
        <f t="shared" ref="H11:H14" si="1">D11/(D11+E11)</f>
        <v>9.8581936873599271E-3</v>
      </c>
      <c r="I11" s="12">
        <v>1.04</v>
      </c>
      <c r="J11" s="23">
        <f t="shared" ref="J11:J14" si="2">I11/(1+(1-F11)*G11)</f>
        <v>1.0322916112264726</v>
      </c>
    </row>
    <row r="12" spans="2:10">
      <c r="B12" t="s">
        <v>260</v>
      </c>
      <c r="C12" t="s">
        <v>15</v>
      </c>
      <c r="D12" s="131">
        <f>'Relative Data'!G5</f>
        <v>302.73</v>
      </c>
      <c r="E12" s="131">
        <f>'Beta - Comps'!E6</f>
        <v>17422.14</v>
      </c>
      <c r="F12" s="162">
        <f t="shared" ref="F12:F14" si="3">$F$10</f>
        <v>0.25</v>
      </c>
      <c r="G12" s="22">
        <f t="shared" si="0"/>
        <v>1.7376166188539412E-2</v>
      </c>
      <c r="H12" s="22">
        <f t="shared" si="1"/>
        <v>1.7079391837570602E-2</v>
      </c>
      <c r="I12" s="12">
        <v>1.0529999999999999</v>
      </c>
      <c r="J12" s="23">
        <f t="shared" si="2"/>
        <v>1.0394537096962679</v>
      </c>
    </row>
    <row r="13" spans="2:10">
      <c r="B13" t="s">
        <v>261</v>
      </c>
      <c r="C13" t="s">
        <v>15</v>
      </c>
      <c r="D13" s="131">
        <f>'Relative Data'!G6</f>
        <v>79.099999999999994</v>
      </c>
      <c r="E13" s="131">
        <f>'Beta - Comps'!E7</f>
        <v>14647.68</v>
      </c>
      <c r="F13" s="162">
        <f t="shared" si="3"/>
        <v>0.25</v>
      </c>
      <c r="G13" s="22">
        <f t="shared" si="0"/>
        <v>5.4001725870581547E-3</v>
      </c>
      <c r="H13" s="22">
        <f t="shared" si="1"/>
        <v>5.3711673563399459E-3</v>
      </c>
      <c r="I13" s="12">
        <v>0.6</v>
      </c>
      <c r="J13" s="23">
        <f t="shared" si="2"/>
        <v>0.59757972476381149</v>
      </c>
    </row>
    <row r="14" spans="2:10">
      <c r="B14" t="s">
        <v>262</v>
      </c>
      <c r="C14" t="s">
        <v>15</v>
      </c>
      <c r="D14" s="131">
        <f>'Relative Data'!G7</f>
        <v>18.37</v>
      </c>
      <c r="E14" s="131">
        <f>'Beta - Comps'!E8</f>
        <v>4825.1899999999996</v>
      </c>
      <c r="F14" s="162">
        <f t="shared" si="3"/>
        <v>0.25</v>
      </c>
      <c r="G14" s="22">
        <f t="shared" si="0"/>
        <v>3.8071039689628809E-3</v>
      </c>
      <c r="H14" s="22">
        <f t="shared" si="1"/>
        <v>3.7926648993715372E-3</v>
      </c>
      <c r="I14" s="12">
        <v>1.2</v>
      </c>
      <c r="J14" s="23">
        <f t="shared" si="2"/>
        <v>1.1965833620498589</v>
      </c>
    </row>
    <row r="15" spans="2:10">
      <c r="F15" s="15"/>
    </row>
    <row r="16" spans="2:10">
      <c r="E16" s="16" t="s">
        <v>7</v>
      </c>
      <c r="F16" s="17">
        <f>AVERAGE(F10:F14)</f>
        <v>0.25</v>
      </c>
      <c r="G16" s="17">
        <f t="shared" ref="G16:J16" si="4">AVERAGE(G10:G14)</f>
        <v>9.1412813463241406E-3</v>
      </c>
      <c r="H16" s="17">
        <f t="shared" si="4"/>
        <v>9.0369545695366399E-3</v>
      </c>
      <c r="I16" s="18">
        <f t="shared" si="4"/>
        <v>0.989790385921547</v>
      </c>
      <c r="J16" s="18">
        <f t="shared" si="4"/>
        <v>0.98293005494433316</v>
      </c>
    </row>
    <row r="17" spans="2:10">
      <c r="E17" s="19" t="s">
        <v>17</v>
      </c>
      <c r="F17" s="20">
        <f>MEDIAN(F10:F14)</f>
        <v>0.25</v>
      </c>
      <c r="G17" s="20">
        <f t="shared" ref="G17:J17" si="5">MEDIAN(G10:G14)</f>
        <v>9.1666187196358263E-3</v>
      </c>
      <c r="H17" s="20">
        <f t="shared" si="5"/>
        <v>9.0833550670411881E-3</v>
      </c>
      <c r="I17" s="21">
        <f t="shared" si="5"/>
        <v>1.0529999999999999</v>
      </c>
      <c r="J17" s="21">
        <f t="shared" si="5"/>
        <v>1.0394537096962679</v>
      </c>
    </row>
    <row r="18" spans="2:10">
      <c r="G18" s="9"/>
    </row>
    <row r="19" spans="2:10">
      <c r="G19" s="9"/>
    </row>
    <row r="20" spans="2:10">
      <c r="B20" s="19" t="s">
        <v>29</v>
      </c>
      <c r="C20" s="24"/>
      <c r="D20" s="24"/>
      <c r="E20" s="24"/>
      <c r="G20" s="19" t="s">
        <v>23</v>
      </c>
      <c r="H20" s="24"/>
      <c r="I20" s="24"/>
      <c r="J20" s="24"/>
    </row>
    <row r="21" spans="2:10">
      <c r="B21" s="9"/>
      <c r="G21" s="9"/>
    </row>
    <row r="22" spans="2:10">
      <c r="B22" t="s">
        <v>30</v>
      </c>
      <c r="E22" s="43">
        <v>7.5999999999999998E-2</v>
      </c>
      <c r="G22" t="s">
        <v>24</v>
      </c>
      <c r="J22" s="49">
        <v>6.8500000000000005E-2</v>
      </c>
    </row>
    <row r="23" spans="2:10">
      <c r="B23" t="s">
        <v>31</v>
      </c>
      <c r="E23" s="15">
        <f>F17</f>
        <v>0.25</v>
      </c>
      <c r="G23" t="s">
        <v>25</v>
      </c>
      <c r="J23" s="46">
        <f>Rm!G11-WACC!J22</f>
        <v>5.599999999999998E-2</v>
      </c>
    </row>
    <row r="24" spans="2:10" ht="15.75" customHeight="1">
      <c r="B24" s="26" t="s">
        <v>32</v>
      </c>
      <c r="C24" s="26"/>
      <c r="D24" s="26"/>
      <c r="E24" s="29">
        <f>E22*(1-E23)</f>
        <v>5.6999999999999995E-2</v>
      </c>
      <c r="G24" t="s">
        <v>28</v>
      </c>
      <c r="J24" s="50">
        <f>'Beta - Regression'!J13</f>
        <v>1.0559519296077347</v>
      </c>
    </row>
    <row r="25" spans="2:10">
      <c r="G25" s="26" t="s">
        <v>23</v>
      </c>
      <c r="H25" s="26"/>
      <c r="I25" s="26"/>
      <c r="J25" s="51">
        <f>J22+(J23*J24)</f>
        <v>0.12763330805803313</v>
      </c>
    </row>
    <row r="28" spans="2:10">
      <c r="B28" s="19" t="s">
        <v>18</v>
      </c>
      <c r="C28" s="24"/>
      <c r="D28" s="24"/>
      <c r="E28" s="24"/>
      <c r="G28" s="19" t="s">
        <v>33</v>
      </c>
      <c r="H28" s="24"/>
      <c r="I28" s="24"/>
      <c r="J28" s="24"/>
    </row>
    <row r="29" spans="2:10">
      <c r="G29" s="2"/>
    </row>
    <row r="30" spans="2:10">
      <c r="D30" s="25" t="s">
        <v>21</v>
      </c>
      <c r="E30" s="25" t="s">
        <v>22</v>
      </c>
      <c r="G30" s="9" t="s">
        <v>34</v>
      </c>
      <c r="J30" s="9">
        <f>J17</f>
        <v>1.0394537096962679</v>
      </c>
    </row>
    <row r="31" spans="2:10">
      <c r="B31" t="s">
        <v>5</v>
      </c>
      <c r="C31" s="163">
        <f>D10</f>
        <v>2291</v>
      </c>
      <c r="D31" s="13">
        <f>C31/$C$33</f>
        <v>9.0833550670411881E-3</v>
      </c>
      <c r="E31" s="164">
        <f>H16</f>
        <v>9.0369545695366399E-3</v>
      </c>
      <c r="G31" t="s">
        <v>35</v>
      </c>
      <c r="J31" s="30">
        <f>E35</f>
        <v>9.1193658645576312E-3</v>
      </c>
    </row>
    <row r="32" spans="2:10">
      <c r="B32" t="s">
        <v>19</v>
      </c>
      <c r="C32" s="163">
        <f>E10</f>
        <v>249928.58</v>
      </c>
      <c r="D32" s="13">
        <f>C32/$C$33</f>
        <v>0.99091664493295883</v>
      </c>
      <c r="E32" s="15">
        <f>E33-E31</f>
        <v>0.99096304543046332</v>
      </c>
      <c r="G32" t="s">
        <v>31</v>
      </c>
      <c r="J32" s="15">
        <f>E23</f>
        <v>0.25</v>
      </c>
    </row>
    <row r="33" spans="1:10">
      <c r="B33" t="s">
        <v>20</v>
      </c>
      <c r="C33" s="26">
        <f>SUM(C31:C32)</f>
        <v>252219.58</v>
      </c>
      <c r="D33" s="27">
        <f>C33/$C$33</f>
        <v>1</v>
      </c>
      <c r="E33" s="28">
        <f>D33</f>
        <v>1</v>
      </c>
      <c r="G33" s="26" t="s">
        <v>26</v>
      </c>
      <c r="H33" s="26"/>
      <c r="I33" s="26"/>
      <c r="J33" s="31">
        <f>J30*(1+(1-J31)*J32)</f>
        <v>1.2969473474508371</v>
      </c>
    </row>
    <row r="35" spans="1:10">
      <c r="B35" s="26" t="s">
        <v>27</v>
      </c>
      <c r="C35" s="26"/>
      <c r="D35" s="51">
        <f>D31/D32</f>
        <v>9.1666187196358263E-3</v>
      </c>
      <c r="E35" s="51">
        <f>E31/E32</f>
        <v>9.1193658645576312E-3</v>
      </c>
      <c r="G35" s="19" t="s">
        <v>0</v>
      </c>
      <c r="H35" s="24"/>
      <c r="I35" s="24"/>
      <c r="J35" s="24"/>
    </row>
    <row r="36" spans="1:10">
      <c r="G36" s="9"/>
    </row>
    <row r="37" spans="1:10">
      <c r="B37" s="33" t="s">
        <v>36</v>
      </c>
      <c r="G37" t="s">
        <v>23</v>
      </c>
      <c r="J37" s="52">
        <f>J25</f>
        <v>0.12763330805803313</v>
      </c>
    </row>
    <row r="38" spans="1:10">
      <c r="B38" s="33" t="s">
        <v>37</v>
      </c>
      <c r="G38" t="s">
        <v>64</v>
      </c>
      <c r="J38" s="15">
        <f>E32</f>
        <v>0.99096304543046332</v>
      </c>
    </row>
    <row r="39" spans="1:10">
      <c r="A39" t="s">
        <v>38</v>
      </c>
      <c r="B39" s="33" t="s">
        <v>39</v>
      </c>
      <c r="J39" s="52"/>
    </row>
    <row r="40" spans="1:10">
      <c r="B40" s="33" t="s">
        <v>310</v>
      </c>
      <c r="G40" t="s">
        <v>29</v>
      </c>
      <c r="J40" s="15">
        <f>E24</f>
        <v>5.6999999999999995E-2</v>
      </c>
    </row>
    <row r="41" spans="1:10">
      <c r="B41" s="33" t="s">
        <v>311</v>
      </c>
      <c r="G41" t="s">
        <v>65</v>
      </c>
      <c r="J41" s="15">
        <f>E31</f>
        <v>9.0369545695366399E-3</v>
      </c>
    </row>
    <row r="43" spans="1:10">
      <c r="G43" s="108" t="s">
        <v>66</v>
      </c>
      <c r="H43" s="108"/>
      <c r="I43" s="108"/>
      <c r="J43" s="109">
        <f>(J37*J38)+(J40*J41)</f>
        <v>0.12699499806201661</v>
      </c>
    </row>
  </sheetData>
  <pageMargins left="0.7" right="0.7" top="0.75" bottom="0.75" header="0.3" footer="0.3"/>
  <pageSetup scale="88" orientation="portrait" r:id="rId1"/>
  <customProperties>
    <customPr name="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E036-95A2-49CD-911E-0470A328F88B}">
  <sheetPr>
    <pageSetUpPr fitToPage="1"/>
  </sheetPr>
  <dimension ref="A2:K63"/>
  <sheetViews>
    <sheetView showGridLines="0" zoomScale="111" workbookViewId="0">
      <pane ySplit="1" topLeftCell="A43" activePane="bottomLeft" state="frozen"/>
      <selection pane="bottomLeft" activeCell="I62" sqref="I62"/>
    </sheetView>
  </sheetViews>
  <sheetFormatPr defaultRowHeight="15"/>
  <cols>
    <col min="1" max="1" width="1.85546875" customWidth="1"/>
    <col min="2" max="7" width="12.7109375" customWidth="1"/>
    <col min="8" max="8" width="14.28515625" bestFit="1" customWidth="1"/>
    <col min="9" max="9" width="12.7109375" customWidth="1"/>
    <col min="11" max="11" width="21" bestFit="1" customWidth="1"/>
  </cols>
  <sheetData>
    <row r="2" spans="1:9" s="105" customFormat="1" ht="24.95" customHeight="1">
      <c r="A2" s="105" t="s">
        <v>69</v>
      </c>
      <c r="B2" s="103" t="s">
        <v>188</v>
      </c>
      <c r="C2" s="106"/>
      <c r="D2" s="106"/>
      <c r="E2" s="104">
        <f>'Raw FS'!J$2</f>
        <v>44256</v>
      </c>
      <c r="F2" s="104">
        <f>'Raw FS'!K$2</f>
        <v>44621</v>
      </c>
      <c r="G2" s="104">
        <f>'Raw FS'!L$2</f>
        <v>44986</v>
      </c>
      <c r="H2" s="104">
        <f>'Raw FS'!M$2</f>
        <v>45352</v>
      </c>
      <c r="I2" s="104">
        <f>'Raw FS'!N$2</f>
        <v>45717</v>
      </c>
    </row>
    <row r="4" spans="1:9">
      <c r="B4" s="2" t="s">
        <v>189</v>
      </c>
    </row>
    <row r="5" spans="1:9">
      <c r="B5" s="86" t="str">
        <f>'Raw FS'!B35</f>
        <v>Inventories</v>
      </c>
      <c r="C5" s="86"/>
      <c r="D5" s="86"/>
      <c r="E5" s="87">
        <f>'Raw FS'!J35</f>
        <v>3799</v>
      </c>
      <c r="F5" s="87">
        <f>'Raw FS'!K35</f>
        <v>6153</v>
      </c>
      <c r="G5" s="87">
        <f>'Raw FS'!L35</f>
        <v>6211</v>
      </c>
      <c r="H5" s="87">
        <f>'Raw FS'!M35</f>
        <v>5923</v>
      </c>
      <c r="I5" s="87">
        <f>'Raw FS'!N35</f>
        <v>6719</v>
      </c>
    </row>
    <row r="6" spans="1:9">
      <c r="B6" s="86" t="str">
        <f>'Raw FS'!B36</f>
        <v>Trade receivables</v>
      </c>
      <c r="C6" s="86"/>
      <c r="D6" s="86"/>
      <c r="E6" s="87">
        <f>'Raw FS'!J36</f>
        <v>2602</v>
      </c>
      <c r="F6" s="87">
        <f>'Raw FS'!K36</f>
        <v>3871</v>
      </c>
      <c r="G6" s="87">
        <f>'Raw FS'!L36</f>
        <v>4637</v>
      </c>
      <c r="H6" s="87">
        <f>'Raw FS'!M36</f>
        <v>4889</v>
      </c>
      <c r="I6" s="87">
        <f>'Raw FS'!N36</f>
        <v>4314</v>
      </c>
    </row>
    <row r="7" spans="1:9">
      <c r="B7" s="86" t="str">
        <f>'Raw FS'!B38</f>
        <v>Loans n Advances</v>
      </c>
      <c r="C7" s="86"/>
      <c r="D7" s="86"/>
      <c r="E7" s="87">
        <f>'Raw FS'!J38</f>
        <v>11</v>
      </c>
      <c r="F7" s="87">
        <f>'Raw FS'!K38</f>
        <v>8</v>
      </c>
      <c r="G7" s="87">
        <f>'Raw FS'!L38</f>
        <v>12</v>
      </c>
      <c r="H7" s="87">
        <f>'Raw FS'!M38</f>
        <v>17</v>
      </c>
      <c r="I7" s="87">
        <f>'Raw FS'!N38</f>
        <v>22</v>
      </c>
    </row>
    <row r="8" spans="1:9">
      <c r="B8" t="str">
        <f>'Raw FS'!B39</f>
        <v>Other asset items</v>
      </c>
      <c r="E8" s="88">
        <f>'Raw FS'!J39</f>
        <v>2555</v>
      </c>
      <c r="F8" s="88">
        <f>'Raw FS'!K39</f>
        <v>2869</v>
      </c>
      <c r="G8" s="88">
        <f>'Raw FS'!L39</f>
        <v>3024</v>
      </c>
      <c r="H8" s="88">
        <f>'Raw FS'!M39</f>
        <v>3555</v>
      </c>
      <c r="I8" s="88">
        <f>'Raw FS'!N39</f>
        <v>3319</v>
      </c>
    </row>
    <row r="9" spans="1:9">
      <c r="B9" s="90" t="s">
        <v>112</v>
      </c>
      <c r="C9" s="3"/>
      <c r="D9" s="3"/>
      <c r="E9" s="97">
        <f>SUM(E5:E8)</f>
        <v>8967</v>
      </c>
      <c r="F9" s="97">
        <f t="shared" ref="F9:I9" si="0">SUM(F5:F8)</f>
        <v>12901</v>
      </c>
      <c r="G9" s="97">
        <f t="shared" si="0"/>
        <v>13884</v>
      </c>
      <c r="H9" s="97">
        <f t="shared" si="0"/>
        <v>14384</v>
      </c>
      <c r="I9" s="97">
        <f t="shared" si="0"/>
        <v>14374</v>
      </c>
    </row>
    <row r="10" spans="1:9">
      <c r="E10" s="88"/>
      <c r="F10" s="88"/>
      <c r="G10" s="88"/>
      <c r="H10" s="88"/>
      <c r="I10" s="88"/>
    </row>
    <row r="11" spans="1:9">
      <c r="B11" s="2" t="s">
        <v>190</v>
      </c>
      <c r="E11" s="88"/>
      <c r="F11" s="88"/>
      <c r="G11" s="88"/>
      <c r="H11" s="88"/>
      <c r="I11" s="88"/>
    </row>
    <row r="12" spans="1:9">
      <c r="B12" s="86" t="str">
        <f>'Raw FS'!B13</f>
        <v>Trade Payables</v>
      </c>
      <c r="C12" s="86"/>
      <c r="D12" s="86"/>
      <c r="E12" s="87">
        <f>'Raw FS'!J13</f>
        <v>3379</v>
      </c>
      <c r="F12" s="87">
        <f>'Raw FS'!K13</f>
        <v>4164</v>
      </c>
      <c r="G12" s="87">
        <f>'Raw FS'!L13</f>
        <v>3635</v>
      </c>
      <c r="H12" s="87">
        <f>'Raw FS'!M13</f>
        <v>3831</v>
      </c>
      <c r="I12" s="87">
        <f>'Raw FS'!N13</f>
        <v>3848</v>
      </c>
    </row>
    <row r="13" spans="1:9">
      <c r="B13" s="86" t="str">
        <f>'Raw FS'!B14</f>
        <v>Advance from Customers</v>
      </c>
      <c r="C13" s="86"/>
      <c r="D13" s="86"/>
      <c r="E13" s="87">
        <f>'Raw FS'!J14</f>
        <v>41</v>
      </c>
      <c r="F13" s="87">
        <f>'Raw FS'!K14</f>
        <v>76</v>
      </c>
      <c r="G13" s="87">
        <f>'Raw FS'!L14</f>
        <v>108</v>
      </c>
      <c r="H13" s="87">
        <f>'Raw FS'!M14</f>
        <v>154</v>
      </c>
      <c r="I13" s="87">
        <f>'Raw FS'!N14</f>
        <v>173</v>
      </c>
    </row>
    <row r="14" spans="1:9">
      <c r="B14" s="86" t="str">
        <f>'Raw FS'!B15</f>
        <v>Other liability items</v>
      </c>
      <c r="C14" s="86"/>
      <c r="D14" s="86"/>
      <c r="E14" s="87">
        <f>'Raw FS'!J15</f>
        <v>2613</v>
      </c>
      <c r="F14" s="87">
        <f>'Raw FS'!K15</f>
        <v>2932</v>
      </c>
      <c r="G14" s="87">
        <f>'Raw FS'!L15</f>
        <v>3657</v>
      </c>
      <c r="H14" s="87">
        <f>'Raw FS'!M15</f>
        <v>4017</v>
      </c>
      <c r="I14" s="87">
        <f>'Raw FS'!N15</f>
        <v>3985</v>
      </c>
    </row>
    <row r="15" spans="1:9">
      <c r="B15" s="90" t="s">
        <v>191</v>
      </c>
      <c r="C15" s="3"/>
      <c r="D15" s="3"/>
      <c r="E15" s="97">
        <f>SUM(E12:E14)</f>
        <v>6033</v>
      </c>
      <c r="F15" s="97">
        <f>SUM(F12:F14)</f>
        <v>7172</v>
      </c>
      <c r="G15" s="97">
        <f>SUM(G12:G14)</f>
        <v>7400</v>
      </c>
      <c r="H15" s="97">
        <f>SUM(H12:H14)</f>
        <v>8002</v>
      </c>
      <c r="I15" s="97">
        <f>SUM(I12:I14)</f>
        <v>8006</v>
      </c>
    </row>
    <row r="16" spans="1:9">
      <c r="E16" s="88"/>
      <c r="F16" s="88"/>
      <c r="G16" s="88"/>
      <c r="H16" s="88"/>
      <c r="I16" s="88"/>
    </row>
    <row r="17" spans="1:9" ht="15.75" thickBot="1">
      <c r="A17" t="s">
        <v>69</v>
      </c>
      <c r="B17" s="93" t="s">
        <v>192</v>
      </c>
      <c r="C17" s="93"/>
      <c r="D17" s="93"/>
      <c r="E17" s="98">
        <f>E9-E15</f>
        <v>2934</v>
      </c>
      <c r="F17" s="98">
        <f t="shared" ref="F17:I17" si="1">F9-F15</f>
        <v>5729</v>
      </c>
      <c r="G17" s="98">
        <f t="shared" si="1"/>
        <v>6484</v>
      </c>
      <c r="H17" s="98">
        <f t="shared" si="1"/>
        <v>6382</v>
      </c>
      <c r="I17" s="98">
        <f t="shared" si="1"/>
        <v>6368</v>
      </c>
    </row>
    <row r="18" spans="1:9">
      <c r="E18" s="88"/>
      <c r="F18" s="88"/>
      <c r="G18" s="88"/>
      <c r="H18" s="88"/>
      <c r="I18" s="88"/>
    </row>
    <row r="19" spans="1:9">
      <c r="B19" s="2" t="s">
        <v>193</v>
      </c>
      <c r="E19" s="88"/>
      <c r="F19" s="88"/>
      <c r="G19" s="88"/>
      <c r="H19" s="88"/>
      <c r="I19" s="88"/>
    </row>
    <row r="20" spans="1:9">
      <c r="B20" s="86" t="str">
        <f>'Raw FS'!B19</f>
        <v>Land</v>
      </c>
      <c r="C20" s="86"/>
      <c r="D20" s="86"/>
      <c r="E20" s="87">
        <f>'Raw FS'!J19</f>
        <v>644</v>
      </c>
      <c r="F20" s="87">
        <f>'Raw FS'!K19</f>
        <v>644</v>
      </c>
      <c r="G20" s="87">
        <f>'Raw FS'!L19</f>
        <v>804</v>
      </c>
      <c r="H20" s="87">
        <f>'Raw FS'!M19</f>
        <v>1126</v>
      </c>
      <c r="I20" s="87">
        <f>'Raw FS'!N19</f>
        <v>1050</v>
      </c>
    </row>
    <row r="21" spans="1:9">
      <c r="B21" s="86" t="str">
        <f>'Raw FS'!B20</f>
        <v>Building</v>
      </c>
      <c r="C21" s="86"/>
      <c r="D21" s="86"/>
      <c r="E21" s="87">
        <f>'Raw FS'!J20</f>
        <v>2249</v>
      </c>
      <c r="F21" s="87">
        <f>'Raw FS'!K20</f>
        <v>2325</v>
      </c>
      <c r="G21" s="87">
        <f>'Raw FS'!L20</f>
        <v>2883</v>
      </c>
      <c r="H21" s="87">
        <f>'Raw FS'!M20</f>
        <v>3390</v>
      </c>
      <c r="I21" s="87">
        <f>'Raw FS'!N20</f>
        <v>4136</v>
      </c>
    </row>
    <row r="22" spans="1:9">
      <c r="B22" s="86" t="str">
        <f>'Raw FS'!B21</f>
        <v>Plant Machinery</v>
      </c>
      <c r="C22" s="86"/>
      <c r="D22" s="86"/>
      <c r="E22" s="87">
        <f>'Raw FS'!J21</f>
        <v>4340</v>
      </c>
      <c r="F22" s="87">
        <f>'Raw FS'!K21</f>
        <v>4531</v>
      </c>
      <c r="G22" s="87">
        <f>'Raw FS'!L21</f>
        <v>4825</v>
      </c>
      <c r="H22" s="87">
        <f>'Raw FS'!M21</f>
        <v>5422</v>
      </c>
      <c r="I22" s="87">
        <f>'Raw FS'!N21</f>
        <v>7576</v>
      </c>
    </row>
    <row r="23" spans="1:9">
      <c r="B23" s="86" t="str">
        <f>'Raw FS'!B22</f>
        <v>Equipments</v>
      </c>
      <c r="C23" s="86"/>
      <c r="D23" s="86"/>
      <c r="E23" s="87">
        <f>'Raw FS'!J22</f>
        <v>243</v>
      </c>
      <c r="F23" s="87">
        <f>'Raw FS'!K22</f>
        <v>253</v>
      </c>
      <c r="G23" s="87">
        <f>'Raw FS'!L22</f>
        <v>270</v>
      </c>
      <c r="H23" s="87">
        <f>'Raw FS'!M22</f>
        <v>298</v>
      </c>
      <c r="I23" s="87">
        <f>'Raw FS'!N22</f>
        <v>325</v>
      </c>
    </row>
    <row r="24" spans="1:9">
      <c r="B24" s="86" t="str">
        <f>'Raw FS'!B23</f>
        <v>Furniture n fittings</v>
      </c>
      <c r="C24" s="86"/>
      <c r="D24" s="86"/>
      <c r="E24" s="87">
        <f>'Raw FS'!J23</f>
        <v>99</v>
      </c>
      <c r="F24" s="87">
        <f>'Raw FS'!K23</f>
        <v>113</v>
      </c>
      <c r="G24" s="87">
        <f>'Raw FS'!L23</f>
        <v>146</v>
      </c>
      <c r="H24" s="87">
        <f>'Raw FS'!M23</f>
        <v>175</v>
      </c>
      <c r="I24" s="87">
        <f>'Raw FS'!N23</f>
        <v>203</v>
      </c>
    </row>
    <row r="25" spans="1:9">
      <c r="B25" s="86" t="str">
        <f>'Raw FS'!B24</f>
        <v>Vehicles</v>
      </c>
      <c r="C25" s="86"/>
      <c r="D25" s="86"/>
      <c r="E25" s="87">
        <f>'Raw FS'!J24</f>
        <v>38</v>
      </c>
      <c r="F25" s="87">
        <f>'Raw FS'!K24</f>
        <v>32</v>
      </c>
      <c r="G25" s="87">
        <f>'Raw FS'!L24</f>
        <v>36</v>
      </c>
      <c r="H25" s="87">
        <f>'Raw FS'!M24</f>
        <v>40</v>
      </c>
      <c r="I25" s="87">
        <f>'Raw FS'!N24</f>
        <v>39</v>
      </c>
    </row>
    <row r="26" spans="1:9">
      <c r="B26" s="86" t="str">
        <f>'Raw FS'!B25</f>
        <v>Intangible Assets</v>
      </c>
      <c r="C26" s="86"/>
      <c r="D26" s="86"/>
      <c r="E26" s="87">
        <f>'Raw FS'!J25</f>
        <v>476</v>
      </c>
      <c r="F26" s="87">
        <f>'Raw FS'!K25</f>
        <v>345</v>
      </c>
      <c r="G26" s="87">
        <f>'Raw FS'!L25</f>
        <v>422</v>
      </c>
      <c r="H26" s="87">
        <f>'Raw FS'!M25</f>
        <v>850</v>
      </c>
      <c r="I26" s="87">
        <f>'Raw FS'!N25</f>
        <v>827</v>
      </c>
    </row>
    <row r="27" spans="1:9">
      <c r="B27" s="86" t="str">
        <f>'Raw FS'!B26</f>
        <v>Other fixed assets</v>
      </c>
      <c r="C27" s="86"/>
      <c r="D27" s="86"/>
      <c r="E27" s="87">
        <f>'Raw FS'!J26</f>
        <v>302</v>
      </c>
      <c r="F27" s="87">
        <f>'Raw FS'!K26</f>
        <v>294</v>
      </c>
      <c r="G27" s="87">
        <f>'Raw FS'!L26</f>
        <v>289</v>
      </c>
      <c r="H27" s="87">
        <f>'Raw FS'!M26</f>
        <v>321</v>
      </c>
      <c r="I27" s="87">
        <f>'Raw FS'!N26</f>
        <v>328</v>
      </c>
    </row>
    <row r="28" spans="1:9" ht="5.25" customHeight="1">
      <c r="B28" s="86"/>
      <c r="C28" s="86"/>
      <c r="D28" s="86"/>
      <c r="E28" s="87"/>
      <c r="F28" s="87"/>
      <c r="G28" s="87"/>
      <c r="H28" s="87"/>
      <c r="I28" s="87"/>
    </row>
    <row r="29" spans="1:9">
      <c r="B29" s="90" t="s">
        <v>177</v>
      </c>
      <c r="C29" s="3"/>
      <c r="D29" s="3"/>
      <c r="E29" s="97">
        <f>SUM(E20:E28)</f>
        <v>8391</v>
      </c>
      <c r="F29" s="97">
        <f t="shared" ref="F29:I29" si="2">SUM(F20:F28)</f>
        <v>8537</v>
      </c>
      <c r="G29" s="97">
        <f t="shared" si="2"/>
        <v>9675</v>
      </c>
      <c r="H29" s="97">
        <f t="shared" si="2"/>
        <v>11622</v>
      </c>
      <c r="I29" s="97">
        <f t="shared" si="2"/>
        <v>14484</v>
      </c>
    </row>
    <row r="30" spans="1:9">
      <c r="B30" t="s">
        <v>178</v>
      </c>
      <c r="E30" s="88">
        <f>-'Raw FS'!J28</f>
        <v>-2533</v>
      </c>
      <c r="F30" s="88">
        <f>-'Raw FS'!K28</f>
        <v>-3019</v>
      </c>
      <c r="G30" s="88">
        <f>-'Raw FS'!L28</f>
        <v>-3905</v>
      </c>
      <c r="H30" s="88">
        <f>-'Raw FS'!M28</f>
        <v>-4475</v>
      </c>
      <c r="I30" s="88">
        <f>-'Raw FS'!N28</f>
        <v>-5264</v>
      </c>
    </row>
    <row r="31" spans="1:9" ht="15.75" thickBot="1">
      <c r="A31" t="s">
        <v>69</v>
      </c>
      <c r="B31" s="93" t="s">
        <v>194</v>
      </c>
      <c r="C31" s="93"/>
      <c r="D31" s="93"/>
      <c r="E31" s="98">
        <f>SUM(E29:E30)</f>
        <v>5858</v>
      </c>
      <c r="F31" s="98">
        <f t="shared" ref="F31:I31" si="3">SUM(F29:F30)</f>
        <v>5518</v>
      </c>
      <c r="G31" s="98">
        <f t="shared" si="3"/>
        <v>5770</v>
      </c>
      <c r="H31" s="98">
        <f t="shared" si="3"/>
        <v>7147</v>
      </c>
      <c r="I31" s="98">
        <f t="shared" si="3"/>
        <v>9220</v>
      </c>
    </row>
    <row r="32" spans="1:9">
      <c r="E32" s="88"/>
      <c r="F32" s="88"/>
      <c r="G32" s="88"/>
      <c r="H32" s="88"/>
      <c r="I32" s="88"/>
    </row>
    <row r="33" spans="1:10">
      <c r="A33" t="s">
        <v>69</v>
      </c>
      <c r="B33" s="2" t="s">
        <v>195</v>
      </c>
      <c r="C33" s="2"/>
      <c r="D33" s="2"/>
      <c r="E33" s="89">
        <f>E31+E17</f>
        <v>8792</v>
      </c>
      <c r="F33" s="89">
        <f t="shared" ref="F33:I33" si="4">F31+F17</f>
        <v>11247</v>
      </c>
      <c r="G33" s="89">
        <f t="shared" si="4"/>
        <v>12254</v>
      </c>
      <c r="H33" s="89">
        <f t="shared" si="4"/>
        <v>13529</v>
      </c>
      <c r="I33" s="89">
        <f t="shared" si="4"/>
        <v>15588</v>
      </c>
    </row>
    <row r="34" spans="1:10">
      <c r="B34" s="2" t="s">
        <v>196</v>
      </c>
      <c r="C34" s="2"/>
      <c r="D34" s="2"/>
      <c r="E34" s="89">
        <f>(HistoricalFS!H27+HistoricalFS!H21)</f>
        <v>4064.3300000000031</v>
      </c>
      <c r="F34" s="89">
        <f>(HistoricalFS!I27+HistoricalFS!I21)</f>
        <v>3987.2499999999986</v>
      </c>
      <c r="G34" s="89">
        <f>(HistoricalFS!J27+HistoricalFS!J21)</f>
        <v>5401.8199999999952</v>
      </c>
      <c r="H34" s="89">
        <f>(HistoricalFS!K27+HistoricalFS!K21)</f>
        <v>6731.9800000000014</v>
      </c>
      <c r="I34" s="89">
        <f>(HistoricalFS!L27+HistoricalFS!L21)</f>
        <v>4979.8700000000026</v>
      </c>
    </row>
    <row r="36" spans="1:10" ht="15.75" thickBot="1">
      <c r="A36" t="s">
        <v>69</v>
      </c>
      <c r="B36" s="93" t="s">
        <v>187</v>
      </c>
      <c r="C36" s="94"/>
      <c r="D36" s="94"/>
      <c r="E36" s="95">
        <f>E34/E33</f>
        <v>0.46227593266606043</v>
      </c>
      <c r="F36" s="95">
        <f t="shared" ref="F36:I36" si="5">F34/F33</f>
        <v>0.35451676002489541</v>
      </c>
      <c r="G36" s="95">
        <f t="shared" si="5"/>
        <v>0.44082095642239227</v>
      </c>
      <c r="H36" s="95">
        <f t="shared" si="5"/>
        <v>0.49759627466922918</v>
      </c>
      <c r="I36" s="95">
        <f t="shared" si="5"/>
        <v>0.31946818065178362</v>
      </c>
    </row>
    <row r="39" spans="1:10">
      <c r="A39" t="s">
        <v>69</v>
      </c>
      <c r="B39" s="44" t="s">
        <v>197</v>
      </c>
      <c r="C39" s="45"/>
      <c r="D39" s="45"/>
      <c r="E39" s="84">
        <f>'Raw FS'!J$2</f>
        <v>44256</v>
      </c>
      <c r="F39" s="84">
        <f>'Raw FS'!K$2</f>
        <v>44621</v>
      </c>
      <c r="G39" s="84">
        <f>'Raw FS'!L$2</f>
        <v>44986</v>
      </c>
      <c r="H39" s="84">
        <f>'Raw FS'!M$2</f>
        <v>45352</v>
      </c>
      <c r="I39" s="84">
        <f>'Raw FS'!N$2</f>
        <v>45717</v>
      </c>
    </row>
    <row r="41" spans="1:10">
      <c r="B41" s="86" t="s">
        <v>198</v>
      </c>
      <c r="C41" s="86"/>
      <c r="D41" s="86"/>
      <c r="E41" s="87">
        <f>-SUM('Raw FS'!J54:J55)</f>
        <v>261</v>
      </c>
      <c r="F41" s="87">
        <f>-SUM('Raw FS'!K54:K55)</f>
        <v>511</v>
      </c>
      <c r="G41" s="87">
        <f>-SUM('Raw FS'!L54:L55)</f>
        <v>1420</v>
      </c>
      <c r="H41" s="87">
        <f>-SUM('Raw FS'!M54:M55)</f>
        <v>2491</v>
      </c>
      <c r="I41" s="87">
        <f>-SUM('Raw FS'!N54:N55)</f>
        <v>1820</v>
      </c>
    </row>
    <row r="42" spans="1:10">
      <c r="B42" s="86" t="s">
        <v>220</v>
      </c>
      <c r="C42" s="86"/>
      <c r="D42" s="86"/>
      <c r="E42" s="87"/>
      <c r="F42" s="87">
        <f>F17-E17</f>
        <v>2795</v>
      </c>
      <c r="G42" s="87">
        <f t="shared" ref="G42:I42" si="6">G17-F17</f>
        <v>755</v>
      </c>
      <c r="H42" s="87">
        <f t="shared" si="6"/>
        <v>-102</v>
      </c>
      <c r="I42" s="87">
        <f t="shared" si="6"/>
        <v>-14</v>
      </c>
    </row>
    <row r="43" spans="1:10">
      <c r="B43" s="86"/>
      <c r="C43" s="86"/>
      <c r="D43" s="86"/>
      <c r="E43" s="87"/>
      <c r="F43" s="87"/>
      <c r="G43" s="87"/>
      <c r="H43" s="87"/>
      <c r="I43" s="87"/>
    </row>
    <row r="44" spans="1:10">
      <c r="B44" s="86" t="s">
        <v>196</v>
      </c>
      <c r="C44" s="86"/>
      <c r="D44" s="86"/>
      <c r="E44" s="87">
        <f>E34</f>
        <v>4064.3300000000031</v>
      </c>
      <c r="F44" s="87">
        <f t="shared" ref="F44:I44" si="7">F34</f>
        <v>3987.2499999999986</v>
      </c>
      <c r="G44" s="87">
        <f t="shared" si="7"/>
        <v>5401.8199999999952</v>
      </c>
      <c r="H44" s="87">
        <f t="shared" si="7"/>
        <v>6731.9800000000014</v>
      </c>
      <c r="I44" s="87">
        <f t="shared" si="7"/>
        <v>4979.8700000000026</v>
      </c>
    </row>
    <row r="45" spans="1:10">
      <c r="B45" s="86" t="s">
        <v>221</v>
      </c>
      <c r="C45" s="86"/>
      <c r="D45" s="86"/>
      <c r="E45" s="99">
        <v>0.25</v>
      </c>
      <c r="F45" s="99">
        <v>0.25</v>
      </c>
      <c r="G45" s="99">
        <v>0.25</v>
      </c>
      <c r="H45" s="99">
        <v>0.25</v>
      </c>
      <c r="I45" s="99">
        <v>0.25</v>
      </c>
    </row>
    <row r="46" spans="1:10">
      <c r="B46" s="86" t="s">
        <v>223</v>
      </c>
      <c r="C46" s="86"/>
      <c r="D46" s="86"/>
      <c r="E46" s="100">
        <f>E44*(1-E45)</f>
        <v>3048.2475000000022</v>
      </c>
      <c r="F46" s="100">
        <f t="shared" ref="F46:I46" si="8">F44*(1-F45)</f>
        <v>2990.4374999999991</v>
      </c>
      <c r="G46" s="100">
        <f t="shared" si="8"/>
        <v>4051.3649999999961</v>
      </c>
      <c r="H46" s="100">
        <f t="shared" si="8"/>
        <v>5048.9850000000006</v>
      </c>
      <c r="I46" s="100">
        <f t="shared" si="8"/>
        <v>3734.902500000002</v>
      </c>
    </row>
    <row r="47" spans="1:10">
      <c r="B47" s="86"/>
      <c r="C47" s="86"/>
      <c r="D47" s="86"/>
      <c r="E47" s="87"/>
      <c r="F47" s="87"/>
      <c r="G47" s="87"/>
      <c r="H47" s="87"/>
      <c r="I47" s="87"/>
      <c r="J47" s="88"/>
    </row>
    <row r="48" spans="1:10">
      <c r="B48" s="86" t="s">
        <v>222</v>
      </c>
      <c r="C48" s="86"/>
      <c r="D48" s="86"/>
      <c r="E48" s="87"/>
      <c r="F48" s="87">
        <f>SUM(F41:F42)</f>
        <v>3306</v>
      </c>
      <c r="G48" s="87">
        <f t="shared" ref="G48:I48" si="9">SUM(G41:G42)</f>
        <v>2175</v>
      </c>
      <c r="H48" s="87">
        <f t="shared" si="9"/>
        <v>2389</v>
      </c>
      <c r="I48" s="87">
        <f t="shared" si="9"/>
        <v>1806</v>
      </c>
    </row>
    <row r="49" spans="1:11" ht="3.75" customHeight="1">
      <c r="F49" s="83"/>
      <c r="G49" s="83"/>
      <c r="H49" s="83"/>
      <c r="I49" s="83"/>
    </row>
    <row r="50" spans="1:11" ht="15.75" thickBot="1">
      <c r="B50" s="93" t="s">
        <v>224</v>
      </c>
      <c r="C50" s="93"/>
      <c r="D50" s="93"/>
      <c r="E50" s="93"/>
      <c r="F50" s="95">
        <f>F48/F46</f>
        <v>1.1055238572951285</v>
      </c>
      <c r="G50" s="95">
        <f t="shared" ref="G50:I50" si="10">G48/G46</f>
        <v>0.53685609664890777</v>
      </c>
      <c r="H50" s="95">
        <f t="shared" si="10"/>
        <v>0.4731644082919636</v>
      </c>
      <c r="I50" s="95">
        <f t="shared" si="10"/>
        <v>0.48354675925275131</v>
      </c>
    </row>
    <row r="51" spans="1:11">
      <c r="F51" s="13"/>
      <c r="G51" s="13"/>
      <c r="H51" s="13"/>
      <c r="I51" s="13"/>
    </row>
    <row r="52" spans="1:11">
      <c r="H52" s="53" t="s">
        <v>225</v>
      </c>
      <c r="I52" s="54">
        <f>AVERAGE(F50:I50)</f>
        <v>0.64977278037218777</v>
      </c>
    </row>
    <row r="53" spans="1:11">
      <c r="H53" s="53" t="s">
        <v>226</v>
      </c>
      <c r="I53" s="54">
        <f>MEDIAN(F50:I50)</f>
        <v>0.51020142795082957</v>
      </c>
    </row>
    <row r="55" spans="1:11">
      <c r="A55" t="s">
        <v>69</v>
      </c>
      <c r="B55" s="44" t="s">
        <v>227</v>
      </c>
      <c r="C55" s="45"/>
      <c r="D55" s="45"/>
      <c r="E55" s="84">
        <f>'Raw FS'!J$2</f>
        <v>44256</v>
      </c>
      <c r="F55" s="84">
        <f>'Raw FS'!K$2</f>
        <v>44621</v>
      </c>
      <c r="G55" s="84">
        <f>'Raw FS'!L$2</f>
        <v>44986</v>
      </c>
      <c r="H55" s="84">
        <f>'Raw FS'!M$2</f>
        <v>45352</v>
      </c>
      <c r="I55" s="84">
        <f>'Raw FS'!N$2</f>
        <v>45717</v>
      </c>
    </row>
    <row r="57" spans="1:11">
      <c r="B57" s="86" t="s">
        <v>224</v>
      </c>
      <c r="C57" s="86"/>
      <c r="D57" s="86"/>
      <c r="E57" s="86"/>
      <c r="F57" s="101">
        <f>F50</f>
        <v>1.1055238572951285</v>
      </c>
      <c r="G57" s="101">
        <f t="shared" ref="G57:I57" si="11">G50</f>
        <v>0.53685609664890777</v>
      </c>
      <c r="H57" s="101">
        <f t="shared" si="11"/>
        <v>0.4731644082919636</v>
      </c>
      <c r="I57" s="101">
        <f t="shared" si="11"/>
        <v>0.48354675925275131</v>
      </c>
    </row>
    <row r="58" spans="1:11">
      <c r="B58" s="86" t="s">
        <v>187</v>
      </c>
      <c r="C58" s="86"/>
      <c r="D58" s="86"/>
      <c r="E58" s="86"/>
      <c r="F58" s="101">
        <f>F36</f>
        <v>0.35451676002489541</v>
      </c>
      <c r="G58" s="101">
        <f t="shared" ref="G58:I58" si="12">G36</f>
        <v>0.44082095642239227</v>
      </c>
      <c r="H58" s="101">
        <f t="shared" si="12"/>
        <v>0.49759627466922918</v>
      </c>
      <c r="I58" s="101">
        <f t="shared" si="12"/>
        <v>0.31946818065178362</v>
      </c>
    </row>
    <row r="59" spans="1:11" ht="4.5" customHeight="1"/>
    <row r="60" spans="1:11" ht="15.75" thickBot="1">
      <c r="B60" s="93" t="s">
        <v>228</v>
      </c>
      <c r="C60" s="93"/>
      <c r="D60" s="93"/>
      <c r="E60" s="93"/>
      <c r="F60" s="102">
        <f>F57*F58</f>
        <v>0.39192673601849376</v>
      </c>
      <c r="G60" s="102">
        <f t="shared" ref="G60:I60" si="13">G57*G58</f>
        <v>0.23665741798596379</v>
      </c>
      <c r="H60" s="102">
        <f>H57*H58</f>
        <v>0.23544484687215123</v>
      </c>
      <c r="I60" s="102">
        <f t="shared" si="13"/>
        <v>0.15447780343854248</v>
      </c>
      <c r="K60" s="96"/>
    </row>
    <row r="62" spans="1:11">
      <c r="H62" s="53" t="s">
        <v>225</v>
      </c>
      <c r="I62" s="54">
        <f>AVERAGE(F60:I60)</f>
        <v>0.25462670107878782</v>
      </c>
    </row>
    <row r="63" spans="1:11">
      <c r="H63" s="53" t="s">
        <v>226</v>
      </c>
      <c r="I63" s="54">
        <f>MEDIAN(F60:I60)</f>
        <v>0.23605113242905751</v>
      </c>
    </row>
  </sheetData>
  <pageMargins left="0.25" right="0.25" top="0.28999999999999998" bottom="0.13" header="0.3" footer="0.3"/>
  <pageSetup scale="84" orientation="portrait" r:id="rId1"/>
  <ignoredErrors>
    <ignoredError sqref="E41:I41"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91D04-130C-4EB5-94D1-E96A482944C5}">
  <dimension ref="B2:T112"/>
  <sheetViews>
    <sheetView showGridLines="0" zoomScale="89" workbookViewId="0">
      <selection activeCell="L13" sqref="L13"/>
    </sheetView>
  </sheetViews>
  <sheetFormatPr defaultRowHeight="15"/>
  <cols>
    <col min="1" max="1" width="1.85546875" customWidth="1"/>
    <col min="2" max="2" width="11.140625" customWidth="1"/>
    <col min="3" max="3" width="12.28515625" bestFit="1" customWidth="1"/>
    <col min="4" max="4" width="11.28515625" customWidth="1"/>
    <col min="6" max="6" width="13.5703125" bestFit="1" customWidth="1"/>
    <col min="9" max="9" width="18.140625" customWidth="1"/>
    <col min="10" max="10" width="12" bestFit="1" customWidth="1"/>
    <col min="12" max="12" width="14.42578125" customWidth="1"/>
    <col min="13" max="13" width="14.5703125" customWidth="1"/>
    <col min="14" max="14" width="11.85546875" customWidth="1"/>
    <col min="15" max="15" width="10.85546875" customWidth="1"/>
    <col min="16" max="16" width="11.7109375" customWidth="1"/>
    <col min="17" max="17" width="11.28515625" customWidth="1"/>
    <col min="18" max="18" width="12.85546875" customWidth="1"/>
  </cols>
  <sheetData>
    <row r="2" spans="2:13">
      <c r="E2" s="167" t="s">
        <v>307</v>
      </c>
    </row>
    <row r="3" spans="2:13">
      <c r="B3" s="2" t="s">
        <v>309</v>
      </c>
    </row>
    <row r="5" spans="2:13">
      <c r="B5" s="231" t="str">
        <f>'Data Sheet'!B1 &amp;" - " &amp; "Weekly Returns"</f>
        <v>ASIAN PAINTS LTD - Weekly Returns</v>
      </c>
      <c r="C5" s="231"/>
      <c r="D5" s="231"/>
      <c r="F5" s="231" t="s">
        <v>48</v>
      </c>
      <c r="G5" s="231"/>
      <c r="I5" s="231" t="s">
        <v>53</v>
      </c>
      <c r="J5" s="231"/>
      <c r="L5" t="s">
        <v>49</v>
      </c>
      <c r="M5" s="9">
        <f>SLOPE(D8:D112,G8:G112)</f>
        <v>1.074602572810313</v>
      </c>
    </row>
    <row r="6" spans="2:13">
      <c r="B6" s="39" t="s">
        <v>40</v>
      </c>
      <c r="C6" s="40" t="s">
        <v>46</v>
      </c>
      <c r="D6" s="40" t="s">
        <v>47</v>
      </c>
      <c r="F6" s="40" t="s">
        <v>46</v>
      </c>
      <c r="G6" s="40" t="s">
        <v>47</v>
      </c>
      <c r="L6" t="s">
        <v>50</v>
      </c>
      <c r="M6" s="9">
        <f>_xlfn.COVARIANCE.S(D7:D112,G7:G112)/VAR(G7:G112)</f>
        <v>1.0746025728103128</v>
      </c>
    </row>
    <row r="7" spans="2:13">
      <c r="B7" s="36">
        <v>46174</v>
      </c>
      <c r="C7" s="126">
        <v>2645.2</v>
      </c>
      <c r="F7" s="34">
        <v>24021.65</v>
      </c>
      <c r="I7" s="35" t="s">
        <v>54</v>
      </c>
      <c r="J7" s="9">
        <f>M5</f>
        <v>1.074602572810313</v>
      </c>
    </row>
    <row r="8" spans="2:13">
      <c r="B8" s="36">
        <v>46143</v>
      </c>
      <c r="C8" s="126">
        <v>2671.6</v>
      </c>
      <c r="D8" s="13">
        <f>C8/C7-1</f>
        <v>9.980341751096411E-3</v>
      </c>
      <c r="F8" s="34">
        <v>23547.75</v>
      </c>
      <c r="G8" s="13">
        <f>F8/F7-1</f>
        <v>-1.97280369999564E-2</v>
      </c>
      <c r="I8" t="s">
        <v>55</v>
      </c>
      <c r="J8" s="13">
        <v>0.75</v>
      </c>
      <c r="L8" t="s">
        <v>51</v>
      </c>
      <c r="M8" s="9"/>
    </row>
    <row r="9" spans="2:13">
      <c r="B9" s="36">
        <v>46113</v>
      </c>
      <c r="C9" s="126">
        <v>2444.5</v>
      </c>
      <c r="D9" s="13">
        <f t="shared" ref="D9:D66" si="0">C9/C8-1</f>
        <v>-8.5005240305434882E-2</v>
      </c>
      <c r="F9" s="34">
        <v>23997.55</v>
      </c>
      <c r="G9" s="13">
        <f t="shared" ref="G9:G66" si="1">F9/F8-1</f>
        <v>1.9101612680616942E-2</v>
      </c>
      <c r="J9" s="9"/>
    </row>
    <row r="10" spans="2:13">
      <c r="B10" s="36">
        <v>46082</v>
      </c>
      <c r="C10" s="126">
        <v>2165.1999999999998</v>
      </c>
      <c r="D10" s="13">
        <f t="shared" si="0"/>
        <v>-0.11425649417058714</v>
      </c>
      <c r="F10" s="34">
        <v>22331.4</v>
      </c>
      <c r="G10" s="13">
        <f t="shared" si="1"/>
        <v>-6.9430004312940219E-2</v>
      </c>
      <c r="I10" t="s">
        <v>57</v>
      </c>
      <c r="J10" s="9">
        <v>1</v>
      </c>
    </row>
    <row r="11" spans="2:13">
      <c r="B11" s="36">
        <v>46054</v>
      </c>
      <c r="C11" s="126">
        <v>2376.1999999999998</v>
      </c>
      <c r="D11" s="13">
        <f t="shared" si="0"/>
        <v>9.7450581932384983E-2</v>
      </c>
      <c r="F11" s="34">
        <v>25178.65</v>
      </c>
      <c r="G11" s="13">
        <f t="shared" si="1"/>
        <v>0.12749984327001451</v>
      </c>
      <c r="I11" t="s">
        <v>56</v>
      </c>
      <c r="J11" s="13">
        <v>0.25</v>
      </c>
    </row>
    <row r="12" spans="2:13">
      <c r="B12" s="36">
        <v>46023</v>
      </c>
      <c r="C12" s="126">
        <v>2428.3000000000002</v>
      </c>
      <c r="D12" s="13">
        <f t="shared" si="0"/>
        <v>2.1925763824593991E-2</v>
      </c>
      <c r="F12" s="34">
        <v>25320.65</v>
      </c>
      <c r="G12" s="13">
        <f t="shared" si="1"/>
        <v>5.6396987129969656E-3</v>
      </c>
    </row>
    <row r="13" spans="2:13">
      <c r="B13" s="36">
        <v>45992</v>
      </c>
      <c r="C13" s="126">
        <v>2769.5</v>
      </c>
      <c r="D13" s="13">
        <f t="shared" si="0"/>
        <v>0.14050982168595305</v>
      </c>
      <c r="F13" s="34">
        <v>26129.599999999999</v>
      </c>
      <c r="G13" s="13">
        <f t="shared" si="1"/>
        <v>3.1948231976667074E-2</v>
      </c>
      <c r="I13" s="41" t="s">
        <v>58</v>
      </c>
      <c r="J13" s="42">
        <f>(J7*J8)+(J10*J11)</f>
        <v>1.0559519296077347</v>
      </c>
    </row>
    <row r="14" spans="2:13">
      <c r="B14" s="36">
        <v>45962</v>
      </c>
      <c r="C14" s="126">
        <v>2874.4</v>
      </c>
      <c r="D14" s="13">
        <f t="shared" si="0"/>
        <v>3.787687308178378E-2</v>
      </c>
      <c r="F14" s="34">
        <v>26202.95</v>
      </c>
      <c r="G14" s="13">
        <f t="shared" si="1"/>
        <v>2.8071612271141078E-3</v>
      </c>
    </row>
    <row r="15" spans="2:13">
      <c r="B15" s="36">
        <v>45931</v>
      </c>
      <c r="C15" s="126">
        <v>2510.8000000000002</v>
      </c>
      <c r="D15" s="13">
        <f t="shared" si="0"/>
        <v>-0.12649596437517396</v>
      </c>
      <c r="F15" s="34">
        <v>25722.1</v>
      </c>
      <c r="G15" s="13">
        <f t="shared" si="1"/>
        <v>-1.835098719800643E-2</v>
      </c>
      <c r="L15" s="165"/>
      <c r="M15" s="165"/>
    </row>
    <row r="16" spans="2:13">
      <c r="B16" s="36">
        <v>45901</v>
      </c>
      <c r="C16" s="126">
        <v>2350</v>
      </c>
      <c r="D16" s="13">
        <f t="shared" si="0"/>
        <v>-6.4043332802294128E-2</v>
      </c>
      <c r="F16" s="34">
        <v>24611.1</v>
      </c>
      <c r="G16" s="13">
        <f t="shared" si="1"/>
        <v>-4.3192429856038217E-2</v>
      </c>
    </row>
    <row r="17" spans="2:20">
      <c r="B17" s="36">
        <v>45870</v>
      </c>
      <c r="C17" s="126">
        <v>2518.6</v>
      </c>
      <c r="D17" s="13">
        <f t="shared" si="0"/>
        <v>7.174468085106378E-2</v>
      </c>
      <c r="F17" s="34">
        <v>24426.85</v>
      </c>
      <c r="G17" s="13">
        <f t="shared" si="1"/>
        <v>-7.4864593618326758E-3</v>
      </c>
    </row>
    <row r="18" spans="2:20">
      <c r="B18" s="36">
        <v>45839</v>
      </c>
      <c r="C18" s="126">
        <v>2396.1</v>
      </c>
      <c r="D18" s="13">
        <f t="shared" si="0"/>
        <v>-4.8638132295719894E-2</v>
      </c>
      <c r="F18" s="34">
        <v>24768.35</v>
      </c>
      <c r="G18" s="13">
        <f t="shared" si="1"/>
        <v>1.3980517340549392E-2</v>
      </c>
    </row>
    <row r="19" spans="2:20">
      <c r="B19" s="36">
        <v>45809</v>
      </c>
      <c r="C19" s="126">
        <v>2341.1</v>
      </c>
      <c r="D19" s="13">
        <f t="shared" si="0"/>
        <v>-2.2953966862818698E-2</v>
      </c>
      <c r="F19" s="34">
        <v>25517.05</v>
      </c>
      <c r="G19" s="13">
        <f t="shared" si="1"/>
        <v>3.0228093514505394E-2</v>
      </c>
    </row>
    <row r="20" spans="2:20">
      <c r="B20" s="36">
        <v>45778</v>
      </c>
      <c r="C20" s="126">
        <v>2259.1</v>
      </c>
      <c r="D20" s="13">
        <f t="shared" si="0"/>
        <v>-3.5026269702276736E-2</v>
      </c>
      <c r="F20" s="34">
        <v>24750.7</v>
      </c>
      <c r="G20" s="13">
        <f t="shared" si="1"/>
        <v>-3.0032860381587922E-2</v>
      </c>
      <c r="I20" s="15"/>
    </row>
    <row r="21" spans="2:20">
      <c r="B21" s="36">
        <v>45748</v>
      </c>
      <c r="C21" s="126">
        <v>2425.6999999999998</v>
      </c>
      <c r="D21" s="13">
        <f t="shared" si="0"/>
        <v>7.3746182107919056E-2</v>
      </c>
      <c r="F21" s="34">
        <v>24334.2</v>
      </c>
      <c r="G21" s="13">
        <f t="shared" si="1"/>
        <v>-1.682780689031016E-2</v>
      </c>
    </row>
    <row r="22" spans="2:20">
      <c r="B22" s="36">
        <v>45717</v>
      </c>
      <c r="C22" s="126">
        <v>2340.65</v>
      </c>
      <c r="D22" s="13">
        <f t="shared" si="0"/>
        <v>-3.5062043946077259E-2</v>
      </c>
      <c r="F22" s="34">
        <v>23519.35</v>
      </c>
      <c r="G22" s="13">
        <f t="shared" si="1"/>
        <v>-3.3485793656664375E-2</v>
      </c>
    </row>
    <row r="23" spans="2:20">
      <c r="B23" s="36">
        <v>45689</v>
      </c>
      <c r="C23" s="126">
        <v>2179.75</v>
      </c>
      <c r="D23" s="13">
        <f t="shared" si="0"/>
        <v>-6.874158887488524E-2</v>
      </c>
      <c r="F23" s="34">
        <v>22124.7</v>
      </c>
      <c r="G23" s="13">
        <f t="shared" si="1"/>
        <v>-5.9297982299680863E-2</v>
      </c>
      <c r="L23" s="166"/>
      <c r="M23" s="166"/>
      <c r="N23" s="166"/>
      <c r="O23" s="166"/>
      <c r="P23" s="166"/>
      <c r="Q23" s="166"/>
    </row>
    <row r="24" spans="2:20">
      <c r="B24" s="36">
        <v>45658</v>
      </c>
      <c r="C24" s="126">
        <v>2300.8000000000002</v>
      </c>
      <c r="D24" s="13">
        <f t="shared" si="0"/>
        <v>5.5533891501319044E-2</v>
      </c>
      <c r="F24" s="34">
        <v>23508.400000000001</v>
      </c>
      <c r="G24" s="13">
        <f t="shared" si="1"/>
        <v>6.2540961007380824E-2</v>
      </c>
    </row>
    <row r="25" spans="2:20">
      <c r="B25" s="36">
        <v>45627</v>
      </c>
      <c r="C25" s="126">
        <v>2281.35</v>
      </c>
      <c r="D25" s="13">
        <f t="shared" si="0"/>
        <v>-8.4535813630043366E-3</v>
      </c>
      <c r="F25" s="34">
        <v>23644.799999999999</v>
      </c>
      <c r="G25" s="13">
        <f t="shared" si="1"/>
        <v>5.8021813479436357E-3</v>
      </c>
    </row>
    <row r="26" spans="2:20">
      <c r="B26" s="36">
        <v>45597</v>
      </c>
      <c r="C26" s="126">
        <v>2479.6</v>
      </c>
      <c r="D26" s="13">
        <f t="shared" si="0"/>
        <v>8.6900300260810415E-2</v>
      </c>
      <c r="F26" s="34">
        <v>24131.1</v>
      </c>
      <c r="G26" s="13">
        <f t="shared" si="1"/>
        <v>2.0566889971579405E-2</v>
      </c>
    </row>
    <row r="27" spans="2:20">
      <c r="B27" s="36">
        <v>45566</v>
      </c>
      <c r="C27" s="126">
        <v>2935.65</v>
      </c>
      <c r="D27" s="13">
        <f t="shared" si="0"/>
        <v>0.18392079367639957</v>
      </c>
      <c r="F27" s="34">
        <v>24205.35</v>
      </c>
      <c r="G27" s="13">
        <f t="shared" si="1"/>
        <v>3.0769422032148608E-3</v>
      </c>
    </row>
    <row r="28" spans="2:20">
      <c r="B28" s="36">
        <v>45536</v>
      </c>
      <c r="C28" s="126">
        <v>3329.1</v>
      </c>
      <c r="D28" s="13">
        <f t="shared" si="0"/>
        <v>0.13402483266056908</v>
      </c>
      <c r="F28" s="34">
        <v>25810.85</v>
      </c>
      <c r="G28" s="13">
        <f t="shared" si="1"/>
        <v>6.6328311716211452E-2</v>
      </c>
      <c r="L28" s="166"/>
      <c r="M28" s="166"/>
      <c r="N28" s="166"/>
      <c r="O28" s="166"/>
      <c r="P28" s="166"/>
      <c r="Q28" s="166"/>
      <c r="R28" s="166"/>
      <c r="S28" s="166"/>
      <c r="T28" s="166"/>
    </row>
    <row r="29" spans="2:20">
      <c r="B29" s="36">
        <v>45505</v>
      </c>
      <c r="C29" s="126">
        <v>3126.8</v>
      </c>
      <c r="D29" s="13">
        <f t="shared" si="0"/>
        <v>-6.0767174311375349E-2</v>
      </c>
      <c r="F29" s="34">
        <v>25235.9</v>
      </c>
      <c r="G29" s="13">
        <f t="shared" si="1"/>
        <v>-2.2275515916755806E-2</v>
      </c>
    </row>
    <row r="30" spans="2:20">
      <c r="B30" s="36">
        <v>45474</v>
      </c>
      <c r="C30" s="126">
        <v>3084.45</v>
      </c>
      <c r="D30" s="13">
        <f t="shared" si="0"/>
        <v>-1.3544198541640129E-2</v>
      </c>
      <c r="F30" s="34">
        <v>24951.15</v>
      </c>
      <c r="G30" s="13">
        <f t="shared" si="1"/>
        <v>-1.1283528623904804E-2</v>
      </c>
    </row>
    <row r="31" spans="2:20">
      <c r="B31" s="36">
        <v>45444</v>
      </c>
      <c r="C31" s="126">
        <v>2917.05</v>
      </c>
      <c r="D31" s="13">
        <f t="shared" si="0"/>
        <v>-5.4272236541360597E-2</v>
      </c>
      <c r="F31" s="34">
        <v>24010.6</v>
      </c>
      <c r="G31" s="13">
        <f t="shared" si="1"/>
        <v>-3.7695657314392395E-2</v>
      </c>
    </row>
    <row r="32" spans="2:20">
      <c r="B32" s="36">
        <v>45413</v>
      </c>
      <c r="C32" s="126">
        <v>2881.2</v>
      </c>
      <c r="D32" s="13">
        <f t="shared" si="0"/>
        <v>-1.2289813338818401E-2</v>
      </c>
      <c r="F32" s="34">
        <v>22530.7</v>
      </c>
      <c r="G32" s="13">
        <f t="shared" si="1"/>
        <v>-6.1635277752326023E-2</v>
      </c>
    </row>
    <row r="33" spans="2:7">
      <c r="B33" s="36">
        <v>45383</v>
      </c>
      <c r="C33" s="126">
        <v>2875.9</v>
      </c>
      <c r="D33" s="13">
        <f t="shared" si="0"/>
        <v>-1.8395113147299247E-3</v>
      </c>
      <c r="F33" s="34">
        <v>22604.85</v>
      </c>
      <c r="G33" s="13">
        <f t="shared" si="1"/>
        <v>3.2910650800905827E-3</v>
      </c>
    </row>
    <row r="34" spans="2:7">
      <c r="B34" s="36">
        <v>45352</v>
      </c>
      <c r="C34" s="126">
        <v>2846.75</v>
      </c>
      <c r="D34" s="13">
        <f t="shared" si="0"/>
        <v>-1.0135957439410315E-2</v>
      </c>
      <c r="F34" s="34">
        <v>22326.9</v>
      </c>
      <c r="G34" s="13">
        <f t="shared" si="1"/>
        <v>-1.2296033815751839E-2</v>
      </c>
    </row>
    <row r="35" spans="2:7">
      <c r="B35" s="36">
        <v>45323</v>
      </c>
      <c r="C35" s="126">
        <v>2821.9</v>
      </c>
      <c r="D35" s="13">
        <f t="shared" si="0"/>
        <v>-8.7292526565381223E-3</v>
      </c>
      <c r="F35" s="34">
        <v>21982.799999999999</v>
      </c>
      <c r="G35" s="13">
        <f t="shared" si="1"/>
        <v>-1.5411902234524377E-2</v>
      </c>
    </row>
    <row r="36" spans="2:7">
      <c r="B36" s="36">
        <v>45292</v>
      </c>
      <c r="C36" s="126">
        <v>2957.85</v>
      </c>
      <c r="D36" s="13">
        <f t="shared" si="0"/>
        <v>4.8176760338778823E-2</v>
      </c>
      <c r="F36" s="34">
        <v>21725.7</v>
      </c>
      <c r="G36" s="13">
        <f t="shared" si="1"/>
        <v>-1.1695507396691895E-2</v>
      </c>
    </row>
    <row r="37" spans="2:7">
      <c r="B37" s="36">
        <v>45261</v>
      </c>
      <c r="C37" s="126">
        <v>3402.4</v>
      </c>
      <c r="D37" s="13">
        <f t="shared" si="0"/>
        <v>0.15029497777101608</v>
      </c>
      <c r="F37" s="34">
        <v>21731.4</v>
      </c>
      <c r="G37" s="13">
        <f t="shared" si="1"/>
        <v>2.6236208729746302E-4</v>
      </c>
    </row>
    <row r="38" spans="2:7">
      <c r="B38" s="36">
        <v>45231</v>
      </c>
      <c r="C38" s="126">
        <v>3119.9</v>
      </c>
      <c r="D38" s="13">
        <f t="shared" si="0"/>
        <v>-8.3029626146249758E-2</v>
      </c>
      <c r="F38" s="34">
        <v>20133.150000000001</v>
      </c>
      <c r="G38" s="13">
        <f t="shared" si="1"/>
        <v>-7.3545652834147823E-2</v>
      </c>
    </row>
    <row r="39" spans="2:7">
      <c r="B39" s="36">
        <v>45200</v>
      </c>
      <c r="C39" s="126">
        <v>2995.7</v>
      </c>
      <c r="D39" s="13">
        <f t="shared" si="0"/>
        <v>-3.9808968236161535E-2</v>
      </c>
      <c r="F39" s="34">
        <v>19079.599999999999</v>
      </c>
      <c r="G39" s="13">
        <f t="shared" si="1"/>
        <v>-5.2329118890983461E-2</v>
      </c>
    </row>
    <row r="40" spans="2:7">
      <c r="B40" s="36">
        <v>45170</v>
      </c>
      <c r="C40" s="126">
        <v>3161.05</v>
      </c>
      <c r="D40" s="13">
        <f t="shared" si="0"/>
        <v>5.5195780618887191E-2</v>
      </c>
      <c r="F40" s="34">
        <v>19638.3</v>
      </c>
      <c r="G40" s="13">
        <f t="shared" si="1"/>
        <v>2.9282584540556433E-2</v>
      </c>
    </row>
    <row r="41" spans="2:7">
      <c r="B41" s="36">
        <v>45139</v>
      </c>
      <c r="C41" s="126">
        <v>3256.1</v>
      </c>
      <c r="D41" s="13">
        <f t="shared" si="0"/>
        <v>3.0069122601667164E-2</v>
      </c>
      <c r="F41" s="34">
        <v>19253.8</v>
      </c>
      <c r="G41" s="13">
        <f t="shared" si="1"/>
        <v>-1.9579087802915729E-2</v>
      </c>
    </row>
    <row r="42" spans="2:7">
      <c r="B42" s="36">
        <v>45108</v>
      </c>
      <c r="C42" s="126">
        <v>3377.35</v>
      </c>
      <c r="D42" s="13">
        <f t="shared" si="0"/>
        <v>3.7237799821872697E-2</v>
      </c>
      <c r="F42" s="34">
        <v>19753.8</v>
      </c>
      <c r="G42" s="13">
        <f t="shared" si="1"/>
        <v>2.5968899645784305E-2</v>
      </c>
    </row>
    <row r="43" spans="2:7">
      <c r="B43" s="36">
        <v>45078</v>
      </c>
      <c r="C43" s="126">
        <v>3362.05</v>
      </c>
      <c r="D43" s="13">
        <f t="shared" si="0"/>
        <v>-4.5301789864834463E-3</v>
      </c>
      <c r="F43" s="34">
        <v>19189.05</v>
      </c>
      <c r="G43" s="13">
        <f t="shared" si="1"/>
        <v>-2.8589435956626108E-2</v>
      </c>
    </row>
    <row r="44" spans="2:7">
      <c r="B44" s="36">
        <v>45047</v>
      </c>
      <c r="C44" s="126">
        <v>3192.95</v>
      </c>
      <c r="D44" s="13">
        <f t="shared" si="0"/>
        <v>-5.0296693981350726E-2</v>
      </c>
      <c r="F44" s="34">
        <v>18534.400000000001</v>
      </c>
      <c r="G44" s="13">
        <f t="shared" si="1"/>
        <v>-3.4115810840036231E-2</v>
      </c>
    </row>
    <row r="45" spans="2:7">
      <c r="B45" s="36">
        <v>45017</v>
      </c>
      <c r="C45" s="126">
        <v>2902.35</v>
      </c>
      <c r="D45" s="13">
        <f t="shared" si="0"/>
        <v>-9.1013013044363378E-2</v>
      </c>
      <c r="F45" s="34">
        <v>18065</v>
      </c>
      <c r="G45" s="13">
        <f t="shared" si="1"/>
        <v>-2.5325880524861955E-2</v>
      </c>
    </row>
    <row r="46" spans="2:7">
      <c r="B46" s="36">
        <v>44986</v>
      </c>
      <c r="C46" s="126">
        <v>2761.65</v>
      </c>
      <c r="D46" s="13">
        <f t="shared" si="0"/>
        <v>-4.8477957517184311E-2</v>
      </c>
      <c r="F46" s="34">
        <v>17359.75</v>
      </c>
      <c r="G46" s="13">
        <f t="shared" si="1"/>
        <v>-3.9039579296983096E-2</v>
      </c>
    </row>
    <row r="47" spans="2:7">
      <c r="B47" s="36">
        <v>44958</v>
      </c>
      <c r="C47" s="126">
        <v>2828.8</v>
      </c>
      <c r="D47" s="13">
        <f t="shared" si="0"/>
        <v>2.4315173899661424E-2</v>
      </c>
      <c r="F47" s="34">
        <v>17303.95</v>
      </c>
      <c r="G47" s="13">
        <f t="shared" si="1"/>
        <v>-3.2143320036290834E-3</v>
      </c>
    </row>
    <row r="48" spans="2:7">
      <c r="B48" s="36">
        <v>44927</v>
      </c>
      <c r="C48" s="126">
        <v>2725.85</v>
      </c>
      <c r="D48" s="13">
        <f t="shared" si="0"/>
        <v>-3.6393523755656187E-2</v>
      </c>
      <c r="F48" s="34">
        <v>17662.150000000001</v>
      </c>
      <c r="G48" s="13">
        <f t="shared" si="1"/>
        <v>2.0700475902900806E-2</v>
      </c>
    </row>
    <row r="49" spans="2:7">
      <c r="B49" s="36">
        <v>44896</v>
      </c>
      <c r="C49" s="126">
        <v>3087.9</v>
      </c>
      <c r="D49" s="13">
        <f t="shared" si="0"/>
        <v>0.13282095493148938</v>
      </c>
      <c r="F49" s="34">
        <v>18105.3</v>
      </c>
      <c r="G49" s="13">
        <f t="shared" si="1"/>
        <v>2.5090376879371767E-2</v>
      </c>
    </row>
    <row r="50" spans="2:7">
      <c r="B50" s="36">
        <v>44866</v>
      </c>
      <c r="C50" s="126">
        <v>3175.15</v>
      </c>
      <c r="D50" s="13">
        <f t="shared" si="0"/>
        <v>2.8255448686809848E-2</v>
      </c>
      <c r="F50" s="34">
        <v>18758.349999999999</v>
      </c>
      <c r="G50" s="13">
        <f t="shared" si="1"/>
        <v>3.6069548695685683E-2</v>
      </c>
    </row>
    <row r="51" spans="2:7">
      <c r="B51" s="36">
        <v>44835</v>
      </c>
      <c r="C51" s="126">
        <v>3107.7</v>
      </c>
      <c r="D51" s="13">
        <f t="shared" si="0"/>
        <v>-2.124309087759646E-2</v>
      </c>
      <c r="F51" s="34">
        <v>18012.2</v>
      </c>
      <c r="G51" s="13">
        <f t="shared" si="1"/>
        <v>-3.9776952663746923E-2</v>
      </c>
    </row>
    <row r="52" spans="2:7">
      <c r="B52" s="36">
        <v>44805</v>
      </c>
      <c r="C52" s="126">
        <v>3342.45</v>
      </c>
      <c r="D52" s="13">
        <f t="shared" si="0"/>
        <v>7.5538179360942204E-2</v>
      </c>
      <c r="F52" s="34">
        <v>17094.349999999999</v>
      </c>
      <c r="G52" s="13">
        <f t="shared" si="1"/>
        <v>-5.0957129056972583E-2</v>
      </c>
    </row>
    <row r="53" spans="2:7">
      <c r="B53" s="36">
        <v>44774</v>
      </c>
      <c r="C53" s="126">
        <v>3391.6</v>
      </c>
      <c r="D53" s="13">
        <f t="shared" si="0"/>
        <v>1.4704782420080997E-2</v>
      </c>
      <c r="F53" s="34">
        <v>17759.3</v>
      </c>
      <c r="G53" s="13">
        <f t="shared" si="1"/>
        <v>3.8898817445530254E-2</v>
      </c>
    </row>
    <row r="54" spans="2:7">
      <c r="B54" s="36">
        <v>44743</v>
      </c>
      <c r="C54" s="126">
        <v>3333.75</v>
      </c>
      <c r="D54" s="13">
        <f t="shared" si="0"/>
        <v>-1.7056846326217734E-2</v>
      </c>
      <c r="F54" s="34">
        <v>17158.25</v>
      </c>
      <c r="G54" s="13">
        <f t="shared" si="1"/>
        <v>-3.3844239356280892E-2</v>
      </c>
    </row>
    <row r="55" spans="2:7">
      <c r="B55" s="36">
        <v>44713</v>
      </c>
      <c r="C55" s="126">
        <v>2695.2</v>
      </c>
      <c r="D55" s="13">
        <f t="shared" si="0"/>
        <v>-0.19154105736782912</v>
      </c>
      <c r="F55" s="34">
        <v>15780.25</v>
      </c>
      <c r="G55" s="13">
        <f t="shared" si="1"/>
        <v>-8.0311220549881268E-2</v>
      </c>
    </row>
    <row r="56" spans="2:7">
      <c r="B56" s="36">
        <v>44682</v>
      </c>
      <c r="C56" s="126">
        <v>2859.65</v>
      </c>
      <c r="D56" s="13">
        <f t="shared" si="0"/>
        <v>6.1015880083110874E-2</v>
      </c>
      <c r="F56" s="34">
        <v>16584.55</v>
      </c>
      <c r="G56" s="13">
        <f t="shared" si="1"/>
        <v>5.0968774258962846E-2</v>
      </c>
    </row>
    <row r="57" spans="2:7">
      <c r="B57" s="36">
        <v>44652</v>
      </c>
      <c r="C57" s="126">
        <v>3237.2</v>
      </c>
      <c r="D57" s="13">
        <f t="shared" si="0"/>
        <v>0.132026646617593</v>
      </c>
      <c r="F57" s="34">
        <v>17102.55</v>
      </c>
      <c r="G57" s="13">
        <f t="shared" si="1"/>
        <v>3.1233889372940471E-2</v>
      </c>
    </row>
    <row r="58" spans="2:7">
      <c r="B58" s="36">
        <v>44621</v>
      </c>
      <c r="C58" s="126">
        <v>3079.95</v>
      </c>
      <c r="D58" s="13">
        <f t="shared" si="0"/>
        <v>-4.8575929815890317E-2</v>
      </c>
      <c r="F58" s="34">
        <v>17464.75</v>
      </c>
      <c r="G58" s="13">
        <f t="shared" si="1"/>
        <v>2.1178128407752128E-2</v>
      </c>
    </row>
    <row r="59" spans="2:7">
      <c r="B59" s="36">
        <v>44593</v>
      </c>
      <c r="C59" s="126">
        <v>3174.65</v>
      </c>
      <c r="D59" s="13">
        <f t="shared" si="0"/>
        <v>3.0747252390461055E-2</v>
      </c>
      <c r="F59" s="34">
        <v>16793.900000000001</v>
      </c>
      <c r="G59" s="13">
        <f t="shared" si="1"/>
        <v>-3.841165776778932E-2</v>
      </c>
    </row>
    <row r="60" spans="2:7">
      <c r="B60" s="36">
        <v>44562</v>
      </c>
      <c r="C60" s="126">
        <v>3152.25</v>
      </c>
      <c r="D60" s="13">
        <f t="shared" si="0"/>
        <v>-7.0558959255351272E-3</v>
      </c>
      <c r="F60" s="34">
        <v>17339.849999999999</v>
      </c>
      <c r="G60" s="13">
        <f t="shared" si="1"/>
        <v>3.2508827610024937E-2</v>
      </c>
    </row>
    <row r="61" spans="2:7">
      <c r="B61" s="36">
        <v>44531</v>
      </c>
      <c r="C61" s="126">
        <v>3382.95</v>
      </c>
      <c r="D61" s="13">
        <f t="shared" si="0"/>
        <v>7.3185819652628936E-2</v>
      </c>
      <c r="F61" s="34">
        <v>17354.05</v>
      </c>
      <c r="G61" s="13">
        <f t="shared" si="1"/>
        <v>8.189228857227171E-4</v>
      </c>
    </row>
    <row r="62" spans="2:7">
      <c r="B62" s="36">
        <v>44501</v>
      </c>
      <c r="C62" s="126">
        <v>3143.65</v>
      </c>
      <c r="D62" s="13">
        <f t="shared" si="0"/>
        <v>-7.0737078585258351E-2</v>
      </c>
      <c r="F62" s="34">
        <v>16983.2</v>
      </c>
      <c r="G62" s="13">
        <f t="shared" si="1"/>
        <v>-2.1369651464643646E-2</v>
      </c>
    </row>
    <row r="63" spans="2:7">
      <c r="B63" s="36">
        <v>44470</v>
      </c>
      <c r="C63" s="126">
        <v>3100.1</v>
      </c>
      <c r="D63" s="13">
        <f t="shared" si="0"/>
        <v>-1.385332336615086E-2</v>
      </c>
      <c r="F63" s="34">
        <v>17671.650000000001</v>
      </c>
      <c r="G63" s="13">
        <f t="shared" si="1"/>
        <v>4.0537119035281899E-2</v>
      </c>
    </row>
    <row r="64" spans="2:7">
      <c r="B64" s="36">
        <v>44440</v>
      </c>
      <c r="C64" s="126">
        <v>3244.65</v>
      </c>
      <c r="D64" s="13">
        <f t="shared" si="0"/>
        <v>4.6627528144253416E-2</v>
      </c>
      <c r="F64" s="34">
        <v>17618.150000000001</v>
      </c>
      <c r="G64" s="13">
        <f t="shared" si="1"/>
        <v>-3.0274479179929203E-3</v>
      </c>
    </row>
    <row r="65" spans="2:7">
      <c r="B65" s="36">
        <v>44409</v>
      </c>
      <c r="C65" s="126">
        <v>3201.35</v>
      </c>
      <c r="D65" s="13">
        <f t="shared" si="0"/>
        <v>-1.3345044920099247E-2</v>
      </c>
      <c r="F65" s="34">
        <v>17132.2</v>
      </c>
      <c r="G65" s="13">
        <f t="shared" si="1"/>
        <v>-2.7582351154917029E-2</v>
      </c>
    </row>
    <row r="66" spans="2:7">
      <c r="B66" s="36">
        <v>44378</v>
      </c>
      <c r="C66" s="126">
        <v>2958.45</v>
      </c>
      <c r="D66" s="13">
        <f t="shared" si="0"/>
        <v>-7.5874240554765993E-2</v>
      </c>
      <c r="F66" s="34">
        <v>15763.05</v>
      </c>
      <c r="G66" s="13">
        <f t="shared" si="1"/>
        <v>-7.9916764922193351E-2</v>
      </c>
    </row>
    <row r="67" spans="2:7">
      <c r="B67" s="36"/>
      <c r="C67" s="126"/>
      <c r="D67" s="13"/>
      <c r="F67" s="34"/>
      <c r="G67" s="13"/>
    </row>
    <row r="68" spans="2:7">
      <c r="B68" s="36"/>
      <c r="C68" s="126"/>
      <c r="D68" s="13"/>
      <c r="F68" s="34"/>
      <c r="G68" s="13"/>
    </row>
    <row r="69" spans="2:7">
      <c r="B69" s="36"/>
      <c r="C69" s="126"/>
      <c r="D69" s="13"/>
      <c r="F69" s="34"/>
      <c r="G69" s="13"/>
    </row>
    <row r="70" spans="2:7">
      <c r="B70" s="36"/>
      <c r="C70" s="126"/>
      <c r="D70" s="13"/>
      <c r="F70" s="34"/>
      <c r="G70" s="13"/>
    </row>
    <row r="71" spans="2:7">
      <c r="B71" s="36"/>
      <c r="C71" s="126"/>
      <c r="D71" s="13"/>
      <c r="F71" s="34"/>
      <c r="G71" s="13"/>
    </row>
    <row r="72" spans="2:7">
      <c r="B72" s="36"/>
      <c r="C72" s="126"/>
      <c r="D72" s="13"/>
      <c r="F72" s="34"/>
      <c r="G72" s="13"/>
    </row>
    <row r="73" spans="2:7">
      <c r="B73" s="36"/>
      <c r="C73" s="126"/>
      <c r="D73" s="13"/>
      <c r="F73" s="34"/>
      <c r="G73" s="13"/>
    </row>
    <row r="74" spans="2:7">
      <c r="B74" s="36"/>
      <c r="C74" s="126"/>
      <c r="D74" s="13"/>
      <c r="F74" s="34"/>
      <c r="G74" s="13"/>
    </row>
    <row r="75" spans="2:7">
      <c r="B75" s="36"/>
      <c r="C75" s="126"/>
      <c r="D75" s="13"/>
      <c r="F75" s="34"/>
      <c r="G75" s="13"/>
    </row>
    <row r="76" spans="2:7">
      <c r="B76" s="36"/>
      <c r="C76" s="126"/>
      <c r="D76" s="13"/>
      <c r="F76" s="34"/>
      <c r="G76" s="13"/>
    </row>
    <row r="77" spans="2:7">
      <c r="B77" s="36"/>
      <c r="C77" s="126"/>
      <c r="D77" s="13"/>
      <c r="F77" s="34"/>
      <c r="G77" s="13"/>
    </row>
    <row r="78" spans="2:7">
      <c r="B78" s="36"/>
      <c r="C78" s="126"/>
      <c r="D78" s="13"/>
      <c r="F78" s="34"/>
      <c r="G78" s="13"/>
    </row>
    <row r="79" spans="2:7">
      <c r="B79" s="36"/>
      <c r="C79" s="126"/>
      <c r="D79" s="13"/>
      <c r="F79" s="34"/>
      <c r="G79" s="13"/>
    </row>
    <row r="80" spans="2:7">
      <c r="B80" s="36"/>
      <c r="C80" s="126"/>
      <c r="D80" s="13"/>
      <c r="F80" s="34"/>
      <c r="G80" s="13"/>
    </row>
    <row r="81" spans="2:7">
      <c r="B81" s="36"/>
      <c r="C81" s="126"/>
      <c r="D81" s="13"/>
      <c r="F81" s="34"/>
      <c r="G81" s="13"/>
    </row>
    <row r="82" spans="2:7">
      <c r="B82" s="36"/>
      <c r="C82" s="126"/>
      <c r="D82" s="13"/>
      <c r="F82" s="34"/>
      <c r="G82" s="13"/>
    </row>
    <row r="83" spans="2:7">
      <c r="B83" s="36"/>
      <c r="C83" s="126"/>
      <c r="D83" s="13"/>
      <c r="F83" s="34"/>
      <c r="G83" s="13"/>
    </row>
    <row r="84" spans="2:7">
      <c r="B84" s="36"/>
      <c r="C84" s="126"/>
      <c r="D84" s="13"/>
      <c r="F84" s="34"/>
      <c r="G84" s="13"/>
    </row>
    <row r="85" spans="2:7">
      <c r="B85" s="36"/>
      <c r="C85" s="126"/>
      <c r="D85" s="13"/>
      <c r="F85" s="34"/>
      <c r="G85" s="13"/>
    </row>
    <row r="86" spans="2:7">
      <c r="B86" s="36"/>
      <c r="C86" s="126"/>
      <c r="D86" s="13"/>
      <c r="F86" s="34"/>
      <c r="G86" s="13"/>
    </row>
    <row r="87" spans="2:7">
      <c r="B87" s="36"/>
      <c r="C87" s="126"/>
      <c r="D87" s="13"/>
      <c r="F87" s="34"/>
      <c r="G87" s="13"/>
    </row>
    <row r="88" spans="2:7">
      <c r="B88" s="36"/>
      <c r="C88" s="126"/>
      <c r="D88" s="13"/>
      <c r="F88" s="34"/>
      <c r="G88" s="13"/>
    </row>
    <row r="89" spans="2:7">
      <c r="B89" s="36"/>
      <c r="C89" s="126"/>
      <c r="D89" s="13"/>
      <c r="F89" s="34"/>
      <c r="G89" s="13"/>
    </row>
    <row r="90" spans="2:7">
      <c r="B90" s="36"/>
      <c r="C90" s="126"/>
      <c r="D90" s="13"/>
      <c r="F90" s="34"/>
      <c r="G90" s="13"/>
    </row>
    <row r="91" spans="2:7">
      <c r="B91" s="36"/>
      <c r="C91" s="126"/>
      <c r="D91" s="13"/>
      <c r="F91" s="34"/>
      <c r="G91" s="13"/>
    </row>
    <row r="92" spans="2:7">
      <c r="B92" s="36"/>
      <c r="C92" s="126"/>
      <c r="D92" s="13"/>
      <c r="F92" s="34"/>
      <c r="G92" s="13"/>
    </row>
    <row r="93" spans="2:7">
      <c r="B93" s="36"/>
      <c r="C93" s="126"/>
      <c r="D93" s="13"/>
      <c r="F93" s="34"/>
      <c r="G93" s="13"/>
    </row>
    <row r="94" spans="2:7">
      <c r="B94" s="36"/>
      <c r="C94" s="126"/>
      <c r="D94" s="13"/>
      <c r="F94" s="34"/>
      <c r="G94" s="13"/>
    </row>
    <row r="95" spans="2:7">
      <c r="B95" s="36"/>
      <c r="C95" s="126"/>
      <c r="D95" s="13"/>
      <c r="F95" s="34"/>
      <c r="G95" s="13"/>
    </row>
    <row r="96" spans="2:7">
      <c r="B96" s="36"/>
      <c r="C96" s="126"/>
      <c r="D96" s="13"/>
      <c r="F96" s="34"/>
      <c r="G96" s="13"/>
    </row>
    <row r="97" spans="2:7">
      <c r="B97" s="36"/>
      <c r="C97" s="126"/>
      <c r="D97" s="13"/>
      <c r="F97" s="34"/>
      <c r="G97" s="13"/>
    </row>
    <row r="98" spans="2:7">
      <c r="B98" s="36"/>
      <c r="C98" s="126"/>
      <c r="D98" s="13"/>
      <c r="F98" s="34"/>
      <c r="G98" s="13"/>
    </row>
    <row r="99" spans="2:7">
      <c r="B99" s="36"/>
      <c r="C99" s="126"/>
      <c r="D99" s="13"/>
      <c r="F99" s="34"/>
      <c r="G99" s="13"/>
    </row>
    <row r="100" spans="2:7">
      <c r="B100" s="36"/>
      <c r="C100" s="126"/>
      <c r="D100" s="13"/>
      <c r="F100" s="34"/>
      <c r="G100" s="13"/>
    </row>
    <row r="101" spans="2:7">
      <c r="B101" s="36"/>
      <c r="C101" s="126"/>
      <c r="D101" s="13"/>
      <c r="F101" s="34"/>
      <c r="G101" s="13"/>
    </row>
    <row r="102" spans="2:7">
      <c r="B102" s="36"/>
      <c r="C102" s="126"/>
      <c r="D102" s="13"/>
      <c r="F102" s="34"/>
      <c r="G102" s="13"/>
    </row>
    <row r="103" spans="2:7">
      <c r="B103" s="36"/>
      <c r="C103" s="126"/>
      <c r="D103" s="13"/>
      <c r="F103" s="34"/>
      <c r="G103" s="13"/>
    </row>
    <row r="104" spans="2:7">
      <c r="B104" s="36"/>
      <c r="C104" s="126"/>
      <c r="D104" s="13"/>
      <c r="F104" s="34"/>
      <c r="G104" s="13"/>
    </row>
    <row r="105" spans="2:7">
      <c r="B105" s="36"/>
      <c r="C105" s="126"/>
      <c r="D105" s="13"/>
      <c r="F105" s="34"/>
      <c r="G105" s="13"/>
    </row>
    <row r="106" spans="2:7">
      <c r="B106" s="36"/>
      <c r="C106" s="126"/>
      <c r="D106" s="13"/>
      <c r="F106" s="34"/>
      <c r="G106" s="13"/>
    </row>
    <row r="107" spans="2:7">
      <c r="B107" s="36"/>
      <c r="C107" s="126"/>
      <c r="D107" s="13"/>
      <c r="F107" s="34"/>
      <c r="G107" s="13"/>
    </row>
    <row r="108" spans="2:7">
      <c r="B108" s="36"/>
      <c r="C108" s="126"/>
      <c r="D108" s="13"/>
      <c r="F108" s="34"/>
      <c r="G108" s="13"/>
    </row>
    <row r="109" spans="2:7">
      <c r="B109" s="36"/>
      <c r="C109" s="126"/>
      <c r="D109" s="13"/>
      <c r="F109" s="34"/>
      <c r="G109" s="13"/>
    </row>
    <row r="110" spans="2:7">
      <c r="B110" s="36"/>
      <c r="C110" s="126"/>
      <c r="D110" s="13"/>
      <c r="F110" s="34"/>
      <c r="G110" s="13"/>
    </row>
    <row r="111" spans="2:7">
      <c r="B111" s="36"/>
      <c r="C111" s="126"/>
      <c r="D111" s="13"/>
      <c r="F111" s="34"/>
      <c r="G111" s="13"/>
    </row>
    <row r="112" spans="2:7">
      <c r="D112" s="13"/>
      <c r="F112" s="126"/>
      <c r="G112" s="13"/>
    </row>
  </sheetData>
  <mergeCells count="3">
    <mergeCell ref="B5:D5"/>
    <mergeCell ref="F5:G5"/>
    <mergeCell ref="I5:J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DF92-F64F-4C51-9F0C-FD22BDCDA681}">
  <dimension ref="B3:Q32"/>
  <sheetViews>
    <sheetView showGridLines="0" tabSelected="1" topLeftCell="A6" workbookViewId="0">
      <selection activeCell="M32" sqref="M32"/>
    </sheetView>
  </sheetViews>
  <sheetFormatPr defaultRowHeight="15"/>
  <cols>
    <col min="1" max="1" width="1.85546875" customWidth="1"/>
    <col min="6" max="6" width="12.140625" bestFit="1" customWidth="1"/>
    <col min="8" max="8" width="9.7109375" bestFit="1" customWidth="1"/>
  </cols>
  <sheetData>
    <row r="3" spans="2:17">
      <c r="B3" s="135" t="s">
        <v>270</v>
      </c>
    </row>
    <row r="4" spans="2:17">
      <c r="B4" s="136" t="s">
        <v>271</v>
      </c>
      <c r="C4" s="137"/>
      <c r="E4" s="137"/>
      <c r="F4" s="137"/>
      <c r="G4" s="137"/>
      <c r="H4" s="137"/>
      <c r="I4" s="137"/>
      <c r="J4" s="137"/>
      <c r="K4" s="137"/>
    </row>
    <row r="6" spans="2:17">
      <c r="B6" s="138"/>
      <c r="C6" s="138"/>
      <c r="D6" s="232" t="s">
        <v>272</v>
      </c>
      <c r="E6" s="232"/>
      <c r="F6" s="232"/>
      <c r="G6" s="232"/>
      <c r="H6" s="232"/>
      <c r="I6" s="138"/>
      <c r="J6" s="138"/>
      <c r="K6" s="232" t="s">
        <v>273</v>
      </c>
      <c r="L6" s="232"/>
      <c r="M6" s="232"/>
      <c r="N6" s="138"/>
      <c r="O6" s="232" t="s">
        <v>274</v>
      </c>
      <c r="P6" s="232"/>
      <c r="Q6" s="232"/>
    </row>
    <row r="7" spans="2:17" ht="45">
      <c r="B7" s="138" t="s">
        <v>275</v>
      </c>
      <c r="C7" s="138" t="s">
        <v>276</v>
      </c>
      <c r="D7" s="139" t="s">
        <v>277</v>
      </c>
      <c r="E7" s="139" t="s">
        <v>278</v>
      </c>
      <c r="F7" s="138" t="s">
        <v>279</v>
      </c>
      <c r="G7" s="138" t="s">
        <v>280</v>
      </c>
      <c r="H7" s="139" t="s">
        <v>281</v>
      </c>
      <c r="I7" s="138"/>
      <c r="J7" s="138"/>
      <c r="K7" s="138" t="s">
        <v>282</v>
      </c>
      <c r="L7" s="138" t="s">
        <v>80</v>
      </c>
      <c r="M7" s="138" t="s">
        <v>283</v>
      </c>
      <c r="N7" s="138"/>
      <c r="O7" s="138" t="s">
        <v>284</v>
      </c>
      <c r="P7" s="138" t="s">
        <v>285</v>
      </c>
      <c r="Q7" s="138" t="s">
        <v>286</v>
      </c>
    </row>
    <row r="8" spans="2:17">
      <c r="B8" s="140"/>
      <c r="C8" s="140"/>
      <c r="D8" s="141"/>
      <c r="E8" s="141"/>
      <c r="F8" s="140"/>
      <c r="G8" s="140"/>
      <c r="H8" s="141"/>
      <c r="I8" s="140"/>
      <c r="J8" s="140"/>
      <c r="K8" s="140"/>
      <c r="L8" s="140"/>
      <c r="M8" s="140"/>
      <c r="N8" s="140"/>
      <c r="O8" s="140"/>
      <c r="P8" s="140"/>
      <c r="Q8" s="140"/>
    </row>
    <row r="9" spans="2:17">
      <c r="B9" s="142" t="s">
        <v>258</v>
      </c>
      <c r="C9" s="142"/>
      <c r="D9" s="143">
        <f>'Relative Data'!D3</f>
        <v>2605.6</v>
      </c>
      <c r="E9" s="144">
        <f>'Relative Data'!E3</f>
        <v>95.919780472827753</v>
      </c>
      <c r="F9" s="143">
        <f>E9*D9</f>
        <v>249928.58</v>
      </c>
      <c r="G9" s="143">
        <f>'Relative Data'!I3</f>
        <v>1509.02</v>
      </c>
      <c r="H9" s="143">
        <f>G9+F9</f>
        <v>251437.59999999998</v>
      </c>
      <c r="I9" s="143"/>
      <c r="J9" s="143"/>
      <c r="K9" s="143">
        <f>'Data Sheet'!K17</f>
        <v>33905.620000000003</v>
      </c>
      <c r="L9" s="143">
        <f>'Relative Data'!L3</f>
        <v>6313.9500000000007</v>
      </c>
      <c r="M9" s="143">
        <f>'Relative Data'!M3</f>
        <v>3667.23</v>
      </c>
      <c r="N9" s="145"/>
      <c r="O9" s="146">
        <f>'Relative Data'!J3/'Relative Data'!K3</f>
        <v>7.4158089425882778</v>
      </c>
      <c r="P9" s="146">
        <f>'Relative Data'!$J3/'Relative valuation'!L9</f>
        <v>39.822551651501826</v>
      </c>
      <c r="Q9" s="146">
        <f>'Relative Data'!O3</f>
        <v>68.151869394611182</v>
      </c>
    </row>
    <row r="10" spans="2:17">
      <c r="B10" s="86" t="s">
        <v>259</v>
      </c>
      <c r="C10" s="86"/>
      <c r="D10" s="147">
        <v>545.75</v>
      </c>
      <c r="E10" s="148">
        <v>116.60027485112231</v>
      </c>
      <c r="F10" s="147">
        <f>E10*D10</f>
        <v>63634.6</v>
      </c>
      <c r="G10" s="147">
        <v>329.82000000000232</v>
      </c>
      <c r="H10" s="147">
        <f t="shared" ref="H10:H13" si="0">G10+F10</f>
        <v>63964.42</v>
      </c>
      <c r="I10" s="147"/>
      <c r="J10" s="147"/>
      <c r="K10" s="147">
        <f>'Relative Data'!K4</f>
        <v>11880.25</v>
      </c>
      <c r="L10" s="147">
        <f>'Relative Data'!L4</f>
        <v>1990.8004979769682</v>
      </c>
      <c r="M10" s="147">
        <f>'Relative Data'!M4</f>
        <v>1165.8959325760352</v>
      </c>
      <c r="N10" s="86"/>
      <c r="O10" s="147">
        <f>'Relative Data'!$J4/'Relative valuation'!K10</f>
        <v>5.3840971360030299</v>
      </c>
      <c r="P10" s="147">
        <f>'Relative Data'!$J4/'Relative valuation'!L10</f>
        <v>32.130000000000003</v>
      </c>
      <c r="Q10" s="147">
        <f>'Relative Data'!O4</f>
        <v>54.58</v>
      </c>
    </row>
    <row r="11" spans="2:17">
      <c r="B11" s="86" t="s">
        <v>260</v>
      </c>
      <c r="C11" s="86"/>
      <c r="D11" s="147">
        <v>216</v>
      </c>
      <c r="E11" s="148">
        <v>80.871435185185177</v>
      </c>
      <c r="F11" s="147">
        <f t="shared" ref="F11:F13" si="1">E11*D11</f>
        <v>17468.23</v>
      </c>
      <c r="G11" s="147">
        <v>76.950000000001182</v>
      </c>
      <c r="H11" s="147">
        <f t="shared" si="0"/>
        <v>17545.18</v>
      </c>
      <c r="I11" s="147"/>
      <c r="J11" s="147"/>
      <c r="K11" s="147">
        <f>'Relative Data'!K5</f>
        <v>8051.91</v>
      </c>
      <c r="L11" s="147">
        <f>'Relative Data'!L5</f>
        <v>1049.3528708133972</v>
      </c>
      <c r="M11" s="147">
        <f>'Relative Data'!M5</f>
        <v>579.18534482758616</v>
      </c>
      <c r="N11" s="86"/>
      <c r="O11" s="147">
        <f>'Relative Data'!$J5/'Relative valuation'!K11</f>
        <v>2.1790084588625556</v>
      </c>
      <c r="P11" s="147">
        <f>'Relative Data'!$J5/'Relative valuation'!L11</f>
        <v>16.72</v>
      </c>
      <c r="Q11" s="147">
        <f>'Relative Data'!O5</f>
        <v>30.16</v>
      </c>
    </row>
    <row r="12" spans="2:17">
      <c r="B12" s="86" t="s">
        <v>261</v>
      </c>
      <c r="C12" s="86"/>
      <c r="D12" s="147">
        <v>3205.35</v>
      </c>
      <c r="E12" s="148">
        <v>4.5540331009094173</v>
      </c>
      <c r="F12" s="147">
        <f t="shared" si="1"/>
        <v>14597.27</v>
      </c>
      <c r="G12" s="147">
        <v>-244.60000000000073</v>
      </c>
      <c r="H12" s="147">
        <f t="shared" si="0"/>
        <v>14352.67</v>
      </c>
      <c r="I12" s="147"/>
      <c r="J12" s="147"/>
      <c r="K12" s="147">
        <f>'Relative Data'!K6</f>
        <v>3599.2</v>
      </c>
      <c r="L12" s="147">
        <f>'Relative Data'!L6</f>
        <v>521.15722585330434</v>
      </c>
      <c r="M12" s="147">
        <f>'Relative Data'!M6</f>
        <v>361.139782285997</v>
      </c>
      <c r="N12" s="86"/>
      <c r="O12" s="147">
        <f>'Relative Data'!$J6/'Relative valuation'!K12</f>
        <v>3.9877389419871085</v>
      </c>
      <c r="P12" s="147">
        <f>'Relative Data'!$J6/'Relative valuation'!L12</f>
        <v>27.539999999999996</v>
      </c>
      <c r="Q12" s="147">
        <f>'Relative Data'!O6</f>
        <v>40.42</v>
      </c>
    </row>
    <row r="13" spans="2:17">
      <c r="B13" s="86" t="s">
        <v>262</v>
      </c>
      <c r="C13" s="86"/>
      <c r="D13" s="147">
        <v>1060.5</v>
      </c>
      <c r="E13" s="148">
        <v>4.7675719000471481</v>
      </c>
      <c r="F13" s="147">
        <f t="shared" si="1"/>
        <v>5056.01</v>
      </c>
      <c r="G13" s="147">
        <v>-10.180000000000181</v>
      </c>
      <c r="H13" s="147">
        <f t="shared" si="0"/>
        <v>5045.83</v>
      </c>
      <c r="I13" s="147"/>
      <c r="J13" s="147"/>
      <c r="K13" s="147">
        <f>'Relative Data'!K7</f>
        <v>1330.12</v>
      </c>
      <c r="L13" s="147">
        <f>'Relative Data'!L7</f>
        <v>258.89327860441256</v>
      </c>
      <c r="M13" s="147">
        <f>'Relative Data'!M7</f>
        <v>149.67465956187093</v>
      </c>
      <c r="N13" s="86"/>
      <c r="O13" s="147">
        <f>'Relative Data'!$J7/'Relative valuation'!K13</f>
        <v>3.7935148708387216</v>
      </c>
      <c r="P13" s="147">
        <f>'Relative Data'!$J7/'Relative valuation'!L13</f>
        <v>19.489999999999998</v>
      </c>
      <c r="Q13" s="147">
        <f>'Relative Data'!O7</f>
        <v>33.78</v>
      </c>
    </row>
    <row r="15" spans="2:17">
      <c r="B15" s="142" t="s">
        <v>269</v>
      </c>
      <c r="C15" s="142"/>
      <c r="D15" s="142"/>
      <c r="E15" s="142"/>
      <c r="F15" s="142"/>
      <c r="G15" s="142"/>
      <c r="H15" s="142"/>
      <c r="I15" s="142"/>
      <c r="J15" s="142"/>
      <c r="K15" s="142"/>
      <c r="L15" s="142"/>
      <c r="M15" s="142"/>
      <c r="N15" s="142"/>
      <c r="O15" s="146">
        <f>MAX(O9:O13)</f>
        <v>7.4158089425882778</v>
      </c>
      <c r="P15" s="146">
        <f>MAX(P9:P13)</f>
        <v>39.822551651501826</v>
      </c>
      <c r="Q15" s="146">
        <f>MAX(Q9:Q13)</f>
        <v>68.151869394611182</v>
      </c>
    </row>
    <row r="16" spans="2:17">
      <c r="B16" s="142" t="s">
        <v>287</v>
      </c>
      <c r="C16" s="142"/>
      <c r="D16" s="142"/>
      <c r="E16" s="142"/>
      <c r="F16" s="142"/>
      <c r="G16" s="142"/>
      <c r="H16" s="142"/>
      <c r="I16" s="142"/>
      <c r="J16" s="142"/>
      <c r="K16" s="142"/>
      <c r="L16" s="142"/>
      <c r="M16" s="142"/>
      <c r="N16" s="142"/>
      <c r="O16" s="146">
        <f>QUARTILE(O9:O13,3)</f>
        <v>5.3840971360030299</v>
      </c>
      <c r="P16" s="146">
        <f>QUARTILE(P9:P13,3)</f>
        <v>32.130000000000003</v>
      </c>
      <c r="Q16" s="146">
        <f>QUARTILE(Q9:Q13,3)</f>
        <v>54.58</v>
      </c>
    </row>
    <row r="17" spans="2:17">
      <c r="B17" s="149" t="s">
        <v>7</v>
      </c>
      <c r="C17" s="149"/>
      <c r="D17" s="149"/>
      <c r="E17" s="149"/>
      <c r="F17" s="149"/>
      <c r="G17" s="149"/>
      <c r="H17" s="149"/>
      <c r="I17" s="149"/>
      <c r="J17" s="149"/>
      <c r="K17" s="149"/>
      <c r="L17" s="149"/>
      <c r="M17" s="149"/>
      <c r="N17" s="149"/>
      <c r="O17" s="150">
        <f>AVERAGE(O9:O13)</f>
        <v>4.5520336700559385</v>
      </c>
      <c r="P17" s="150">
        <f>AVERAGE(P9:P13)</f>
        <v>27.140510330300366</v>
      </c>
      <c r="Q17" s="150">
        <f>AVERAGE(Q9:Q13)</f>
        <v>45.418373878922232</v>
      </c>
    </row>
    <row r="18" spans="2:17">
      <c r="B18" s="149" t="s">
        <v>17</v>
      </c>
      <c r="C18" s="149"/>
      <c r="D18" s="149"/>
      <c r="E18" s="149"/>
      <c r="F18" s="149"/>
      <c r="G18" s="149"/>
      <c r="H18" s="149"/>
      <c r="I18" s="149"/>
      <c r="J18" s="149"/>
      <c r="K18" s="149"/>
      <c r="L18" s="149"/>
      <c r="M18" s="149"/>
      <c r="N18" s="149"/>
      <c r="O18" s="150">
        <f>MEDIAN(O9:O13)</f>
        <v>3.9877389419871085</v>
      </c>
      <c r="P18" s="150">
        <f>MEDIAN(P9:P13)</f>
        <v>27.539999999999996</v>
      </c>
      <c r="Q18" s="150">
        <f>MEDIAN(Q9:Q13)</f>
        <v>40.42</v>
      </c>
    </row>
    <row r="19" spans="2:17">
      <c r="B19" s="142" t="s">
        <v>288</v>
      </c>
      <c r="C19" s="142"/>
      <c r="D19" s="142"/>
      <c r="E19" s="142"/>
      <c r="F19" s="142"/>
      <c r="G19" s="142"/>
      <c r="H19" s="142"/>
      <c r="I19" s="142"/>
      <c r="J19" s="142"/>
      <c r="K19" s="142"/>
      <c r="L19" s="142"/>
      <c r="M19" s="142"/>
      <c r="N19" s="142"/>
      <c r="O19" s="151">
        <f>QUARTILE(O9:O13,1)</f>
        <v>3.7935148708387216</v>
      </c>
      <c r="P19" s="151">
        <f>QUARTILE(P9:P13,1)</f>
        <v>19.489999999999998</v>
      </c>
      <c r="Q19" s="151">
        <f>QUARTILE(Q9:Q13,1)</f>
        <v>33.78</v>
      </c>
    </row>
    <row r="20" spans="2:17">
      <c r="B20" s="142" t="s">
        <v>268</v>
      </c>
      <c r="C20" s="142"/>
      <c r="D20" s="142"/>
      <c r="E20" s="142"/>
      <c r="F20" s="142"/>
      <c r="G20" s="142"/>
      <c r="H20" s="142"/>
      <c r="I20" s="142"/>
      <c r="J20" s="142"/>
      <c r="K20" s="142"/>
      <c r="L20" s="142"/>
      <c r="M20" s="142"/>
      <c r="N20" s="142"/>
      <c r="O20" s="146">
        <f>MIN(O9:O13)</f>
        <v>2.1790084588625556</v>
      </c>
      <c r="P20" s="146">
        <f>MIN(P9:P13)</f>
        <v>16.72</v>
      </c>
      <c r="Q20" s="146">
        <f>MIN(Q9:Q13)</f>
        <v>30.16</v>
      </c>
    </row>
    <row r="22" spans="2:17">
      <c r="B22" s="152" t="s">
        <v>271</v>
      </c>
      <c r="C22" s="153"/>
      <c r="D22" s="153"/>
      <c r="E22" s="153"/>
      <c r="F22" s="153"/>
      <c r="G22" s="153"/>
      <c r="H22" s="153"/>
      <c r="I22" s="153"/>
      <c r="J22" s="153"/>
      <c r="K22" s="153"/>
      <c r="L22" s="138"/>
      <c r="M22" s="138"/>
      <c r="N22" s="138"/>
      <c r="O22" s="138" t="s">
        <v>284</v>
      </c>
      <c r="P22" s="138" t="s">
        <v>285</v>
      </c>
      <c r="Q22" s="138" t="s">
        <v>286</v>
      </c>
    </row>
    <row r="24" spans="2:17">
      <c r="B24" s="86" t="s">
        <v>289</v>
      </c>
      <c r="C24" s="86"/>
      <c r="D24" s="86"/>
      <c r="E24" s="86"/>
      <c r="F24" s="86"/>
      <c r="G24" s="86"/>
      <c r="H24" s="86"/>
      <c r="I24" s="86"/>
      <c r="J24" s="86"/>
      <c r="K24" s="86"/>
      <c r="L24" s="86"/>
      <c r="M24" s="86"/>
      <c r="N24" s="86"/>
      <c r="O24" s="154">
        <f>O18*K9</f>
        <v>135206.76122621697</v>
      </c>
      <c r="P24" s="154">
        <f>P18*L9</f>
        <v>173886.18299999999</v>
      </c>
      <c r="Q24" s="154">
        <f>Q26+Q25</f>
        <v>149738.4566</v>
      </c>
    </row>
    <row r="25" spans="2:17">
      <c r="B25" s="86" t="s">
        <v>280</v>
      </c>
      <c r="C25" s="86"/>
      <c r="D25" s="86"/>
      <c r="E25" s="86"/>
      <c r="F25" s="86"/>
      <c r="G25" s="86"/>
      <c r="H25" s="86"/>
      <c r="I25" s="86"/>
      <c r="J25" s="86"/>
      <c r="K25" s="86"/>
      <c r="L25" s="86"/>
      <c r="M25" s="86"/>
      <c r="N25" s="86"/>
      <c r="O25" s="154">
        <f>$G$9</f>
        <v>1509.02</v>
      </c>
      <c r="P25" s="154">
        <f t="shared" ref="P25:Q25" si="2">$G$9</f>
        <v>1509.02</v>
      </c>
      <c r="Q25" s="154">
        <f t="shared" si="2"/>
        <v>1509.02</v>
      </c>
    </row>
    <row r="26" spans="2:17">
      <c r="B26" s="86" t="s">
        <v>313</v>
      </c>
      <c r="C26" s="86"/>
      <c r="D26" s="86"/>
      <c r="E26" s="86"/>
      <c r="F26" s="86"/>
      <c r="G26" s="86"/>
      <c r="H26" s="86"/>
      <c r="I26" s="86"/>
      <c r="J26" s="86"/>
      <c r="K26" s="86"/>
      <c r="L26" s="86"/>
      <c r="M26" s="86"/>
      <c r="N26" s="86"/>
      <c r="O26" s="154">
        <f>O24-O25</f>
        <v>133697.74122621698</v>
      </c>
      <c r="P26" s="154">
        <f t="shared" ref="P26" si="3">P24-P25</f>
        <v>172377.163</v>
      </c>
      <c r="Q26" s="154">
        <f>Q18*M9</f>
        <v>148229.43660000002</v>
      </c>
    </row>
    <row r="27" spans="2:17">
      <c r="B27" s="86" t="s">
        <v>278</v>
      </c>
      <c r="C27" s="86"/>
      <c r="D27" s="86"/>
      <c r="E27" s="86"/>
      <c r="F27" s="86"/>
      <c r="G27" s="86"/>
      <c r="H27" s="86"/>
      <c r="I27" s="86"/>
      <c r="J27" s="86"/>
      <c r="K27" s="86"/>
      <c r="L27" s="86"/>
      <c r="M27" s="86"/>
      <c r="N27" s="86"/>
      <c r="O27" s="148">
        <f>$E$9</f>
        <v>95.919780472827753</v>
      </c>
      <c r="P27" s="148">
        <f t="shared" ref="P27:Q27" si="4">$E$9</f>
        <v>95.919780472827753</v>
      </c>
      <c r="Q27" s="148">
        <f t="shared" si="4"/>
        <v>95.919780472827753</v>
      </c>
    </row>
    <row r="28" spans="2:17">
      <c r="O28" s="155"/>
      <c r="P28" s="155"/>
      <c r="Q28" s="155"/>
    </row>
    <row r="29" spans="2:17">
      <c r="B29" s="156" t="s">
        <v>290</v>
      </c>
      <c r="C29" s="157"/>
      <c r="D29" s="157"/>
      <c r="E29" s="157"/>
      <c r="F29" s="157"/>
      <c r="G29" s="157"/>
      <c r="H29" s="157"/>
      <c r="I29" s="157"/>
      <c r="J29" s="157"/>
      <c r="K29" s="157"/>
      <c r="L29" s="157"/>
      <c r="M29" s="157"/>
      <c r="N29" s="157"/>
      <c r="O29" s="158">
        <f>O26/O27</f>
        <v>1393.8495330907372</v>
      </c>
      <c r="P29" s="158">
        <f>P26/P27</f>
        <v>1797.0971383616873</v>
      </c>
      <c r="Q29" s="158">
        <f>Q26/Q27</f>
        <v>1545.3479550236314</v>
      </c>
    </row>
    <row r="30" spans="2:17">
      <c r="B30" s="159"/>
      <c r="O30" s="160"/>
      <c r="P30" s="160"/>
      <c r="Q30" s="160"/>
    </row>
    <row r="31" spans="2:17">
      <c r="B31" s="161" t="s">
        <v>291</v>
      </c>
    </row>
    <row r="32" spans="2:17">
      <c r="O32" t="str">
        <f>IF(O29&gt;$D$9,"Undervalued","Overvalued")</f>
        <v>Overvalued</v>
      </c>
      <c r="P32" t="str">
        <f t="shared" ref="P32:Q32" si="5">IF(P29&gt;$D$9,"Undervalued","Overvalued")</f>
        <v>Overvalued</v>
      </c>
      <c r="Q32" t="str">
        <f t="shared" si="5"/>
        <v>Overvalued</v>
      </c>
    </row>
  </sheetData>
  <mergeCells count="3">
    <mergeCell ref="D6:H6"/>
    <mergeCell ref="K6:M6"/>
    <mergeCell ref="O6:Q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DD1D-EA6A-4D88-9BB4-8F4EE9A886E0}">
  <dimension ref="B3:G8"/>
  <sheetViews>
    <sheetView showGridLines="0" workbookViewId="0">
      <selection activeCell="G39" sqref="G39"/>
    </sheetView>
  </sheetViews>
  <sheetFormatPr defaultRowHeight="15"/>
  <cols>
    <col min="1" max="1" width="1.85546875" customWidth="1"/>
    <col min="2" max="2" width="12.7109375" style="35" customWidth="1"/>
    <col min="3" max="15" width="12.7109375" customWidth="1"/>
    <col min="18" max="18" width="16.140625" bestFit="1" customWidth="1"/>
    <col min="19" max="19" width="8.28515625" bestFit="1" customWidth="1"/>
    <col min="20" max="20" width="14.42578125" bestFit="1" customWidth="1"/>
  </cols>
  <sheetData>
    <row r="3" spans="2:7">
      <c r="B3" s="134" t="s">
        <v>41</v>
      </c>
      <c r="C3" s="45" t="s">
        <v>3</v>
      </c>
      <c r="D3" s="45" t="s">
        <v>42</v>
      </c>
      <c r="E3" s="45" t="s">
        <v>44</v>
      </c>
      <c r="F3" s="45" t="s">
        <v>43</v>
      </c>
      <c r="G3" s="45" t="s">
        <v>45</v>
      </c>
    </row>
    <row r="4" spans="2:7">
      <c r="B4" s="35">
        <v>1</v>
      </c>
      <c r="C4" t="s">
        <v>258</v>
      </c>
      <c r="D4">
        <f>'Data Sheet'!B8</f>
        <v>2605.6</v>
      </c>
      <c r="E4">
        <f>'Data Sheet'!B9</f>
        <v>249928.58</v>
      </c>
      <c r="F4">
        <f>SUM('Raw FS'!N7:N9)</f>
        <v>2291</v>
      </c>
      <c r="G4" s="15">
        <f>F4/E4</f>
        <v>9.1666187196358263E-3</v>
      </c>
    </row>
    <row r="5" spans="2:7">
      <c r="B5" s="35">
        <v>2</v>
      </c>
      <c r="C5" t="s">
        <v>259</v>
      </c>
      <c r="D5">
        <v>546.25</v>
      </c>
      <c r="E5">
        <v>63791.48</v>
      </c>
      <c r="F5">
        <v>635.13</v>
      </c>
      <c r="G5" s="15">
        <f t="shared" ref="G5:G8" si="0">F5/E5</f>
        <v>9.9563452674244265E-3</v>
      </c>
    </row>
    <row r="6" spans="2:7">
      <c r="B6" s="35">
        <v>3</v>
      </c>
      <c r="C6" t="s">
        <v>260</v>
      </c>
      <c r="D6">
        <v>215.58</v>
      </c>
      <c r="E6">
        <v>17422.14</v>
      </c>
      <c r="F6">
        <v>302.73</v>
      </c>
      <c r="G6" s="15">
        <f t="shared" si="0"/>
        <v>1.7376166188539412E-2</v>
      </c>
    </row>
    <row r="7" spans="2:7">
      <c r="B7" s="35">
        <v>4</v>
      </c>
      <c r="C7" t="s">
        <v>261</v>
      </c>
      <c r="D7">
        <v>3205.8</v>
      </c>
      <c r="E7">
        <v>14647.68</v>
      </c>
      <c r="F7">
        <v>79.099999999999994</v>
      </c>
      <c r="G7" s="15">
        <f t="shared" si="0"/>
        <v>5.4001725870581547E-3</v>
      </c>
    </row>
    <row r="8" spans="2:7">
      <c r="B8" s="35">
        <v>5</v>
      </c>
      <c r="C8" t="s">
        <v>262</v>
      </c>
      <c r="D8">
        <v>1010.05</v>
      </c>
      <c r="E8">
        <v>4825.1899999999996</v>
      </c>
      <c r="F8">
        <v>18.37</v>
      </c>
      <c r="G8" s="15">
        <f t="shared" si="0"/>
        <v>3.8071039689628809E-3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24559-1980-4DE8-B7BA-36E443FC802F}">
  <dimension ref="B1:K23"/>
  <sheetViews>
    <sheetView showGridLines="0" zoomScale="88" workbookViewId="0">
      <selection activeCell="G6" sqref="G6"/>
    </sheetView>
  </sheetViews>
  <sheetFormatPr defaultRowHeight="15"/>
  <cols>
    <col min="1" max="1" width="1.85546875" customWidth="1"/>
    <col min="8" max="8" width="8.42578125" bestFit="1" customWidth="1"/>
  </cols>
  <sheetData>
    <row r="1" spans="2:11">
      <c r="B1" s="1"/>
      <c r="C1" s="1"/>
      <c r="D1" s="1"/>
      <c r="E1" s="1"/>
      <c r="F1" s="1"/>
      <c r="G1" s="1"/>
      <c r="H1" s="1"/>
      <c r="I1" s="1"/>
      <c r="J1" s="1"/>
      <c r="K1" s="1"/>
    </row>
    <row r="2" spans="2:11">
      <c r="B2" s="1"/>
      <c r="C2" s="1"/>
      <c r="D2" s="1"/>
      <c r="E2" s="1"/>
      <c r="F2" s="1"/>
      <c r="G2" s="1"/>
      <c r="H2" s="1"/>
      <c r="I2" s="1"/>
      <c r="J2" s="1"/>
      <c r="K2" s="1"/>
    </row>
    <row r="3" spans="2:11">
      <c r="B3" s="1"/>
      <c r="C3" s="1"/>
      <c r="D3" s="1"/>
      <c r="E3" s="1"/>
      <c r="F3" s="1"/>
      <c r="G3" s="1"/>
      <c r="H3" s="1"/>
      <c r="I3" s="1"/>
      <c r="J3" s="1"/>
      <c r="K3" s="1"/>
    </row>
    <row r="4" spans="2:11">
      <c r="B4" s="1"/>
      <c r="C4" s="1"/>
      <c r="D4" s="1"/>
      <c r="E4" s="1"/>
      <c r="F4" s="1"/>
      <c r="G4" s="1"/>
      <c r="H4" s="1"/>
      <c r="I4" s="1"/>
      <c r="J4" s="1"/>
      <c r="K4" s="1"/>
    </row>
    <row r="6" spans="2:11">
      <c r="B6" s="44" t="s">
        <v>292</v>
      </c>
      <c r="C6" s="45"/>
      <c r="D6" s="45"/>
      <c r="E6" s="45"/>
      <c r="F6" s="45"/>
      <c r="G6" s="45"/>
    </row>
    <row r="8" spans="2:11">
      <c r="B8" s="37" t="s">
        <v>59</v>
      </c>
      <c r="C8" s="38" t="s">
        <v>60</v>
      </c>
    </row>
    <row r="9" spans="2:11">
      <c r="B9" s="35">
        <v>2011</v>
      </c>
      <c r="C9" s="127">
        <v>-0.2462</v>
      </c>
      <c r="E9" t="s">
        <v>61</v>
      </c>
      <c r="G9" s="15">
        <f>AVERAGE(C9:C23)</f>
        <v>0.11059999999999999</v>
      </c>
      <c r="H9" s="15"/>
    </row>
    <row r="10" spans="2:11">
      <c r="B10" s="35">
        <v>2012</v>
      </c>
      <c r="C10" s="127">
        <v>0.27699999999999997</v>
      </c>
      <c r="E10" t="s">
        <v>62</v>
      </c>
      <c r="G10" s="49">
        <v>1.3899999999999999E-2</v>
      </c>
    </row>
    <row r="11" spans="2:11">
      <c r="B11" s="35">
        <v>2013</v>
      </c>
      <c r="C11" s="127">
        <v>6.7599999999999993E-2</v>
      </c>
      <c r="E11" s="47" t="s">
        <v>63</v>
      </c>
      <c r="F11" s="47"/>
      <c r="G11" s="48">
        <f>SUM(G10,G9)</f>
        <v>0.12449999999999999</v>
      </c>
      <c r="H11" s="15"/>
    </row>
    <row r="12" spans="2:11">
      <c r="B12" s="35">
        <v>2014</v>
      </c>
      <c r="C12" s="127">
        <v>0.31390000000000001</v>
      </c>
      <c r="G12" s="15"/>
    </row>
    <row r="13" spans="2:11">
      <c r="B13" s="35">
        <v>2015</v>
      </c>
      <c r="C13" s="127">
        <v>-4.0599999999999997E-2</v>
      </c>
    </row>
    <row r="14" spans="2:11">
      <c r="B14" s="35">
        <v>2016</v>
      </c>
      <c r="C14" s="127">
        <v>3.0099999999999998E-2</v>
      </c>
    </row>
    <row r="15" spans="2:11">
      <c r="B15" s="35">
        <v>2017</v>
      </c>
      <c r="C15" s="127">
        <v>0.28649999999999998</v>
      </c>
    </row>
    <row r="16" spans="2:11">
      <c r="B16" s="35">
        <v>2018</v>
      </c>
      <c r="C16" s="127">
        <v>3.15E-2</v>
      </c>
    </row>
    <row r="17" spans="2:8">
      <c r="B17" s="35">
        <v>2019</v>
      </c>
      <c r="C17" s="127">
        <v>0.1202</v>
      </c>
      <c r="H17" s="15"/>
    </row>
    <row r="18" spans="2:8">
      <c r="B18" s="35">
        <v>2020</v>
      </c>
      <c r="C18" s="127">
        <v>0.14169999999999999</v>
      </c>
    </row>
    <row r="19" spans="2:8">
      <c r="B19" s="35">
        <v>2021</v>
      </c>
      <c r="C19" s="127">
        <v>0.2412</v>
      </c>
      <c r="E19" s="15"/>
    </row>
    <row r="20" spans="2:8">
      <c r="B20" s="35">
        <v>2022</v>
      </c>
      <c r="C20" s="127">
        <v>4.3200000000000002E-2</v>
      </c>
    </row>
    <row r="21" spans="2:8">
      <c r="B21" s="35">
        <v>2023</v>
      </c>
      <c r="C21" s="127">
        <v>0.20030000000000001</v>
      </c>
    </row>
    <row r="22" spans="2:8">
      <c r="B22" s="35">
        <v>2024</v>
      </c>
      <c r="C22" s="127">
        <v>8.7599999999999997E-2</v>
      </c>
    </row>
    <row r="23" spans="2:8">
      <c r="B23" s="35">
        <v>2025</v>
      </c>
      <c r="C23" s="127">
        <v>0.105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47D2-7BA7-4288-BEE9-3FBA56CACE5F}">
  <dimension ref="B1:L129"/>
  <sheetViews>
    <sheetView showGridLines="0" zoomScale="80" zoomScaleNormal="80" zoomScaleSheetLayoutView="88" workbookViewId="0">
      <selection activeCell="N16" sqref="N16"/>
    </sheetView>
  </sheetViews>
  <sheetFormatPr defaultRowHeight="15"/>
  <cols>
    <col min="1" max="1" width="1.85546875" customWidth="1"/>
    <col min="2" max="2" width="35.7109375" customWidth="1"/>
    <col min="3" max="9" width="12.7109375" customWidth="1"/>
  </cols>
  <sheetData>
    <row r="1" spans="2:10">
      <c r="B1" s="220"/>
      <c r="C1" s="220"/>
      <c r="D1" s="220"/>
      <c r="E1" s="220"/>
      <c r="F1" s="220"/>
      <c r="G1" s="220"/>
      <c r="H1" s="220"/>
      <c r="I1" s="220"/>
      <c r="J1" s="220"/>
    </row>
    <row r="2" spans="2:10" ht="7.5" customHeight="1"/>
    <row r="3" spans="2:10" ht="36" customHeight="1">
      <c r="B3" s="221" t="str">
        <f>'Data Sheet'!B1</f>
        <v>ASIAN PAINTS LTD</v>
      </c>
    </row>
    <row r="4" spans="2:10">
      <c r="B4" t="str">
        <f>CONCATENATE("(",_xlfn.XLOOKUP(B3,'List Of Stocks'!B2:B5442,'List Of Stocks'!D2:D5442), " | ","BSE Code: ",_xlfn.XLOOKUP(Analysis!B3,'List Of Stocks'!B2:B5442,'List Of Stocks'!C2:C5442,,0)," ) ")</f>
        <v xml:space="preserve">(ASIANPAINT | BSE Code: 500820 ) </v>
      </c>
    </row>
    <row r="5" spans="2:10" ht="18.75">
      <c r="B5" s="219" t="str">
        <f>CONCATENATE("INR", " ",'Data Sheet'!B8)</f>
        <v>INR 2605.6</v>
      </c>
    </row>
    <row r="6" spans="2:10">
      <c r="B6" t="str">
        <f>"52 Week"  &amp;  "  "&amp;"("&amp;"High -" &amp; " INR " &amp;'Football Field Analysis'!Q10  &amp;  "  "  &amp;"LOW - "  &amp; " INR " &amp;'Football Field Analysis'!N10 &amp;")"</f>
        <v>52 Week  (High - INR 2985.7  LOW -  INR 2115)</v>
      </c>
    </row>
    <row r="7" spans="2:10" ht="31.5" customHeight="1" thickBot="1">
      <c r="B7" s="214"/>
      <c r="C7" s="214"/>
      <c r="D7" s="214"/>
      <c r="E7" s="214"/>
      <c r="F7" s="214"/>
      <c r="G7" s="214"/>
      <c r="H7" s="214"/>
      <c r="I7" s="214"/>
    </row>
    <row r="8" spans="2:10" ht="30.75" customHeight="1">
      <c r="B8" s="219" t="s">
        <v>8560</v>
      </c>
    </row>
    <row r="9" spans="2:10" ht="15.75" customHeight="1">
      <c r="B9" s="229" t="s">
        <v>8569</v>
      </c>
      <c r="C9" s="230"/>
      <c r="D9" s="230"/>
      <c r="E9" s="230"/>
      <c r="F9" s="230"/>
      <c r="G9" s="230"/>
      <c r="H9" s="230"/>
      <c r="I9" s="230"/>
    </row>
    <row r="10" spans="2:10" ht="15" customHeight="1">
      <c r="B10" s="230"/>
      <c r="C10" s="230"/>
      <c r="D10" s="230"/>
      <c r="E10" s="230"/>
      <c r="F10" s="230"/>
      <c r="G10" s="230"/>
      <c r="H10" s="230"/>
      <c r="I10" s="230"/>
    </row>
    <row r="11" spans="2:10" ht="15" customHeight="1">
      <c r="B11" s="230"/>
      <c r="C11" s="230"/>
      <c r="D11" s="230"/>
      <c r="E11" s="230"/>
      <c r="F11" s="230"/>
      <c r="G11" s="230"/>
      <c r="H11" s="230"/>
      <c r="I11" s="230"/>
    </row>
    <row r="12" spans="2:10">
      <c r="B12" s="230"/>
      <c r="C12" s="230"/>
      <c r="D12" s="230"/>
      <c r="E12" s="230"/>
      <c r="F12" s="230"/>
      <c r="G12" s="230"/>
      <c r="H12" s="230"/>
      <c r="I12" s="230"/>
    </row>
    <row r="13" spans="2:10">
      <c r="B13" s="230"/>
      <c r="C13" s="230"/>
      <c r="D13" s="230"/>
      <c r="E13" s="230"/>
      <c r="F13" s="230"/>
      <c r="G13" s="230"/>
      <c r="H13" s="230"/>
      <c r="I13" s="230"/>
    </row>
    <row r="14" spans="2:10" ht="24.75" customHeight="1">
      <c r="B14" s="230"/>
      <c r="C14" s="230"/>
      <c r="D14" s="230"/>
      <c r="E14" s="230"/>
      <c r="F14" s="230"/>
      <c r="G14" s="230"/>
      <c r="H14" s="230"/>
      <c r="I14" s="230"/>
    </row>
    <row r="15" spans="2:10" ht="6" customHeight="1">
      <c r="B15" s="230"/>
      <c r="C15" s="230"/>
      <c r="D15" s="230"/>
      <c r="E15" s="230"/>
      <c r="F15" s="230"/>
      <c r="G15" s="230"/>
      <c r="H15" s="230"/>
      <c r="I15" s="230"/>
    </row>
    <row r="16" spans="2:10" ht="21.75" customHeight="1">
      <c r="B16" s="219" t="s">
        <v>8573</v>
      </c>
    </row>
    <row r="17" spans="2:2" ht="10.5" customHeight="1">
      <c r="B17" s="219"/>
    </row>
    <row r="18" spans="2:2" ht="18.75">
      <c r="B18" s="219"/>
    </row>
    <row r="19" spans="2:2">
      <c r="B19" s="2"/>
    </row>
    <row r="61" spans="2:10" ht="19.5" customHeight="1"/>
    <row r="62" spans="2:10">
      <c r="B62" s="220"/>
      <c r="C62" s="220"/>
      <c r="D62" s="220"/>
      <c r="E62" s="220"/>
      <c r="F62" s="220"/>
      <c r="G62" s="220"/>
      <c r="H62" s="220"/>
      <c r="I62" s="220"/>
      <c r="J62" s="220"/>
    </row>
    <row r="63" spans="2:10" ht="0.75" customHeight="1"/>
    <row r="64" spans="2:10">
      <c r="B64" s="220"/>
      <c r="C64" s="220"/>
      <c r="D64" s="220"/>
      <c r="E64" s="220"/>
      <c r="F64" s="220"/>
      <c r="G64" s="220"/>
      <c r="H64" s="220"/>
      <c r="I64" s="220"/>
      <c r="J64" s="220"/>
    </row>
    <row r="67" spans="2:12">
      <c r="B67" s="226" t="s">
        <v>8562</v>
      </c>
      <c r="C67" s="226"/>
      <c r="D67" s="226"/>
      <c r="E67" s="226"/>
      <c r="F67" s="226"/>
      <c r="G67" s="226"/>
      <c r="H67" s="226"/>
      <c r="I67" s="226"/>
    </row>
    <row r="68" spans="2:12">
      <c r="C68" s="215">
        <f>HistoricalFS!F3</f>
        <v>43555</v>
      </c>
      <c r="D68" s="215">
        <f>HistoricalFS!G3</f>
        <v>43921</v>
      </c>
      <c r="E68" s="215">
        <f>HistoricalFS!H3</f>
        <v>44286</v>
      </c>
      <c r="F68" s="215">
        <f>HistoricalFS!I3</f>
        <v>44651</v>
      </c>
      <c r="G68" s="215">
        <f>HistoricalFS!J3</f>
        <v>45016</v>
      </c>
      <c r="H68" s="215">
        <f>HistoricalFS!K3</f>
        <v>45382</v>
      </c>
      <c r="I68" s="215">
        <f>HistoricalFS!L3</f>
        <v>45747</v>
      </c>
    </row>
    <row r="69" spans="2:12">
      <c r="B69" t="s">
        <v>90</v>
      </c>
      <c r="C69" s="155">
        <f>IFERROR('Data Sheet'!E30,0)</f>
        <v>2155.92</v>
      </c>
      <c r="D69" s="155">
        <f>IFERROR('Data Sheet'!F30,0)</f>
        <v>2705.17</v>
      </c>
      <c r="E69" s="155">
        <f>IFERROR('Data Sheet'!G30,0)</f>
        <v>3139.29</v>
      </c>
      <c r="F69" s="155">
        <f>IFERROR('Data Sheet'!H30,0)</f>
        <v>3030.57</v>
      </c>
      <c r="G69" s="155">
        <f>IFERROR('Data Sheet'!I30,0)</f>
        <v>4106.45</v>
      </c>
      <c r="H69" s="155">
        <f>IFERROR('Data Sheet'!J30,0)</f>
        <v>5460.23</v>
      </c>
      <c r="I69" s="155">
        <f>IFERROR('Data Sheet'!K30,0)</f>
        <v>3667.23</v>
      </c>
    </row>
    <row r="70" spans="2:12">
      <c r="B70" t="s">
        <v>8563</v>
      </c>
      <c r="C70" s="155">
        <f>IFERROR((('Data Sheet'!E57+'Data Sheet'!E58)+('Data Sheet'!D58+'Data Sheet'!D57))/2,0)</f>
        <v>8940.39</v>
      </c>
      <c r="D70" s="155">
        <f>IFERROR((('Data Sheet'!F57+'Data Sheet'!F58)+('Data Sheet'!E58+'Data Sheet'!E57))/2,0)</f>
        <v>9800.3549999999996</v>
      </c>
      <c r="E70" s="155">
        <f>IFERROR((('Data Sheet'!G57+'Data Sheet'!G58)+('Data Sheet'!F58+'Data Sheet'!F57))/2,0)</f>
        <v>11468.225</v>
      </c>
      <c r="F70" s="155">
        <f>IFERROR((('Data Sheet'!H57+'Data Sheet'!H58)+('Data Sheet'!G58+'Data Sheet'!G57))/2,0)</f>
        <v>13308.924999999999</v>
      </c>
      <c r="G70" s="155">
        <f>IFERROR((('Data Sheet'!I57+'Data Sheet'!I58)+('Data Sheet'!H58+'Data Sheet'!H57))/2,0)</f>
        <v>14901.895</v>
      </c>
      <c r="H70" s="155">
        <f>IFERROR((('Data Sheet'!J57+'Data Sheet'!J58)+('Data Sheet'!I58+'Data Sheet'!I57))/2,0)</f>
        <v>17360.264999999999</v>
      </c>
      <c r="I70" s="155">
        <f>IFERROR((('Data Sheet'!K57+'Data Sheet'!K58)+('Data Sheet'!J58+'Data Sheet'!J57))/2,0)</f>
        <v>19064.055</v>
      </c>
    </row>
    <row r="71" spans="2:12">
      <c r="B71" s="216" t="s">
        <v>8561</v>
      </c>
      <c r="C71" s="217">
        <f t="shared" ref="C71:H71" si="0">C69/C70</f>
        <v>0.24114384271827069</v>
      </c>
      <c r="D71" s="217">
        <f t="shared" si="0"/>
        <v>0.27602775613740527</v>
      </c>
      <c r="E71" s="217">
        <f t="shared" si="0"/>
        <v>0.27373808937302851</v>
      </c>
      <c r="F71" s="217">
        <f t="shared" si="0"/>
        <v>0.22770960088812586</v>
      </c>
      <c r="G71" s="217">
        <f t="shared" si="0"/>
        <v>0.27556562437193388</v>
      </c>
      <c r="H71" s="217">
        <f t="shared" si="0"/>
        <v>0.31452457666976857</v>
      </c>
      <c r="I71" s="217">
        <f>I69/I70</f>
        <v>0.19236358686543864</v>
      </c>
    </row>
    <row r="73" spans="2:12">
      <c r="B73" s="226" t="s">
        <v>8574</v>
      </c>
      <c r="C73" s="226"/>
      <c r="D73" s="226"/>
      <c r="E73" s="226"/>
      <c r="F73" s="226"/>
      <c r="G73" s="226"/>
      <c r="H73" s="226"/>
      <c r="I73" s="226"/>
    </row>
    <row r="74" spans="2:12">
      <c r="C74" s="215">
        <f t="shared" ref="C74:H74" si="1">C68</f>
        <v>43555</v>
      </c>
      <c r="D74" s="215">
        <f t="shared" si="1"/>
        <v>43921</v>
      </c>
      <c r="E74" s="215">
        <f t="shared" si="1"/>
        <v>44286</v>
      </c>
      <c r="F74" s="215">
        <f t="shared" si="1"/>
        <v>44651</v>
      </c>
      <c r="G74" s="215">
        <f t="shared" si="1"/>
        <v>45016</v>
      </c>
      <c r="H74" s="215">
        <f t="shared" si="1"/>
        <v>45382</v>
      </c>
      <c r="I74" s="215">
        <f>I68</f>
        <v>45747</v>
      </c>
    </row>
    <row r="75" spans="2:12">
      <c r="B75" t="str">
        <f>B69</f>
        <v>Net Profit</v>
      </c>
      <c r="C75" s="155">
        <f t="shared" ref="C75:I75" si="2">C69</f>
        <v>2155.92</v>
      </c>
      <c r="D75" s="155">
        <f t="shared" si="2"/>
        <v>2705.17</v>
      </c>
      <c r="E75" s="155">
        <f t="shared" si="2"/>
        <v>3139.29</v>
      </c>
      <c r="F75" s="155">
        <f t="shared" si="2"/>
        <v>3030.57</v>
      </c>
      <c r="G75" s="155">
        <f t="shared" si="2"/>
        <v>4106.45</v>
      </c>
      <c r="H75" s="155">
        <f t="shared" si="2"/>
        <v>5460.23</v>
      </c>
      <c r="I75" s="155">
        <f t="shared" si="2"/>
        <v>3667.23</v>
      </c>
    </row>
    <row r="76" spans="2:12">
      <c r="B76" t="s">
        <v>282</v>
      </c>
      <c r="C76" s="155">
        <f>IFERROR('Data Sheet'!E17,0)</f>
        <v>19240.13</v>
      </c>
      <c r="D76" s="155">
        <f>IFERROR('Data Sheet'!F17,0)</f>
        <v>20211.25</v>
      </c>
      <c r="E76" s="155">
        <f>IFERROR('Data Sheet'!G17,0)</f>
        <v>21712.79</v>
      </c>
      <c r="F76" s="155">
        <f>IFERROR('Data Sheet'!H17,0)</f>
        <v>29101.279999999999</v>
      </c>
      <c r="G76" s="155">
        <f>IFERROR('Data Sheet'!I17,0)</f>
        <v>34488.589999999997</v>
      </c>
      <c r="H76" s="155">
        <f>IFERROR('Data Sheet'!J17,0)</f>
        <v>35494.730000000003</v>
      </c>
      <c r="I76" s="155">
        <f>IFERROR('Data Sheet'!K17,0)</f>
        <v>33905.620000000003</v>
      </c>
      <c r="J76" s="155"/>
      <c r="K76" s="155"/>
      <c r="L76" s="155"/>
    </row>
    <row r="77" spans="2:12">
      <c r="B77" s="216" t="s">
        <v>8564</v>
      </c>
      <c r="C77" s="217">
        <f t="shared" ref="C77:H77" si="3">C75/C76</f>
        <v>0.11205329693718286</v>
      </c>
      <c r="D77" s="217">
        <f t="shared" si="3"/>
        <v>0.13384476467313997</v>
      </c>
      <c r="E77" s="217">
        <f t="shared" si="3"/>
        <v>0.14458252486207437</v>
      </c>
      <c r="F77" s="217">
        <f t="shared" si="3"/>
        <v>0.10413871829692715</v>
      </c>
      <c r="G77" s="217">
        <f t="shared" si="3"/>
        <v>0.11906691459407301</v>
      </c>
      <c r="H77" s="217">
        <f t="shared" si="3"/>
        <v>0.15383213226301479</v>
      </c>
      <c r="I77" s="217">
        <f>I75/I76</f>
        <v>0.10815994516543274</v>
      </c>
    </row>
    <row r="79" spans="2:12">
      <c r="C79" s="215">
        <f t="shared" ref="C79:H79" si="4">C74</f>
        <v>43555</v>
      </c>
      <c r="D79" s="215">
        <f t="shared" si="4"/>
        <v>43921</v>
      </c>
      <c r="E79" s="215">
        <f t="shared" si="4"/>
        <v>44286</v>
      </c>
      <c r="F79" s="215">
        <f t="shared" si="4"/>
        <v>44651</v>
      </c>
      <c r="G79" s="215">
        <f t="shared" si="4"/>
        <v>45016</v>
      </c>
      <c r="H79" s="215">
        <f t="shared" si="4"/>
        <v>45382</v>
      </c>
      <c r="I79" s="215">
        <f>I74</f>
        <v>45747</v>
      </c>
    </row>
    <row r="80" spans="2:12">
      <c r="B80" t="s">
        <v>282</v>
      </c>
      <c r="C80" s="155">
        <f>C76</f>
        <v>19240.13</v>
      </c>
      <c r="D80" s="155">
        <f t="shared" ref="D80:I80" si="5">D76</f>
        <v>20211.25</v>
      </c>
      <c r="E80" s="155">
        <f t="shared" si="5"/>
        <v>21712.79</v>
      </c>
      <c r="F80" s="155">
        <f t="shared" si="5"/>
        <v>29101.279999999999</v>
      </c>
      <c r="G80" s="155">
        <f t="shared" si="5"/>
        <v>34488.589999999997</v>
      </c>
      <c r="H80" s="155">
        <f t="shared" si="5"/>
        <v>35494.730000000003</v>
      </c>
      <c r="I80" s="155">
        <f t="shared" si="5"/>
        <v>33905.620000000003</v>
      </c>
    </row>
    <row r="81" spans="2:9">
      <c r="B81" t="s">
        <v>8565</v>
      </c>
      <c r="C81" s="155">
        <f>IFERROR(('Data Sheet'!E66+'Data Sheet'!D66)/2,0)</f>
        <v>15006.16</v>
      </c>
      <c r="D81" s="155">
        <f>IFERROR(('Data Sheet'!F66+'Data Sheet'!E66)/2,0)</f>
        <v>16193.404999999999</v>
      </c>
      <c r="E81" s="155">
        <f>IFERROR(('Data Sheet'!G66+'Data Sheet'!F66)/2,0)</f>
        <v>18246.654999999999</v>
      </c>
      <c r="F81" s="155">
        <f>IFERROR(('Data Sheet'!H66+'Data Sheet'!G66)/2,0)</f>
        <v>21656.885000000002</v>
      </c>
      <c r="G81" s="155">
        <f>IFERROR(('Data Sheet'!I66+'Data Sheet'!H66)/2,0)</f>
        <v>24368.880000000001</v>
      </c>
      <c r="H81" s="155">
        <f>IFERROR(('Data Sheet'!J66+'Data Sheet'!I66)/2,0)</f>
        <v>27840.050000000003</v>
      </c>
      <c r="I81" s="155">
        <f>IFERROR(('Data Sheet'!K66+'Data Sheet'!J66)/2,0)</f>
        <v>30128.010000000002</v>
      </c>
    </row>
    <row r="82" spans="2:9">
      <c r="B82" s="216" t="s">
        <v>8566</v>
      </c>
      <c r="C82" s="218">
        <f t="shared" ref="C82:H82" si="6">C80/C81</f>
        <v>1.2821487975604686</v>
      </c>
      <c r="D82" s="218">
        <f t="shared" si="6"/>
        <v>1.2481161312274967</v>
      </c>
      <c r="E82" s="218">
        <f t="shared" si="6"/>
        <v>1.1899600228096603</v>
      </c>
      <c r="F82" s="218">
        <f t="shared" si="6"/>
        <v>1.343742648123218</v>
      </c>
      <c r="G82" s="218">
        <f t="shared" si="6"/>
        <v>1.415271854923164</v>
      </c>
      <c r="H82" s="218">
        <f t="shared" si="6"/>
        <v>1.2749520923992592</v>
      </c>
      <c r="I82" s="218">
        <f>I80/I81</f>
        <v>1.125385314197652</v>
      </c>
    </row>
    <row r="84" spans="2:9">
      <c r="C84" s="215">
        <f t="shared" ref="C84:I84" si="7">C79</f>
        <v>43555</v>
      </c>
      <c r="D84" s="215">
        <f t="shared" si="7"/>
        <v>43921</v>
      </c>
      <c r="E84" s="215">
        <f t="shared" si="7"/>
        <v>44286</v>
      </c>
      <c r="F84" s="215">
        <f t="shared" si="7"/>
        <v>44651</v>
      </c>
      <c r="G84" s="215">
        <f t="shared" si="7"/>
        <v>45016</v>
      </c>
      <c r="H84" s="215">
        <f t="shared" si="7"/>
        <v>45382</v>
      </c>
      <c r="I84" s="215">
        <f t="shared" si="7"/>
        <v>45747</v>
      </c>
    </row>
    <row r="85" spans="2:9">
      <c r="B85" t="s">
        <v>8565</v>
      </c>
      <c r="C85" s="155">
        <f>IFERROR(('Data Sheet'!E66+'Data Sheet'!D66)/2,0)</f>
        <v>15006.16</v>
      </c>
      <c r="D85" s="155">
        <f>IFERROR(('Data Sheet'!F66+'Data Sheet'!E66)/2,0)</f>
        <v>16193.404999999999</v>
      </c>
      <c r="E85" s="155">
        <f>IFERROR(('Data Sheet'!G66+'Data Sheet'!F66)/2,0)</f>
        <v>18246.654999999999</v>
      </c>
      <c r="F85" s="155">
        <f>IFERROR(('Data Sheet'!H66+'Data Sheet'!G66)/2,0)</f>
        <v>21656.885000000002</v>
      </c>
      <c r="G85" s="155">
        <f>IFERROR(('Data Sheet'!I66+'Data Sheet'!H66)/2,0)</f>
        <v>24368.880000000001</v>
      </c>
      <c r="H85" s="155">
        <f>IFERROR(('Data Sheet'!J66+'Data Sheet'!I66)/2,0)</f>
        <v>27840.050000000003</v>
      </c>
      <c r="I85" s="155">
        <f>IFERROR(('Data Sheet'!K66+'Data Sheet'!J66)/2,0)</f>
        <v>30128.010000000002</v>
      </c>
    </row>
    <row r="86" spans="2:9">
      <c r="B86" t="s">
        <v>8563</v>
      </c>
      <c r="C86" s="155">
        <f>IFERROR((('Data Sheet'!E57+'Data Sheet'!E58)+('Data Sheet'!D58+'Data Sheet'!D57))/2,0)</f>
        <v>8940.39</v>
      </c>
      <c r="D86" s="155">
        <f>IFERROR((('Data Sheet'!F57+'Data Sheet'!F58)+('Data Sheet'!E58+'Data Sheet'!E57))/2,0)</f>
        <v>9800.3549999999996</v>
      </c>
      <c r="E86" s="155">
        <f>IFERROR((('Data Sheet'!G57+'Data Sheet'!G58)+('Data Sheet'!F58+'Data Sheet'!F57))/2,0)</f>
        <v>11468.225</v>
      </c>
      <c r="F86" s="155">
        <f>IFERROR((('Data Sheet'!H57+'Data Sheet'!H58)+('Data Sheet'!G58+'Data Sheet'!G57))/2,0)</f>
        <v>13308.924999999999</v>
      </c>
      <c r="G86" s="155">
        <f>IFERROR((('Data Sheet'!I57+'Data Sheet'!I58)+('Data Sheet'!H58+'Data Sheet'!H57))/2,0)</f>
        <v>14901.895</v>
      </c>
      <c r="H86" s="155">
        <f>IFERROR((('Data Sheet'!J57+'Data Sheet'!J58)+('Data Sheet'!I58+'Data Sheet'!I57))/2,0)</f>
        <v>17360.264999999999</v>
      </c>
      <c r="I86" s="155">
        <f>IFERROR((('Data Sheet'!K57+'Data Sheet'!K58)+('Data Sheet'!J58+'Data Sheet'!J57))/2,0)</f>
        <v>19064.055</v>
      </c>
    </row>
    <row r="87" spans="2:9">
      <c r="B87" s="216" t="s">
        <v>8567</v>
      </c>
      <c r="C87" s="218">
        <f t="shared" ref="C87" si="8">C85/C86</f>
        <v>1.6784681652590101</v>
      </c>
      <c r="D87" s="218">
        <f t="shared" ref="D87" si="9">D85/D86</f>
        <v>1.6523284105524749</v>
      </c>
      <c r="E87" s="218">
        <f t="shared" ref="E87" si="10">E85/E86</f>
        <v>1.5910618251734683</v>
      </c>
      <c r="F87" s="218">
        <f t="shared" ref="F87" si="11">F85/F86</f>
        <v>1.6272452508373143</v>
      </c>
      <c r="G87" s="218">
        <f t="shared" ref="G87" si="12">G85/G86</f>
        <v>1.6352873241960166</v>
      </c>
      <c r="H87" s="218">
        <f t="shared" ref="H87" si="13">H85/H86</f>
        <v>1.6036650362192053</v>
      </c>
      <c r="I87" s="218">
        <f>I85/I86</f>
        <v>1.5803568548244327</v>
      </c>
    </row>
    <row r="89" spans="2:9">
      <c r="B89" s="216" t="s">
        <v>8568</v>
      </c>
      <c r="C89" s="217">
        <f>C87*C82*C77</f>
        <v>0.24114384271827072</v>
      </c>
      <c r="D89" s="217">
        <f t="shared" ref="D89:H89" si="14">D87*D82*D77</f>
        <v>0.27602775613740521</v>
      </c>
      <c r="E89" s="217">
        <f t="shared" si="14"/>
        <v>0.27373808937302851</v>
      </c>
      <c r="F89" s="217">
        <f t="shared" si="14"/>
        <v>0.22770960088812586</v>
      </c>
      <c r="G89" s="217">
        <f t="shared" si="14"/>
        <v>0.27556562437193388</v>
      </c>
      <c r="H89" s="217">
        <f t="shared" si="14"/>
        <v>0.31452457666976852</v>
      </c>
      <c r="I89" s="217">
        <f>I87*I82*I77</f>
        <v>0.19236358686543864</v>
      </c>
    </row>
    <row r="91" spans="2:9">
      <c r="B91" s="226" t="s">
        <v>8570</v>
      </c>
      <c r="C91" s="226"/>
      <c r="D91" s="226"/>
      <c r="E91" s="226"/>
      <c r="F91" s="226"/>
      <c r="G91" s="226"/>
      <c r="H91" s="226"/>
      <c r="I91" s="226"/>
    </row>
    <row r="92" spans="2:9">
      <c r="C92" s="215">
        <f t="shared" ref="C92:H92" si="15">C84</f>
        <v>43555</v>
      </c>
      <c r="D92" s="215">
        <f t="shared" si="15"/>
        <v>43921</v>
      </c>
      <c r="E92" s="215">
        <f t="shared" si="15"/>
        <v>44286</v>
      </c>
      <c r="F92" s="215">
        <f t="shared" si="15"/>
        <v>44651</v>
      </c>
      <c r="G92" s="215">
        <f t="shared" si="15"/>
        <v>45016</v>
      </c>
      <c r="H92" s="215">
        <f t="shared" si="15"/>
        <v>45382</v>
      </c>
      <c r="I92" s="215">
        <f>I84</f>
        <v>45747</v>
      </c>
    </row>
    <row r="93" spans="2:9">
      <c r="B93" t="s">
        <v>90</v>
      </c>
      <c r="C93" s="155">
        <f>C75</f>
        <v>2155.92</v>
      </c>
      <c r="D93" s="155">
        <f t="shared" ref="D93:I93" si="16">D75</f>
        <v>2705.17</v>
      </c>
      <c r="E93" s="155">
        <f t="shared" si="16"/>
        <v>3139.29</v>
      </c>
      <c r="F93" s="155">
        <f t="shared" si="16"/>
        <v>3030.57</v>
      </c>
      <c r="G93" s="155">
        <f t="shared" si="16"/>
        <v>4106.45</v>
      </c>
      <c r="H93" s="155">
        <f t="shared" si="16"/>
        <v>5460.23</v>
      </c>
      <c r="I93" s="155">
        <f t="shared" si="16"/>
        <v>3667.23</v>
      </c>
    </row>
    <row r="94" spans="2:9">
      <c r="B94" t="str">
        <f>B85</f>
        <v>Average Total Assets</v>
      </c>
      <c r="C94" s="155">
        <f t="shared" ref="C94:I94" si="17">C85</f>
        <v>15006.16</v>
      </c>
      <c r="D94" s="155">
        <f t="shared" si="17"/>
        <v>16193.404999999999</v>
      </c>
      <c r="E94" s="155">
        <f t="shared" si="17"/>
        <v>18246.654999999999</v>
      </c>
      <c r="F94" s="155">
        <f t="shared" si="17"/>
        <v>21656.885000000002</v>
      </c>
      <c r="G94" s="155">
        <f t="shared" si="17"/>
        <v>24368.880000000001</v>
      </c>
      <c r="H94" s="155">
        <f t="shared" si="17"/>
        <v>27840.050000000003</v>
      </c>
      <c r="I94" s="155">
        <f t="shared" si="17"/>
        <v>30128.010000000002</v>
      </c>
    </row>
    <row r="95" spans="2:9">
      <c r="B95" s="216" t="s">
        <v>8571</v>
      </c>
      <c r="C95" s="217">
        <f t="shared" ref="C95:I95" si="18">C93/C94</f>
        <v>0.14366899993069512</v>
      </c>
      <c r="D95" s="217">
        <f t="shared" si="18"/>
        <v>0.16705380986889418</v>
      </c>
      <c r="E95" s="217">
        <f t="shared" si="18"/>
        <v>0.1720474245827523</v>
      </c>
      <c r="F95" s="217">
        <f t="shared" si="18"/>
        <v>0.13993563709647069</v>
      </c>
      <c r="G95" s="217">
        <f t="shared" si="18"/>
        <v>0.16851205307753167</v>
      </c>
      <c r="H95" s="217">
        <f t="shared" si="18"/>
        <v>0.19612859890697032</v>
      </c>
      <c r="I95" s="217">
        <f t="shared" si="18"/>
        <v>0.12172161387360134</v>
      </c>
    </row>
    <row r="97" spans="2:9">
      <c r="B97" s="226" t="s">
        <v>8575</v>
      </c>
      <c r="C97" s="226"/>
      <c r="D97" s="226"/>
      <c r="E97" s="226"/>
      <c r="F97" s="226"/>
      <c r="G97" s="226"/>
      <c r="H97" s="226"/>
      <c r="I97" s="226"/>
    </row>
    <row r="98" spans="2:9">
      <c r="C98" s="215">
        <f t="shared" ref="C98:H98" si="19">C92</f>
        <v>43555</v>
      </c>
      <c r="D98" s="215">
        <f t="shared" si="19"/>
        <v>43921</v>
      </c>
      <c r="E98" s="215">
        <f t="shared" si="19"/>
        <v>44286</v>
      </c>
      <c r="F98" s="215">
        <f t="shared" si="19"/>
        <v>44651</v>
      </c>
      <c r="G98" s="215">
        <f t="shared" si="19"/>
        <v>45016</v>
      </c>
      <c r="H98" s="215">
        <f t="shared" si="19"/>
        <v>45382</v>
      </c>
      <c r="I98" s="215">
        <f>I92</f>
        <v>45747</v>
      </c>
    </row>
    <row r="99" spans="2:9">
      <c r="B99" t="s">
        <v>90</v>
      </c>
      <c r="C99" s="155">
        <f>C93</f>
        <v>2155.92</v>
      </c>
      <c r="D99" s="155">
        <f t="shared" ref="D99:I99" si="20">D93</f>
        <v>2705.17</v>
      </c>
      <c r="E99" s="155">
        <f t="shared" si="20"/>
        <v>3139.29</v>
      </c>
      <c r="F99" s="155">
        <f t="shared" si="20"/>
        <v>3030.57</v>
      </c>
      <c r="G99" s="155">
        <f t="shared" si="20"/>
        <v>4106.45</v>
      </c>
      <c r="H99" s="155">
        <f t="shared" si="20"/>
        <v>5460.23</v>
      </c>
      <c r="I99" s="155">
        <f t="shared" si="20"/>
        <v>3667.23</v>
      </c>
    </row>
    <row r="100" spans="2:9">
      <c r="B100" t="s">
        <v>282</v>
      </c>
      <c r="C100" s="155">
        <f>C80</f>
        <v>19240.13</v>
      </c>
      <c r="D100" s="155">
        <f t="shared" ref="D100:I100" si="21">D80</f>
        <v>20211.25</v>
      </c>
      <c r="E100" s="155">
        <f t="shared" si="21"/>
        <v>21712.79</v>
      </c>
      <c r="F100" s="155">
        <f t="shared" si="21"/>
        <v>29101.279999999999</v>
      </c>
      <c r="G100" s="155">
        <f t="shared" si="21"/>
        <v>34488.589999999997</v>
      </c>
      <c r="H100" s="155">
        <f t="shared" si="21"/>
        <v>35494.730000000003</v>
      </c>
      <c r="I100" s="155">
        <f t="shared" si="21"/>
        <v>33905.620000000003</v>
      </c>
    </row>
    <row r="101" spans="2:9">
      <c r="B101" s="216" t="s">
        <v>8564</v>
      </c>
      <c r="C101" s="217">
        <f>C99/C100</f>
        <v>0.11205329693718286</v>
      </c>
      <c r="D101" s="217">
        <f t="shared" ref="D101:H101" si="22">D99/D100</f>
        <v>0.13384476467313997</v>
      </c>
      <c r="E101" s="217">
        <f t="shared" si="22"/>
        <v>0.14458252486207437</v>
      </c>
      <c r="F101" s="217">
        <f t="shared" si="22"/>
        <v>0.10413871829692715</v>
      </c>
      <c r="G101" s="217">
        <f t="shared" si="22"/>
        <v>0.11906691459407301</v>
      </c>
      <c r="H101" s="217">
        <f t="shared" si="22"/>
        <v>0.15383213226301479</v>
      </c>
      <c r="I101" s="217">
        <f>I99/I100</f>
        <v>0.10815994516543274</v>
      </c>
    </row>
    <row r="103" spans="2:9">
      <c r="C103" s="215">
        <f t="shared" ref="C103:H103" si="23">C98</f>
        <v>43555</v>
      </c>
      <c r="D103" s="215">
        <f t="shared" si="23"/>
        <v>43921</v>
      </c>
      <c r="E103" s="215">
        <f t="shared" si="23"/>
        <v>44286</v>
      </c>
      <c r="F103" s="215">
        <f t="shared" si="23"/>
        <v>44651</v>
      </c>
      <c r="G103" s="215">
        <f t="shared" si="23"/>
        <v>45016</v>
      </c>
      <c r="H103" s="215">
        <f t="shared" si="23"/>
        <v>45382</v>
      </c>
      <c r="I103" s="215">
        <f>I98</f>
        <v>45747</v>
      </c>
    </row>
    <row r="104" spans="2:9">
      <c r="B104" t="s">
        <v>282</v>
      </c>
      <c r="C104" s="155">
        <f>C100</f>
        <v>19240.13</v>
      </c>
      <c r="D104" s="155">
        <f t="shared" ref="D104:I104" si="24">D100</f>
        <v>20211.25</v>
      </c>
      <c r="E104" s="155">
        <f t="shared" si="24"/>
        <v>21712.79</v>
      </c>
      <c r="F104" s="155">
        <f t="shared" si="24"/>
        <v>29101.279999999999</v>
      </c>
      <c r="G104" s="155">
        <f t="shared" si="24"/>
        <v>34488.589999999997</v>
      </c>
      <c r="H104" s="155">
        <f t="shared" si="24"/>
        <v>35494.730000000003</v>
      </c>
      <c r="I104" s="155">
        <f t="shared" si="24"/>
        <v>33905.620000000003</v>
      </c>
    </row>
    <row r="105" spans="2:9">
      <c r="B105" t="s">
        <v>8565</v>
      </c>
      <c r="C105" s="155">
        <f>C85</f>
        <v>15006.16</v>
      </c>
      <c r="D105" s="155">
        <f t="shared" ref="D105:I105" si="25">D85</f>
        <v>16193.404999999999</v>
      </c>
      <c r="E105" s="155">
        <f t="shared" si="25"/>
        <v>18246.654999999999</v>
      </c>
      <c r="F105" s="155">
        <f t="shared" si="25"/>
        <v>21656.885000000002</v>
      </c>
      <c r="G105" s="155">
        <f t="shared" si="25"/>
        <v>24368.880000000001</v>
      </c>
      <c r="H105" s="155">
        <f t="shared" si="25"/>
        <v>27840.050000000003</v>
      </c>
      <c r="I105" s="155">
        <f t="shared" si="25"/>
        <v>30128.010000000002</v>
      </c>
    </row>
    <row r="106" spans="2:9">
      <c r="B106" s="216" t="s">
        <v>8566</v>
      </c>
      <c r="C106" s="218">
        <f t="shared" ref="C106:H106" si="26">C104/C105</f>
        <v>1.2821487975604686</v>
      </c>
      <c r="D106" s="218">
        <f t="shared" si="26"/>
        <v>1.2481161312274967</v>
      </c>
      <c r="E106" s="218">
        <f t="shared" si="26"/>
        <v>1.1899600228096603</v>
      </c>
      <c r="F106" s="218">
        <f t="shared" si="26"/>
        <v>1.343742648123218</v>
      </c>
      <c r="G106" s="218">
        <f t="shared" si="26"/>
        <v>1.415271854923164</v>
      </c>
      <c r="H106" s="218">
        <f t="shared" si="26"/>
        <v>1.2749520923992592</v>
      </c>
      <c r="I106" s="218">
        <f>I104/I105</f>
        <v>1.125385314197652</v>
      </c>
    </row>
    <row r="108" spans="2:9">
      <c r="B108" s="216" t="s">
        <v>8572</v>
      </c>
      <c r="C108" s="217">
        <f>C106*C101</f>
        <v>0.14366899993069515</v>
      </c>
      <c r="D108" s="217">
        <f t="shared" ref="D108:I108" si="27">D106*D101</f>
        <v>0.16705380986889418</v>
      </c>
      <c r="E108" s="217">
        <f t="shared" si="27"/>
        <v>0.1720474245827523</v>
      </c>
      <c r="F108" s="217">
        <f t="shared" si="27"/>
        <v>0.13993563709647069</v>
      </c>
      <c r="G108" s="217">
        <f t="shared" si="27"/>
        <v>0.16851205307753164</v>
      </c>
      <c r="H108" s="217">
        <f t="shared" si="27"/>
        <v>0.19612859890697029</v>
      </c>
      <c r="I108" s="217">
        <f t="shared" si="27"/>
        <v>0.12172161387360134</v>
      </c>
    </row>
    <row r="129" spans="2:10">
      <c r="B129" s="220"/>
      <c r="C129" s="220"/>
      <c r="D129" s="220"/>
      <c r="E129" s="220"/>
      <c r="F129" s="220"/>
      <c r="G129" s="220"/>
      <c r="H129" s="220"/>
      <c r="I129" s="220"/>
      <c r="J129" s="220"/>
    </row>
  </sheetData>
  <mergeCells count="5">
    <mergeCell ref="B67:I67"/>
    <mergeCell ref="B73:I73"/>
    <mergeCell ref="B9:I15"/>
    <mergeCell ref="B91:I91"/>
    <mergeCell ref="B97:I97"/>
  </mergeCells>
  <pageMargins left="0.25" right="0" top="0.5" bottom="0.6" header="0" footer="0"/>
  <pageSetup scale="73" orientation="portrait" r:id="rId1"/>
  <headerFooter>
    <oddFooter>&amp;RPage &amp;P</oddFooter>
  </headerFooter>
  <rowBreaks count="1" manualBreakCount="1">
    <brk id="62" max="9" man="1"/>
  </rowBreaks>
  <ignoredErrors>
    <ignoredError sqref="C76:I76" 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5D2E-251C-4D87-A92D-05E59C632417}">
  <sheetPr>
    <pageSetUpPr fitToPage="1"/>
  </sheetPr>
  <dimension ref="A2:P76"/>
  <sheetViews>
    <sheetView showGridLines="0" zoomScale="84" zoomScaleNormal="90" workbookViewId="0">
      <pane ySplit="3" topLeftCell="A10" activePane="bottomLeft" state="frozen"/>
      <selection activeCell="C4" sqref="C4"/>
      <selection pane="bottomLeft" activeCell="M21" sqref="M21"/>
    </sheetView>
  </sheetViews>
  <sheetFormatPr defaultRowHeight="15" outlineLevelRow="1"/>
  <cols>
    <col min="1" max="1" width="1.85546875" customWidth="1"/>
    <col min="2" max="2" width="28.42578125" bestFit="1" customWidth="1"/>
    <col min="3" max="13" width="13" customWidth="1"/>
  </cols>
  <sheetData>
    <row r="2" spans="1:16">
      <c r="B2" s="231" t="str">
        <f>"Historical Financial Statement - "&amp;'Data Sheet'!B1</f>
        <v>Historical Financial Statement - ASIAN PAINTS LTD</v>
      </c>
      <c r="C2" s="231"/>
      <c r="D2" s="231"/>
      <c r="E2" s="231"/>
      <c r="F2" s="231"/>
      <c r="G2" s="231"/>
      <c r="H2" s="231"/>
      <c r="I2" s="231"/>
      <c r="J2" s="231"/>
      <c r="K2" s="231"/>
      <c r="L2" s="231"/>
      <c r="M2" s="231"/>
    </row>
    <row r="3" spans="1:16">
      <c r="B3" s="55" t="s">
        <v>67</v>
      </c>
      <c r="C3" s="56">
        <f>'Data Sheet'!B16</f>
        <v>42460</v>
      </c>
      <c r="D3" s="56">
        <f>'Data Sheet'!C16</f>
        <v>42825</v>
      </c>
      <c r="E3" s="56">
        <f>'Data Sheet'!D16</f>
        <v>43190</v>
      </c>
      <c r="F3" s="56">
        <f>'Data Sheet'!E16</f>
        <v>43555</v>
      </c>
      <c r="G3" s="56">
        <f>'Data Sheet'!F16</f>
        <v>43921</v>
      </c>
      <c r="H3" s="56">
        <f>'Data Sheet'!G16</f>
        <v>44286</v>
      </c>
      <c r="I3" s="56">
        <f>'Data Sheet'!H16</f>
        <v>44651</v>
      </c>
      <c r="J3" s="56">
        <f>'Data Sheet'!I16</f>
        <v>45016</v>
      </c>
      <c r="K3" s="56">
        <f>'Data Sheet'!J16</f>
        <v>45382</v>
      </c>
      <c r="L3" s="56">
        <f>'Data Sheet'!K16</f>
        <v>45747</v>
      </c>
      <c r="M3" s="57" t="s">
        <v>68</v>
      </c>
    </row>
    <row r="4" spans="1:16">
      <c r="B4" s="58"/>
      <c r="C4" s="59"/>
      <c r="D4" s="59"/>
      <c r="E4" s="59"/>
      <c r="F4" s="59"/>
      <c r="G4" s="59"/>
      <c r="H4" s="59"/>
      <c r="I4" s="59"/>
      <c r="J4" s="59"/>
      <c r="K4" s="59"/>
      <c r="L4" s="59"/>
      <c r="M4" s="60"/>
    </row>
    <row r="5" spans="1:16">
      <c r="A5" t="s">
        <v>69</v>
      </c>
      <c r="B5" s="61" t="s">
        <v>70</v>
      </c>
      <c r="C5" s="7"/>
      <c r="D5" s="7"/>
      <c r="E5" s="7"/>
      <c r="F5" s="7"/>
      <c r="G5" s="7"/>
      <c r="H5" s="7"/>
      <c r="I5" s="7"/>
      <c r="J5" s="7"/>
      <c r="K5" s="7"/>
      <c r="L5" s="7"/>
      <c r="M5" s="7"/>
    </row>
    <row r="6" spans="1:16" outlineLevel="1">
      <c r="B6" t="s">
        <v>71</v>
      </c>
      <c r="C6" s="62">
        <f>IFERROR('Data Sheet'!B17,0)</f>
        <v>14271.49</v>
      </c>
      <c r="D6" s="62">
        <f>IFERROR('Data Sheet'!C17,0)</f>
        <v>15061.99</v>
      </c>
      <c r="E6" s="62">
        <f>IFERROR('Data Sheet'!D17,0)</f>
        <v>16824.55</v>
      </c>
      <c r="F6" s="62">
        <f>IFERROR('Data Sheet'!E17,0)</f>
        <v>19240.13</v>
      </c>
      <c r="G6" s="62">
        <f>IFERROR('Data Sheet'!F17,0)</f>
        <v>20211.25</v>
      </c>
      <c r="H6" s="62">
        <f>IFERROR('Data Sheet'!G17,0)</f>
        <v>21712.79</v>
      </c>
      <c r="I6" s="62">
        <f>IFERROR('Data Sheet'!H17,0)</f>
        <v>29101.279999999999</v>
      </c>
      <c r="J6" s="62">
        <f>IFERROR('Data Sheet'!I17,0)</f>
        <v>34488.589999999997</v>
      </c>
      <c r="K6" s="62">
        <f>IFERROR('Data Sheet'!J17,0)</f>
        <v>35494.730000000003</v>
      </c>
      <c r="L6" s="62">
        <f>IFERROR('Data Sheet'!K17,0)</f>
        <v>33905.620000000003</v>
      </c>
      <c r="M6" s="62">
        <f>IFERROR(SUM('Data Sheet'!H42:K42),0)</f>
        <v>34695.75</v>
      </c>
      <c r="O6" s="74"/>
      <c r="P6" s="75"/>
    </row>
    <row r="7" spans="1:16" outlineLevel="1">
      <c r="B7" s="63" t="s">
        <v>72</v>
      </c>
      <c r="C7" s="64" t="s">
        <v>73</v>
      </c>
      <c r="D7" s="65">
        <f>D6/C6-1</f>
        <v>5.5390151974320734E-2</v>
      </c>
      <c r="E7" s="65">
        <f t="shared" ref="E7:M7" si="0">E6/D6-1</f>
        <v>0.11702039371955486</v>
      </c>
      <c r="F7" s="65">
        <f t="shared" si="0"/>
        <v>0.14357471670861943</v>
      </c>
      <c r="G7" s="65">
        <f t="shared" si="0"/>
        <v>5.0473671435691925E-2</v>
      </c>
      <c r="H7" s="65">
        <f t="shared" si="0"/>
        <v>7.4292287711052118E-2</v>
      </c>
      <c r="I7" s="65">
        <f t="shared" si="0"/>
        <v>0.34028284711453471</v>
      </c>
      <c r="J7" s="65">
        <f t="shared" si="0"/>
        <v>0.18512278497715551</v>
      </c>
      <c r="K7" s="65">
        <f t="shared" si="0"/>
        <v>2.9173126532572313E-2</v>
      </c>
      <c r="L7" s="65">
        <f t="shared" si="0"/>
        <v>-4.4770308155605121E-2</v>
      </c>
      <c r="M7" s="65">
        <f t="shared" si="0"/>
        <v>2.3303806271644634E-2</v>
      </c>
      <c r="O7" s="74"/>
      <c r="P7" s="79"/>
    </row>
    <row r="8" spans="1:16" outlineLevel="1">
      <c r="O8" s="74"/>
      <c r="P8" s="79"/>
    </row>
    <row r="9" spans="1:16" outlineLevel="1">
      <c r="B9" t="s">
        <v>74</v>
      </c>
      <c r="C9" s="62">
        <f>IFERROR(SUM('Data Sheet'!B18,'Data Sheet'!B20:B22)-1*'Data Sheet'!B19,0)</f>
        <v>9413.8399999999983</v>
      </c>
      <c r="D9" s="62">
        <f>IFERROR(SUM('Data Sheet'!C18,'Data Sheet'!C20:C22)-1*'Data Sheet'!C19,0)</f>
        <v>9732.66</v>
      </c>
      <c r="E9" s="62">
        <f>IFERROR(SUM('Data Sheet'!D18,'Data Sheet'!D20:D22)-1*'Data Sheet'!D19,0)</f>
        <v>11194.169999999998</v>
      </c>
      <c r="F9" s="62">
        <f>IFERROR(SUM('Data Sheet'!E18,'Data Sheet'!E20:E22)-1*'Data Sheet'!E19,0)</f>
        <v>12905.81</v>
      </c>
      <c r="G9" s="62">
        <f>IFERROR(SUM('Data Sheet'!F18,'Data Sheet'!F20:F22)-1*'Data Sheet'!F19,0)</f>
        <v>13158.020000000002</v>
      </c>
      <c r="H9" s="62">
        <f>IFERROR(SUM('Data Sheet'!G18,'Data Sheet'!G20:G22)-1*'Data Sheet'!G19,0)</f>
        <v>14035.069999999998</v>
      </c>
      <c r="I9" s="62">
        <f>IFERROR(SUM('Data Sheet'!H18,'Data Sheet'!H20:H22)-1*'Data Sheet'!H19,0)</f>
        <v>20590.57</v>
      </c>
      <c r="J9" s="62">
        <f>IFERROR(SUM('Data Sheet'!I18,'Data Sheet'!I20:I22)-1*'Data Sheet'!I19,0)</f>
        <v>23766.7</v>
      </c>
      <c r="K9" s="62">
        <f>IFERROR(SUM('Data Sheet'!J18,'Data Sheet'!J20:J22)-1*'Data Sheet'!J19,0)</f>
        <v>23009.99</v>
      </c>
      <c r="L9" s="62">
        <f>IFERROR(SUM('Data Sheet'!K18,'Data Sheet'!K20:K22)-1*'Data Sheet'!K19,0)</f>
        <v>22741.27</v>
      </c>
      <c r="M9" s="62">
        <f>IFERROR(SUM('Data Sheet'!H43:K43),0)</f>
        <v>28350.240000000002</v>
      </c>
      <c r="O9" s="74"/>
      <c r="P9" s="75"/>
    </row>
    <row r="10" spans="1:16" outlineLevel="1">
      <c r="B10" s="63" t="s">
        <v>75</v>
      </c>
      <c r="C10" s="65">
        <f>C9/C6</f>
        <v>0.65962558919916547</v>
      </c>
      <c r="D10" s="65">
        <f t="shared" ref="D10:M10" si="1">D9/D6</f>
        <v>0.64617357998511482</v>
      </c>
      <c r="E10" s="65">
        <f t="shared" si="1"/>
        <v>0.66534736441687881</v>
      </c>
      <c r="F10" s="65">
        <f t="shared" si="1"/>
        <v>0.67077561326248825</v>
      </c>
      <c r="G10" s="65">
        <f t="shared" si="1"/>
        <v>0.65102455315727636</v>
      </c>
      <c r="H10" s="65">
        <f t="shared" si="1"/>
        <v>0.64639643270164715</v>
      </c>
      <c r="I10" s="65">
        <f t="shared" si="1"/>
        <v>0.70754860267314701</v>
      </c>
      <c r="J10" s="65">
        <f t="shared" si="1"/>
        <v>0.68911776329504926</v>
      </c>
      <c r="K10" s="65">
        <f t="shared" si="1"/>
        <v>0.64826496778535858</v>
      </c>
      <c r="L10" s="65">
        <f t="shared" si="1"/>
        <v>0.67072272974214886</v>
      </c>
      <c r="M10" s="65">
        <f t="shared" si="1"/>
        <v>0.81710987656989698</v>
      </c>
      <c r="O10" s="74"/>
      <c r="P10" s="75"/>
    </row>
    <row r="11" spans="1:16" outlineLevel="1">
      <c r="O11" s="74"/>
      <c r="P11" s="75"/>
    </row>
    <row r="12" spans="1:16" outlineLevel="1">
      <c r="B12" s="66" t="s">
        <v>76</v>
      </c>
      <c r="C12" s="67">
        <f>C6-C9</f>
        <v>4857.6500000000015</v>
      </c>
      <c r="D12" s="67">
        <f t="shared" ref="D12:M12" si="2">D6-D9</f>
        <v>5329.33</v>
      </c>
      <c r="E12" s="67">
        <f t="shared" si="2"/>
        <v>5630.380000000001</v>
      </c>
      <c r="F12" s="67">
        <f t="shared" si="2"/>
        <v>6334.3200000000015</v>
      </c>
      <c r="G12" s="67">
        <f t="shared" si="2"/>
        <v>7053.2299999999977</v>
      </c>
      <c r="H12" s="67">
        <f t="shared" si="2"/>
        <v>7677.720000000003</v>
      </c>
      <c r="I12" s="67">
        <f t="shared" si="2"/>
        <v>8510.7099999999991</v>
      </c>
      <c r="J12" s="67">
        <f t="shared" si="2"/>
        <v>10721.889999999996</v>
      </c>
      <c r="K12" s="67">
        <f t="shared" si="2"/>
        <v>12484.740000000002</v>
      </c>
      <c r="L12" s="67">
        <f t="shared" si="2"/>
        <v>11164.350000000002</v>
      </c>
      <c r="M12" s="67">
        <f t="shared" si="2"/>
        <v>6345.5099999999984</v>
      </c>
      <c r="O12" s="74"/>
      <c r="P12" s="75"/>
    </row>
    <row r="13" spans="1:16" outlineLevel="1">
      <c r="B13" s="63" t="s">
        <v>77</v>
      </c>
      <c r="C13" s="65">
        <f>C12/C6</f>
        <v>0.34037441080083447</v>
      </c>
      <c r="D13" s="65">
        <f t="shared" ref="D13:M13" si="3">D12/D6</f>
        <v>0.35382642001488518</v>
      </c>
      <c r="E13" s="65">
        <f t="shared" si="3"/>
        <v>0.33465263558312119</v>
      </c>
      <c r="F13" s="65">
        <f t="shared" si="3"/>
        <v>0.3292243867375117</v>
      </c>
      <c r="G13" s="65">
        <f t="shared" si="3"/>
        <v>0.34897544684272364</v>
      </c>
      <c r="H13" s="65">
        <f t="shared" si="3"/>
        <v>0.35360356729835285</v>
      </c>
      <c r="I13" s="65">
        <f t="shared" si="3"/>
        <v>0.29245139732685294</v>
      </c>
      <c r="J13" s="65">
        <f t="shared" si="3"/>
        <v>0.31088223670495074</v>
      </c>
      <c r="K13" s="65">
        <f t="shared" si="3"/>
        <v>0.35173503221464147</v>
      </c>
      <c r="L13" s="65">
        <f t="shared" si="3"/>
        <v>0.32927727025785108</v>
      </c>
      <c r="M13" s="65">
        <f t="shared" si="3"/>
        <v>0.18289012343010305</v>
      </c>
      <c r="O13" s="74"/>
      <c r="P13" s="75"/>
    </row>
    <row r="14" spans="1:16" outlineLevel="1">
      <c r="O14" s="74"/>
      <c r="P14" s="75"/>
    </row>
    <row r="15" spans="1:16" outlineLevel="1">
      <c r="B15" t="s">
        <v>78</v>
      </c>
      <c r="C15" s="68">
        <f>IFERROR(SUM('Data Sheet'!B23:B24),0)</f>
        <v>2132.61</v>
      </c>
      <c r="D15" s="68">
        <f>IFERROR(SUM('Data Sheet'!C23:C24),0)</f>
        <v>2335.5699999999997</v>
      </c>
      <c r="E15" s="68">
        <f>IFERROR(SUM('Data Sheet'!D23:D24),0)</f>
        <v>2426.37</v>
      </c>
      <c r="F15" s="68">
        <f>IFERROR(SUM('Data Sheet'!E23:E24),0)</f>
        <v>2569.38</v>
      </c>
      <c r="G15" s="68">
        <f>IFERROR(SUM('Data Sheet'!F23:F24),0)</f>
        <v>2891.46</v>
      </c>
      <c r="H15" s="68">
        <f>IFERROR(SUM('Data Sheet'!G23:G24),0)</f>
        <v>2822.12</v>
      </c>
      <c r="I15" s="68">
        <f>IFERROR(SUM('Data Sheet'!H23:H24),0)</f>
        <v>3707.1</v>
      </c>
      <c r="J15" s="68">
        <f>IFERROR(SUM('Data Sheet'!I23:I24),0)</f>
        <v>4462.05</v>
      </c>
      <c r="K15" s="68">
        <f>IFERROR(SUM('Data Sheet'!J23:J24),0)</f>
        <v>4899.76</v>
      </c>
      <c r="L15" s="68">
        <f>IFERROR(SUM('Data Sheet'!K23:K24),0)</f>
        <v>5158.1400000000003</v>
      </c>
      <c r="M15" s="68"/>
      <c r="O15" s="74"/>
      <c r="P15" s="75"/>
    </row>
    <row r="16" spans="1:16" outlineLevel="1">
      <c r="B16" s="63" t="s">
        <v>79</v>
      </c>
      <c r="C16" s="65">
        <f>C15/C6</f>
        <v>0.14943148893353111</v>
      </c>
      <c r="D16" s="65">
        <f t="shared" ref="D16:M16" si="4">D15/D6</f>
        <v>0.15506383950593511</v>
      </c>
      <c r="E16" s="65">
        <f t="shared" si="4"/>
        <v>0.14421604143944414</v>
      </c>
      <c r="F16" s="65">
        <f t="shared" si="4"/>
        <v>0.13354275672773522</v>
      </c>
      <c r="G16" s="65">
        <f t="shared" si="4"/>
        <v>0.14306190859051271</v>
      </c>
      <c r="H16" s="65">
        <f t="shared" si="4"/>
        <v>0.12997500551518251</v>
      </c>
      <c r="I16" s="65">
        <f t="shared" si="4"/>
        <v>0.1273861493377611</v>
      </c>
      <c r="J16" s="65">
        <f t="shared" si="4"/>
        <v>0.12937757095897515</v>
      </c>
      <c r="K16" s="65">
        <f t="shared" si="4"/>
        <v>0.1380419008681007</v>
      </c>
      <c r="L16" s="65">
        <f t="shared" si="4"/>
        <v>0.15213230137068723</v>
      </c>
      <c r="M16" s="65">
        <f t="shared" si="4"/>
        <v>0</v>
      </c>
      <c r="O16" s="74"/>
      <c r="P16" s="79"/>
    </row>
    <row r="17" spans="2:16" outlineLevel="1">
      <c r="O17" s="74"/>
      <c r="P17" s="75"/>
    </row>
    <row r="18" spans="2:16" outlineLevel="1">
      <c r="B18" s="66" t="s">
        <v>80</v>
      </c>
      <c r="C18" s="67">
        <f t="shared" ref="C18:L18" si="5">C12-C15</f>
        <v>2725.0400000000013</v>
      </c>
      <c r="D18" s="67">
        <f t="shared" si="5"/>
        <v>2993.76</v>
      </c>
      <c r="E18" s="67">
        <f t="shared" si="5"/>
        <v>3204.0100000000011</v>
      </c>
      <c r="F18" s="67">
        <f t="shared" si="5"/>
        <v>3764.9400000000014</v>
      </c>
      <c r="G18" s="67">
        <f t="shared" si="5"/>
        <v>4161.7699999999977</v>
      </c>
      <c r="H18" s="67">
        <f t="shared" si="5"/>
        <v>4855.6000000000031</v>
      </c>
      <c r="I18" s="67">
        <f t="shared" si="5"/>
        <v>4803.6099999999988</v>
      </c>
      <c r="J18" s="67">
        <f t="shared" si="5"/>
        <v>6259.8399999999956</v>
      </c>
      <c r="K18" s="67">
        <f t="shared" si="5"/>
        <v>7584.9800000000014</v>
      </c>
      <c r="L18" s="67">
        <f t="shared" si="5"/>
        <v>6006.2100000000019</v>
      </c>
      <c r="M18" s="67">
        <f>IFERROR(SUM('Data Sheet'!H51:K51),0)</f>
        <v>6755.97</v>
      </c>
      <c r="O18" s="74"/>
      <c r="P18" s="75"/>
    </row>
    <row r="19" spans="2:16" outlineLevel="1">
      <c r="B19" s="63" t="s">
        <v>81</v>
      </c>
      <c r="C19" s="65">
        <f>C18/C6</f>
        <v>0.19094292186730338</v>
      </c>
      <c r="D19" s="65">
        <f t="shared" ref="D19:M19" si="6">D18/D6</f>
        <v>0.19876258050895004</v>
      </c>
      <c r="E19" s="65">
        <f t="shared" si="6"/>
        <v>0.19043659414367703</v>
      </c>
      <c r="F19" s="65">
        <f t="shared" si="6"/>
        <v>0.19568163000977651</v>
      </c>
      <c r="G19" s="65">
        <f t="shared" si="6"/>
        <v>0.2059135382522109</v>
      </c>
      <c r="H19" s="65">
        <f t="shared" si="6"/>
        <v>0.22362856178317034</v>
      </c>
      <c r="I19" s="65">
        <f t="shared" si="6"/>
        <v>0.16506524798909186</v>
      </c>
      <c r="J19" s="65">
        <f t="shared" si="6"/>
        <v>0.1815046657459756</v>
      </c>
      <c r="K19" s="65">
        <f t="shared" si="6"/>
        <v>0.21369313134654075</v>
      </c>
      <c r="L19" s="65">
        <f t="shared" si="6"/>
        <v>0.17714496888716388</v>
      </c>
      <c r="M19" s="65">
        <f t="shared" si="6"/>
        <v>0.19472039082596573</v>
      </c>
      <c r="O19" s="74"/>
      <c r="P19" s="75"/>
    </row>
    <row r="20" spans="2:16" outlineLevel="1">
      <c r="O20" s="74"/>
      <c r="P20" s="75"/>
    </row>
    <row r="21" spans="2:16" outlineLevel="1">
      <c r="B21" t="s">
        <v>82</v>
      </c>
      <c r="C21" s="68">
        <f>IFERROR('Data Sheet'!B27,0)</f>
        <v>49</v>
      </c>
      <c r="D21" s="68">
        <f>IFERROR('Data Sheet'!C27,0)</f>
        <v>37.33</v>
      </c>
      <c r="E21" s="68">
        <f>IFERROR('Data Sheet'!D27,0)</f>
        <v>41.47</v>
      </c>
      <c r="F21" s="68">
        <f>IFERROR('Data Sheet'!E27,0)</f>
        <v>110.47</v>
      </c>
      <c r="G21" s="68">
        <f>IFERROR('Data Sheet'!F27,0)</f>
        <v>102.33</v>
      </c>
      <c r="H21" s="68">
        <f>IFERROR('Data Sheet'!G27,0)</f>
        <v>91.63</v>
      </c>
      <c r="I21" s="68">
        <f>IFERROR('Data Sheet'!H27,0)</f>
        <v>95.41</v>
      </c>
      <c r="J21" s="68">
        <f>IFERROR('Data Sheet'!I27,0)</f>
        <v>144.44999999999999</v>
      </c>
      <c r="K21" s="68">
        <f>IFERROR('Data Sheet'!J27,0)</f>
        <v>205.17</v>
      </c>
      <c r="L21" s="68">
        <f>IFERROR('Data Sheet'!K27,0)</f>
        <v>227.02</v>
      </c>
      <c r="M21" s="68">
        <f>IFERROR(SUM('Data Sheet'!H46:K46),0)</f>
        <v>189.1</v>
      </c>
      <c r="O21" s="74"/>
      <c r="P21" s="80"/>
    </row>
    <row r="22" spans="2:16" outlineLevel="1">
      <c r="B22" s="63" t="s">
        <v>83</v>
      </c>
      <c r="C22" s="65">
        <f>C21/C6</f>
        <v>3.4334186549547386E-3</v>
      </c>
      <c r="D22" s="65">
        <f t="shared" ref="D22:M22" si="7">D21/D6</f>
        <v>2.4784241657310885E-3</v>
      </c>
      <c r="E22" s="65">
        <f t="shared" si="7"/>
        <v>2.4648504714836358E-3</v>
      </c>
      <c r="F22" s="65">
        <f t="shared" si="7"/>
        <v>5.7416451967840128E-3</v>
      </c>
      <c r="G22" s="65">
        <f t="shared" si="7"/>
        <v>5.0630218319005502E-3</v>
      </c>
      <c r="H22" s="65">
        <f t="shared" si="7"/>
        <v>4.2200933182700148E-3</v>
      </c>
      <c r="I22" s="65">
        <f t="shared" si="7"/>
        <v>3.2785499469439143E-3</v>
      </c>
      <c r="J22" s="65">
        <f t="shared" si="7"/>
        <v>4.1883417095335005E-3</v>
      </c>
      <c r="K22" s="65">
        <f t="shared" si="7"/>
        <v>5.7802947085384216E-3</v>
      </c>
      <c r="L22" s="65">
        <f t="shared" si="7"/>
        <v>6.6956451467337858E-3</v>
      </c>
      <c r="M22" s="65">
        <f t="shared" si="7"/>
        <v>5.4502352593617373E-3</v>
      </c>
      <c r="O22" s="74"/>
      <c r="P22" s="74"/>
    </row>
    <row r="23" spans="2:16" outlineLevel="1">
      <c r="O23" s="74"/>
      <c r="P23" s="74"/>
    </row>
    <row r="24" spans="2:16" outlineLevel="1">
      <c r="B24" t="s">
        <v>84</v>
      </c>
      <c r="C24" s="68">
        <f>IFERROR('Data Sheet'!B26,0)</f>
        <v>275.58</v>
      </c>
      <c r="D24" s="68">
        <f>IFERROR('Data Sheet'!C26,0)</f>
        <v>334.79</v>
      </c>
      <c r="E24" s="68">
        <f>IFERROR('Data Sheet'!D26,0)</f>
        <v>360.47</v>
      </c>
      <c r="F24" s="68">
        <f>IFERROR('Data Sheet'!E26,0)</f>
        <v>622.14</v>
      </c>
      <c r="G24" s="68">
        <f>IFERROR('Data Sheet'!F26,0)</f>
        <v>780.5</v>
      </c>
      <c r="H24" s="68">
        <f>IFERROR('Data Sheet'!G26,0)</f>
        <v>791.27</v>
      </c>
      <c r="I24" s="68">
        <f>IFERROR('Data Sheet'!H26,0)</f>
        <v>816.36</v>
      </c>
      <c r="J24" s="68">
        <f>IFERROR('Data Sheet'!I26,0)</f>
        <v>858.02</v>
      </c>
      <c r="K24" s="68">
        <f>IFERROR('Data Sheet'!J26,0)</f>
        <v>853</v>
      </c>
      <c r="L24" s="68">
        <f>IFERROR('Data Sheet'!K26,0)</f>
        <v>1026.3399999999999</v>
      </c>
      <c r="M24" s="68">
        <f>IFERROR(SUM('Data Sheet'!H45:K45),0)</f>
        <v>1219.97</v>
      </c>
      <c r="N24" s="133"/>
    </row>
    <row r="25" spans="2:16" outlineLevel="1">
      <c r="B25" s="63" t="s">
        <v>85</v>
      </c>
      <c r="C25" s="65">
        <f>C24/C6</f>
        <v>1.9309826794539322E-2</v>
      </c>
      <c r="D25" s="65">
        <f t="shared" ref="D25:M25" si="8">D24/D6</f>
        <v>2.2227474590011016E-2</v>
      </c>
      <c r="E25" s="65">
        <f t="shared" si="8"/>
        <v>2.1425238713665449E-2</v>
      </c>
      <c r="F25" s="65">
        <f t="shared" si="8"/>
        <v>3.2335540352378074E-2</v>
      </c>
      <c r="G25" s="65">
        <f t="shared" si="8"/>
        <v>3.8617106809326486E-2</v>
      </c>
      <c r="H25" s="65">
        <f t="shared" si="8"/>
        <v>3.6442576011650275E-2</v>
      </c>
      <c r="I25" s="65">
        <f t="shared" si="8"/>
        <v>2.8052374328551871E-2</v>
      </c>
      <c r="J25" s="65">
        <f t="shared" si="8"/>
        <v>2.4878372818372688E-2</v>
      </c>
      <c r="K25" s="65">
        <f t="shared" si="8"/>
        <v>2.4031736542297968E-2</v>
      </c>
      <c r="L25" s="65">
        <f t="shared" si="8"/>
        <v>3.0270497929251843E-2</v>
      </c>
      <c r="M25" s="65">
        <f t="shared" si="8"/>
        <v>3.5161943465698252E-2</v>
      </c>
    </row>
    <row r="26" spans="2:16" outlineLevel="1"/>
    <row r="27" spans="2:16" outlineLevel="1">
      <c r="B27" s="66" t="s">
        <v>86</v>
      </c>
      <c r="C27" s="67">
        <f>IFERROR(C18-SUM(C24,C21),0)</f>
        <v>2400.4600000000014</v>
      </c>
      <c r="D27" s="67">
        <f t="shared" ref="D27:M27" si="9">IFERROR(D18-SUM(D24,D21),0)</f>
        <v>2621.6400000000003</v>
      </c>
      <c r="E27" s="67">
        <f t="shared" si="9"/>
        <v>2802.0700000000011</v>
      </c>
      <c r="F27" s="67">
        <f t="shared" si="9"/>
        <v>3032.3300000000013</v>
      </c>
      <c r="G27" s="67">
        <f t="shared" si="9"/>
        <v>3278.9399999999978</v>
      </c>
      <c r="H27" s="67">
        <f t="shared" si="9"/>
        <v>3972.700000000003</v>
      </c>
      <c r="I27" s="69">
        <f t="shared" si="9"/>
        <v>3891.8399999999988</v>
      </c>
      <c r="J27" s="69">
        <f t="shared" si="9"/>
        <v>5257.3699999999953</v>
      </c>
      <c r="K27" s="69">
        <f t="shared" si="9"/>
        <v>6526.8100000000013</v>
      </c>
      <c r="L27" s="69">
        <f t="shared" si="9"/>
        <v>4752.8500000000022</v>
      </c>
      <c r="M27" s="69">
        <f t="shared" si="9"/>
        <v>5346.9000000000005</v>
      </c>
    </row>
    <row r="28" spans="2:16" outlineLevel="1">
      <c r="B28" s="63" t="s">
        <v>87</v>
      </c>
      <c r="C28" s="65">
        <f>C27/C6</f>
        <v>0.16819967641780931</v>
      </c>
      <c r="D28" s="65">
        <f t="shared" ref="D28:M28" si="10">D27/D6</f>
        <v>0.17405668175320793</v>
      </c>
      <c r="E28" s="65">
        <f t="shared" si="10"/>
        <v>0.16654650495852794</v>
      </c>
      <c r="F28" s="65">
        <f t="shared" si="10"/>
        <v>0.15760444446061442</v>
      </c>
      <c r="G28" s="65">
        <f t="shared" si="10"/>
        <v>0.16223340961098387</v>
      </c>
      <c r="H28" s="65">
        <f t="shared" si="10"/>
        <v>0.18296589245325004</v>
      </c>
      <c r="I28" s="65">
        <f t="shared" si="10"/>
        <v>0.13373432371359606</v>
      </c>
      <c r="J28" s="65">
        <f t="shared" si="10"/>
        <v>0.15243795121806938</v>
      </c>
      <c r="K28" s="65">
        <f t="shared" si="10"/>
        <v>0.18388110009570438</v>
      </c>
      <c r="L28" s="65">
        <f t="shared" si="10"/>
        <v>0.14017882581117827</v>
      </c>
      <c r="M28" s="65">
        <f t="shared" si="10"/>
        <v>0.15410821210090575</v>
      </c>
    </row>
    <row r="29" spans="2:16" outlineLevel="1"/>
    <row r="30" spans="2:16" outlineLevel="1">
      <c r="B30" t="s">
        <v>88</v>
      </c>
      <c r="C30" s="62">
        <f>IFERROR('Data Sheet'!B29,0)</f>
        <v>844.49</v>
      </c>
      <c r="D30" s="62">
        <f>IFERROR('Data Sheet'!C29,0)</f>
        <v>943.29</v>
      </c>
      <c r="E30" s="62">
        <f>IFERROR('Data Sheet'!D29,0)</f>
        <v>1040.96</v>
      </c>
      <c r="F30" s="62">
        <f>IFERROR('Data Sheet'!E29,0)</f>
        <v>1098.06</v>
      </c>
      <c r="G30" s="62">
        <f>IFERROR('Data Sheet'!F29,0)</f>
        <v>854.85</v>
      </c>
      <c r="H30" s="62">
        <f>IFERROR('Data Sheet'!G29,0)</f>
        <v>1097.5999999999999</v>
      </c>
      <c r="I30" s="62">
        <f>IFERROR('Data Sheet'!H29,0)</f>
        <v>1102.9100000000001</v>
      </c>
      <c r="J30" s="62">
        <f>IFERROR('Data Sheet'!I29,0)</f>
        <v>1493.5</v>
      </c>
      <c r="K30" s="62">
        <f>IFERROR('Data Sheet'!J29,0)</f>
        <v>1790.08</v>
      </c>
      <c r="L30" s="62">
        <f>IFERROR('Data Sheet'!K29,0)</f>
        <v>1393.36</v>
      </c>
      <c r="M30" s="62">
        <f>IFERROR(SUM('Data Sheet'!H48:K48),0)</f>
        <v>1501.5400000000002</v>
      </c>
    </row>
    <row r="31" spans="2:16" outlineLevel="1">
      <c r="B31" s="63" t="s">
        <v>89</v>
      </c>
      <c r="C31" s="65">
        <f>C30/C27</f>
        <v>0.35180340434749985</v>
      </c>
      <c r="D31" s="65">
        <f t="shared" ref="D31:M31" si="11">D30/D27</f>
        <v>0.35980912711127377</v>
      </c>
      <c r="E31" s="65">
        <f t="shared" si="11"/>
        <v>0.37149678630441052</v>
      </c>
      <c r="F31" s="65">
        <f t="shared" si="11"/>
        <v>0.36211757955103813</v>
      </c>
      <c r="G31" s="65">
        <f t="shared" si="11"/>
        <v>0.26070925360024905</v>
      </c>
      <c r="H31" s="65">
        <f t="shared" si="11"/>
        <v>0.2762856495582347</v>
      </c>
      <c r="I31" s="65">
        <f t="shared" si="11"/>
        <v>0.2833903757605658</v>
      </c>
      <c r="J31" s="65">
        <f t="shared" si="11"/>
        <v>0.28407739991668862</v>
      </c>
      <c r="K31" s="65">
        <f t="shared" si="11"/>
        <v>0.27426568262290452</v>
      </c>
      <c r="L31" s="65">
        <f t="shared" si="11"/>
        <v>0.29316304953869765</v>
      </c>
      <c r="M31" s="65">
        <f t="shared" si="11"/>
        <v>0.28082440292505939</v>
      </c>
    </row>
    <row r="32" spans="2:16" outlineLevel="1"/>
    <row r="33" spans="1:13" outlineLevel="1">
      <c r="B33" s="66" t="s">
        <v>90</v>
      </c>
      <c r="C33" s="69">
        <f>IFERROR(C27-C30,0)</f>
        <v>1555.9700000000014</v>
      </c>
      <c r="D33" s="69">
        <f t="shared" ref="D33:M33" si="12">IFERROR(D27-D30,0)</f>
        <v>1678.3500000000004</v>
      </c>
      <c r="E33" s="69">
        <f t="shared" si="12"/>
        <v>1761.110000000001</v>
      </c>
      <c r="F33" s="69">
        <f t="shared" si="12"/>
        <v>1934.2700000000013</v>
      </c>
      <c r="G33" s="69">
        <f t="shared" si="12"/>
        <v>2424.0899999999979</v>
      </c>
      <c r="H33" s="69">
        <f t="shared" si="12"/>
        <v>2875.1000000000031</v>
      </c>
      <c r="I33" s="69">
        <f t="shared" si="12"/>
        <v>2788.9299999999985</v>
      </c>
      <c r="J33" s="69">
        <f t="shared" si="12"/>
        <v>3763.8699999999953</v>
      </c>
      <c r="K33" s="69">
        <f t="shared" si="12"/>
        <v>4736.7300000000014</v>
      </c>
      <c r="L33" s="69">
        <f t="shared" si="12"/>
        <v>3359.4900000000025</v>
      </c>
      <c r="M33" s="69">
        <f t="shared" si="12"/>
        <v>3845.3600000000006</v>
      </c>
    </row>
    <row r="34" spans="1:13" outlineLevel="1">
      <c r="B34" s="63" t="s">
        <v>91</v>
      </c>
      <c r="C34" s="65">
        <f>C33/C6</f>
        <v>0.10902645764387611</v>
      </c>
      <c r="D34" s="65">
        <f t="shared" ref="D34:M34" si="13">D33/D6</f>
        <v>0.1114294990237014</v>
      </c>
      <c r="E34" s="65">
        <f t="shared" si="13"/>
        <v>0.10467501359620324</v>
      </c>
      <c r="F34" s="65">
        <f t="shared" si="13"/>
        <v>0.1005331045060507</v>
      </c>
      <c r="G34" s="65">
        <f t="shared" si="13"/>
        <v>0.1199376584822808</v>
      </c>
      <c r="H34" s="65">
        <f t="shared" si="13"/>
        <v>0.13241504200980173</v>
      </c>
      <c r="I34" s="65">
        <f t="shared" si="13"/>
        <v>9.5835303464314917E-2</v>
      </c>
      <c r="J34" s="65">
        <f t="shared" si="13"/>
        <v>0.10913377438741322</v>
      </c>
      <c r="K34" s="65">
        <f t="shared" si="13"/>
        <v>0.13344882465650537</v>
      </c>
      <c r="L34" s="65">
        <f t="shared" si="13"/>
        <v>9.9083573755619339E-2</v>
      </c>
      <c r="M34" s="65">
        <f t="shared" si="13"/>
        <v>0.11083086545182048</v>
      </c>
    </row>
    <row r="35" spans="1:13" outlineLevel="1"/>
    <row r="36" spans="1:13" outlineLevel="1">
      <c r="B36" t="s">
        <v>92</v>
      </c>
      <c r="C36">
        <f>IFERROR('Data Sheet'!B93,0)</f>
        <v>95.92</v>
      </c>
      <c r="D36">
        <f>IFERROR('Data Sheet'!C93,0)</f>
        <v>95.92</v>
      </c>
      <c r="E36">
        <f>IFERROR('Data Sheet'!D93,0)</f>
        <v>95.92</v>
      </c>
      <c r="F36">
        <f>IFERROR('Data Sheet'!E93,0)</f>
        <v>95.92</v>
      </c>
      <c r="G36">
        <f>IFERROR('Data Sheet'!F93,0)</f>
        <v>95.92</v>
      </c>
      <c r="H36">
        <f>IFERROR('Data Sheet'!G93,0)</f>
        <v>95.92</v>
      </c>
      <c r="I36">
        <f>IFERROR('Data Sheet'!H93,0)</f>
        <v>95.92</v>
      </c>
      <c r="J36">
        <f>IFERROR('Data Sheet'!I93,0)</f>
        <v>95.92</v>
      </c>
      <c r="K36">
        <f>IFERROR('Data Sheet'!J93,0)</f>
        <v>95.92</v>
      </c>
      <c r="L36">
        <f>IFERROR('Data Sheet'!K93,0)</f>
        <v>95.92</v>
      </c>
      <c r="M36">
        <f>L36</f>
        <v>95.92</v>
      </c>
    </row>
    <row r="37" spans="1:13" outlineLevel="1">
      <c r="C37" s="68"/>
      <c r="D37" s="68"/>
      <c r="E37" s="68"/>
      <c r="F37" s="68"/>
      <c r="G37" s="68"/>
      <c r="H37" s="68"/>
      <c r="I37" s="68"/>
      <c r="J37" s="68"/>
      <c r="K37" s="68"/>
      <c r="L37" s="68"/>
      <c r="M37" s="68"/>
    </row>
    <row r="38" spans="1:13" outlineLevel="1">
      <c r="B38" t="s">
        <v>93</v>
      </c>
      <c r="C38" s="68">
        <f>IFERROR(C33/C36,0)</f>
        <v>16.221538782318614</v>
      </c>
      <c r="D38" s="68">
        <f t="shared" ref="D38:M38" si="14">IFERROR(D33/D36,0)</f>
        <v>17.497393661384489</v>
      </c>
      <c r="E38" s="68">
        <f t="shared" si="14"/>
        <v>18.360195996663897</v>
      </c>
      <c r="F38" s="68">
        <f t="shared" si="14"/>
        <v>20.165450375312773</v>
      </c>
      <c r="G38" s="68">
        <f t="shared" si="14"/>
        <v>25.271997497914906</v>
      </c>
      <c r="H38" s="68">
        <f t="shared" si="14"/>
        <v>29.973936613844902</v>
      </c>
      <c r="I38" s="68">
        <f t="shared" si="14"/>
        <v>29.075583819849857</v>
      </c>
      <c r="J38" s="68">
        <f t="shared" si="14"/>
        <v>39.23967889908252</v>
      </c>
      <c r="K38" s="68">
        <f t="shared" si="14"/>
        <v>49.382089241034208</v>
      </c>
      <c r="L38" s="68">
        <f t="shared" si="14"/>
        <v>35.023874061718125</v>
      </c>
      <c r="M38" s="68">
        <f t="shared" si="14"/>
        <v>40.089241034195169</v>
      </c>
    </row>
    <row r="39" spans="1:13" outlineLevel="1">
      <c r="B39" s="63" t="s">
        <v>94</v>
      </c>
      <c r="C39" s="65"/>
      <c r="D39" s="65">
        <f>IFERROR(D38/C38-1,0)</f>
        <v>7.8651902028958443E-2</v>
      </c>
      <c r="E39" s="65">
        <f t="shared" ref="E39:M39" si="15">IFERROR(E38/D38-1,0)</f>
        <v>4.9310334554771629E-2</v>
      </c>
      <c r="F39" s="65">
        <f t="shared" si="15"/>
        <v>9.8324352255111824E-2</v>
      </c>
      <c r="G39" s="65">
        <f t="shared" si="15"/>
        <v>0.25323248564057566</v>
      </c>
      <c r="H39" s="65">
        <f t="shared" si="15"/>
        <v>0.1860533231026924</v>
      </c>
      <c r="I39" s="65">
        <f t="shared" si="15"/>
        <v>-2.9971131438908061E-2</v>
      </c>
      <c r="J39" s="65">
        <f t="shared" si="15"/>
        <v>0.34957492658474676</v>
      </c>
      <c r="K39" s="65">
        <f t="shared" si="15"/>
        <v>0.25847332665581102</v>
      </c>
      <c r="L39" s="65">
        <f t="shared" si="15"/>
        <v>-0.29075754792863395</v>
      </c>
      <c r="M39" s="65">
        <f t="shared" si="15"/>
        <v>0.1446261188454192</v>
      </c>
    </row>
    <row r="40" spans="1:13" outlineLevel="1"/>
    <row r="41" spans="1:13" outlineLevel="1">
      <c r="B41" t="s">
        <v>95</v>
      </c>
      <c r="C41" s="70">
        <f>IFERROR('Data Sheet'!B31/HistoricalFS!C36,0)</f>
        <v>7.5</v>
      </c>
      <c r="D41" s="70">
        <f>IFERROR('Data Sheet'!C31/HistoricalFS!D36,0)</f>
        <v>10.300041701417848</v>
      </c>
      <c r="E41" s="62">
        <f>IFERROR('Data Sheet'!D31/HistoricalFS!E36,0)</f>
        <v>8.6999582985821515</v>
      </c>
      <c r="F41" s="62">
        <f>IFERROR('Data Sheet'!E31/HistoricalFS!F36,0)</f>
        <v>10.5</v>
      </c>
      <c r="G41" s="62">
        <f>IFERROR('Data Sheet'!F31/HistoricalFS!G36,0)</f>
        <v>12</v>
      </c>
      <c r="H41" s="62">
        <f>IFERROR('Data Sheet'!G31/HistoricalFS!H36,0)</f>
        <v>17.849979149291077</v>
      </c>
      <c r="I41" s="62">
        <f>IFERROR('Data Sheet'!H31/HistoricalFS!I36,0)</f>
        <v>19.150020850708923</v>
      </c>
      <c r="J41" s="62">
        <f>IFERROR('Data Sheet'!I31/HistoricalFS!J36,0)</f>
        <v>25.650020850708923</v>
      </c>
      <c r="K41" s="62">
        <f>IFERROR('Data Sheet'!J31/HistoricalFS!K36,0)</f>
        <v>33.300041701417847</v>
      </c>
      <c r="L41" s="62">
        <f>IFERROR('Data Sheet'!K31/HistoricalFS!L36,0)</f>
        <v>24.80004170141785</v>
      </c>
      <c r="M41" s="62">
        <f>IFERROR('Data Sheet'!L31/HistoricalFS!M36,0)</f>
        <v>0</v>
      </c>
    </row>
    <row r="42" spans="1:13" outlineLevel="1">
      <c r="B42" s="63" t="s">
        <v>96</v>
      </c>
      <c r="C42" s="65">
        <f>IFERROR(C41/C38,0)</f>
        <v>0.46234824578880013</v>
      </c>
      <c r="D42" s="65">
        <f t="shared" ref="D42:M42" si="16">IFERROR(D41/D38,0)</f>
        <v>0.5886614830041409</v>
      </c>
      <c r="E42" s="65">
        <f t="shared" si="16"/>
        <v>0.47384887939992359</v>
      </c>
      <c r="F42" s="65">
        <f t="shared" si="16"/>
        <v>0.52069256101785133</v>
      </c>
      <c r="G42" s="65">
        <f t="shared" si="16"/>
        <v>0.47483385517864479</v>
      </c>
      <c r="H42" s="65">
        <f t="shared" si="16"/>
        <v>0.59551667768077576</v>
      </c>
      <c r="I42" s="65">
        <f t="shared" si="16"/>
        <v>0.65862893654555732</v>
      </c>
      <c r="J42" s="65">
        <f t="shared" si="16"/>
        <v>0.65367560516170931</v>
      </c>
      <c r="K42" s="65">
        <f t="shared" si="16"/>
        <v>0.67433440369199826</v>
      </c>
      <c r="L42" s="65">
        <f t="shared" si="16"/>
        <v>0.70808962074600557</v>
      </c>
      <c r="M42" s="65">
        <f t="shared" si="16"/>
        <v>0</v>
      </c>
    </row>
    <row r="43" spans="1:13" outlineLevel="1"/>
    <row r="44" spans="1:13" outlineLevel="1">
      <c r="B44" t="s">
        <v>97</v>
      </c>
      <c r="C44" s="13">
        <f>IFERROR(IF(C38&gt;C41,1-C42,0),0)</f>
        <v>0.53765175421119982</v>
      </c>
      <c r="D44" s="13">
        <f t="shared" ref="D44:M44" si="17">IFERROR(IF(D38&gt;D41,1-D42,0),0)</f>
        <v>0.4113385169958591</v>
      </c>
      <c r="E44" s="13">
        <f t="shared" si="17"/>
        <v>0.52615112060007641</v>
      </c>
      <c r="F44" s="13">
        <f t="shared" si="17"/>
        <v>0.47930743898214867</v>
      </c>
      <c r="G44" s="13">
        <f t="shared" si="17"/>
        <v>0.52516614482135515</v>
      </c>
      <c r="H44" s="13">
        <f t="shared" si="17"/>
        <v>0.40448332231922424</v>
      </c>
      <c r="I44" s="13">
        <f t="shared" si="17"/>
        <v>0.34137106345444268</v>
      </c>
      <c r="J44" s="13">
        <f t="shared" si="17"/>
        <v>0.34632439483829069</v>
      </c>
      <c r="K44" s="13">
        <f t="shared" si="17"/>
        <v>0.32566559630800174</v>
      </c>
      <c r="L44" s="13">
        <f t="shared" si="17"/>
        <v>0.29191037925399443</v>
      </c>
      <c r="M44" s="13">
        <f t="shared" si="17"/>
        <v>1</v>
      </c>
    </row>
    <row r="46" spans="1:13">
      <c r="A46" t="s">
        <v>69</v>
      </c>
      <c r="B46" s="61" t="s">
        <v>98</v>
      </c>
      <c r="C46" s="7"/>
      <c r="D46" s="7"/>
      <c r="E46" s="7"/>
      <c r="F46" s="7"/>
      <c r="G46" s="7"/>
      <c r="H46" s="7"/>
      <c r="I46" s="7"/>
      <c r="J46" s="7"/>
      <c r="K46" s="7"/>
      <c r="L46" s="7"/>
      <c r="M46" s="7"/>
    </row>
    <row r="47" spans="1:13" outlineLevel="1">
      <c r="B47" t="s">
        <v>99</v>
      </c>
      <c r="C47" s="62">
        <f>IFERROR('Data Sheet'!B57,0)</f>
        <v>95.92</v>
      </c>
      <c r="D47" s="62">
        <f>IFERROR('Data Sheet'!C57,0)</f>
        <v>95.92</v>
      </c>
      <c r="E47" s="62">
        <f>IFERROR('Data Sheet'!D57,0)</f>
        <v>95.92</v>
      </c>
      <c r="F47" s="62">
        <f>IFERROR('Data Sheet'!E57,0)</f>
        <v>95.92</v>
      </c>
      <c r="G47" s="62">
        <f>IFERROR('Data Sheet'!F57,0)</f>
        <v>95.92</v>
      </c>
      <c r="H47" s="62">
        <f>IFERROR('Data Sheet'!G57,0)</f>
        <v>95.92</v>
      </c>
      <c r="I47" s="62">
        <f>IFERROR('Data Sheet'!H57,0)</f>
        <v>95.92</v>
      </c>
      <c r="J47" s="62">
        <f>IFERROR('Data Sheet'!I57,0)</f>
        <v>95.92</v>
      </c>
      <c r="K47" s="62">
        <f>IFERROR('Data Sheet'!J57,0)</f>
        <v>95.92</v>
      </c>
      <c r="L47" s="62">
        <f>IFERROR('Data Sheet'!K57,0)</f>
        <v>95.92</v>
      </c>
    </row>
    <row r="48" spans="1:13" outlineLevel="1">
      <c r="B48" t="s">
        <v>100</v>
      </c>
      <c r="C48" s="62">
        <f>IFERROR('Data Sheet'!B58,0)</f>
        <v>6428.9</v>
      </c>
      <c r="D48" s="62">
        <f>IFERROR('Data Sheet'!C58,0)</f>
        <v>7507.97</v>
      </c>
      <c r="E48" s="62">
        <f>IFERROR('Data Sheet'!D58,0)</f>
        <v>8314.31</v>
      </c>
      <c r="F48" s="62">
        <f>IFERROR('Data Sheet'!E58,0)</f>
        <v>9374.6299999999992</v>
      </c>
      <c r="G48" s="62">
        <f>IFERROR('Data Sheet'!F58,0)</f>
        <v>10034.24</v>
      </c>
      <c r="H48" s="62">
        <f>IFERROR('Data Sheet'!G58,0)</f>
        <v>12710.37</v>
      </c>
      <c r="I48" s="62">
        <f>IFERROR('Data Sheet'!H58,0)</f>
        <v>13715.64</v>
      </c>
      <c r="J48" s="62">
        <f>IFERROR('Data Sheet'!I58,0)</f>
        <v>15896.31</v>
      </c>
      <c r="K48" s="62">
        <f>IFERROR('Data Sheet'!J58,0)</f>
        <v>18632.38</v>
      </c>
      <c r="L48" s="62">
        <f>IFERROR('Data Sheet'!K58,0)</f>
        <v>19303.89</v>
      </c>
    </row>
    <row r="49" spans="2:13" outlineLevel="1">
      <c r="B49" t="s">
        <v>101</v>
      </c>
      <c r="C49" s="62">
        <f>IFERROR('Data Sheet'!B59,0)</f>
        <v>323.29000000000002</v>
      </c>
      <c r="D49" s="62">
        <f>IFERROR('Data Sheet'!C59,0)</f>
        <v>560.34</v>
      </c>
      <c r="E49" s="62">
        <f>IFERROR('Data Sheet'!D59,0)</f>
        <v>533.42999999999995</v>
      </c>
      <c r="F49" s="62">
        <f>IFERROR('Data Sheet'!E59,0)</f>
        <v>1319.6</v>
      </c>
      <c r="G49" s="62">
        <f>IFERROR('Data Sheet'!F59,0)</f>
        <v>1118.5</v>
      </c>
      <c r="H49" s="62">
        <f>IFERROR('Data Sheet'!G59,0)</f>
        <v>1093.1199999999999</v>
      </c>
      <c r="I49" s="62">
        <f>IFERROR('Data Sheet'!H59,0)</f>
        <v>1586.88</v>
      </c>
      <c r="J49" s="62">
        <f>IFERROR('Data Sheet'!I59,0)</f>
        <v>1932.62</v>
      </c>
      <c r="K49" s="62">
        <f>IFERROR('Data Sheet'!J59,0)</f>
        <v>2474.38</v>
      </c>
      <c r="L49" s="62">
        <f>IFERROR('Data Sheet'!K59,0)</f>
        <v>2290.29</v>
      </c>
    </row>
    <row r="50" spans="2:13" outlineLevel="1">
      <c r="B50" t="s">
        <v>102</v>
      </c>
      <c r="C50" s="62">
        <f>IFERROR('Data Sheet'!B60,0)</f>
        <v>3710.92</v>
      </c>
      <c r="D50" s="62">
        <f>IFERROR('Data Sheet'!C60,0)</f>
        <v>4240.96</v>
      </c>
      <c r="E50" s="62">
        <f>IFERROR('Data Sheet'!D60,0)</f>
        <v>4819.82</v>
      </c>
      <c r="F50" s="62">
        <f>IFERROR('Data Sheet'!E60,0)</f>
        <v>5458.69</v>
      </c>
      <c r="G50" s="62">
        <f>IFERROR('Data Sheet'!F60,0)</f>
        <v>4889.3100000000004</v>
      </c>
      <c r="H50" s="62">
        <f>IFERROR('Data Sheet'!G60,0)</f>
        <v>6455.93</v>
      </c>
      <c r="I50" s="62">
        <f>IFERROR('Data Sheet'!H60,0)</f>
        <v>7559.99</v>
      </c>
      <c r="J50" s="62">
        <f>IFERROR('Data Sheet'!I60,0)</f>
        <v>7854.48</v>
      </c>
      <c r="K50" s="62">
        <f>IFERROR('Data Sheet'!J60,0)</f>
        <v>8698.09</v>
      </c>
      <c r="L50" s="62">
        <f>IFERROR('Data Sheet'!K60,0)</f>
        <v>8665.15</v>
      </c>
    </row>
    <row r="51" spans="2:13" outlineLevel="1">
      <c r="B51" s="66" t="s">
        <v>103</v>
      </c>
      <c r="C51" s="69">
        <f>IFERROR('Data Sheet'!B61,0)</f>
        <v>10559.03</v>
      </c>
      <c r="D51" s="69">
        <f>IFERROR('Data Sheet'!C61,0)</f>
        <v>12405.19</v>
      </c>
      <c r="E51" s="69">
        <f>IFERROR('Data Sheet'!D61,0)</f>
        <v>13763.48</v>
      </c>
      <c r="F51" s="69">
        <f>IFERROR('Data Sheet'!E61,0)</f>
        <v>16248.84</v>
      </c>
      <c r="G51" s="69">
        <f>IFERROR('Data Sheet'!F61,0)</f>
        <v>16137.97</v>
      </c>
      <c r="H51" s="69">
        <f>IFERROR('Data Sheet'!G61,0)</f>
        <v>20355.34</v>
      </c>
      <c r="I51" s="69">
        <f>IFERROR('Data Sheet'!H61,0)</f>
        <v>22958.43</v>
      </c>
      <c r="J51" s="69">
        <f>IFERROR('Data Sheet'!I61,0)</f>
        <v>25779.33</v>
      </c>
      <c r="K51" s="69">
        <f>IFERROR('Data Sheet'!J61,0)</f>
        <v>29900.77</v>
      </c>
      <c r="L51" s="69">
        <f>IFERROR('Data Sheet'!K61,0)</f>
        <v>30355.25</v>
      </c>
      <c r="M51" s="2"/>
    </row>
    <row r="52" spans="2:13" outlineLevel="1"/>
    <row r="53" spans="2:13" outlineLevel="1">
      <c r="B53" t="s">
        <v>104</v>
      </c>
      <c r="C53" s="62">
        <f>IFERROR('Data Sheet'!B62,0)</f>
        <v>3416.35</v>
      </c>
      <c r="D53" s="62">
        <f>IFERROR('Data Sheet'!C62,0)</f>
        <v>3303.74</v>
      </c>
      <c r="E53" s="62">
        <f>IFERROR('Data Sheet'!D62,0)</f>
        <v>3732.24</v>
      </c>
      <c r="F53" s="62">
        <f>IFERROR('Data Sheet'!E62,0)</f>
        <v>6496.56</v>
      </c>
      <c r="G53" s="62">
        <f>IFERROR('Data Sheet'!F62,0)</f>
        <v>6272.31</v>
      </c>
      <c r="H53" s="62">
        <f>IFERROR('Data Sheet'!G62,0)</f>
        <v>5858.52</v>
      </c>
      <c r="I53" s="62">
        <f>IFERROR('Data Sheet'!H62,0)</f>
        <v>5519.06</v>
      </c>
      <c r="J53" s="62">
        <f>IFERROR('Data Sheet'!I62,0)</f>
        <v>5770.46</v>
      </c>
      <c r="K53" s="62">
        <f>IFERROR('Data Sheet'!J62,0)</f>
        <v>7146.62</v>
      </c>
      <c r="L53" s="62">
        <f>IFERROR('Data Sheet'!K62,0)</f>
        <v>9220.1</v>
      </c>
    </row>
    <row r="54" spans="2:13" outlineLevel="1">
      <c r="B54" t="s">
        <v>105</v>
      </c>
      <c r="C54" s="62">
        <f>IFERROR('Data Sheet'!B63,0)</f>
        <v>106.59</v>
      </c>
      <c r="D54" s="62">
        <f>IFERROR('Data Sheet'!C63,0)</f>
        <v>257.54000000000002</v>
      </c>
      <c r="E54" s="62">
        <f>IFERROR('Data Sheet'!D63,0)</f>
        <v>1405.11</v>
      </c>
      <c r="F54" s="62">
        <f>IFERROR('Data Sheet'!E63,0)</f>
        <v>209.67</v>
      </c>
      <c r="G54" s="62">
        <f>IFERROR('Data Sheet'!F63,0)</f>
        <v>140.24</v>
      </c>
      <c r="H54" s="62">
        <f>IFERROR('Data Sheet'!G63,0)</f>
        <v>182.98</v>
      </c>
      <c r="I54" s="62">
        <f>IFERROR('Data Sheet'!H63,0)</f>
        <v>426.43</v>
      </c>
      <c r="J54" s="62">
        <f>IFERROR('Data Sheet'!I63,0)</f>
        <v>1019.59</v>
      </c>
      <c r="K54" s="62">
        <f>IFERROR('Data Sheet'!J63,0)</f>
        <v>2698.37</v>
      </c>
      <c r="L54" s="62">
        <f>IFERROR('Data Sheet'!K63,0)</f>
        <v>1254.49</v>
      </c>
    </row>
    <row r="55" spans="2:13" outlineLevel="1">
      <c r="B55" t="s">
        <v>106</v>
      </c>
      <c r="C55" s="62">
        <f>IFERROR('Data Sheet'!B64,0)</f>
        <v>2712.13</v>
      </c>
      <c r="D55" s="62">
        <f>IFERROR('Data Sheet'!C64,0)</f>
        <v>2651.99</v>
      </c>
      <c r="E55" s="62">
        <f>IFERROR('Data Sheet'!D64,0)</f>
        <v>2140.6999999999998</v>
      </c>
      <c r="F55" s="62">
        <f>IFERROR('Data Sheet'!E64,0)</f>
        <v>2568.58</v>
      </c>
      <c r="G55" s="62">
        <f>IFERROR('Data Sheet'!F64,0)</f>
        <v>2018.85</v>
      </c>
      <c r="H55" s="62">
        <f>IFERROR('Data Sheet'!G64,0)</f>
        <v>4736.8</v>
      </c>
      <c r="I55" s="62">
        <f>IFERROR('Data Sheet'!H64,0)</f>
        <v>3247.53</v>
      </c>
      <c r="J55" s="62">
        <f>IFERROR('Data Sheet'!I64,0)</f>
        <v>4261.71</v>
      </c>
      <c r="K55" s="62">
        <f>IFERROR('Data Sheet'!J64,0)</f>
        <v>4587.92</v>
      </c>
      <c r="L55" s="62">
        <f>IFERROR('Data Sheet'!K64,0)</f>
        <v>4724.75</v>
      </c>
    </row>
    <row r="56" spans="2:13" outlineLevel="1">
      <c r="B56" t="s">
        <v>107</v>
      </c>
      <c r="C56" s="62">
        <f>IFERROR('Data Sheet'!B65-SUM('Data Sheet'!B67:B69),0)</f>
        <v>714.68000000000029</v>
      </c>
      <c r="D56" s="62">
        <f>IFERROR('Data Sheet'!C65-SUM('Data Sheet'!C67:C69),0)</f>
        <v>1317.17</v>
      </c>
      <c r="E56" s="62">
        <f>IFERROR('Data Sheet'!D65-SUM('Data Sheet'!D67:D69),0)</f>
        <v>1691.8400000000001</v>
      </c>
      <c r="F56" s="62">
        <f>IFERROR('Data Sheet'!E65-SUM('Data Sheet'!E67:E69),0)</f>
        <v>1471.9599999999991</v>
      </c>
      <c r="G56" s="62">
        <f>IFERROR('Data Sheet'!F65-SUM('Data Sheet'!F67:F69),0)</f>
        <v>1738.71</v>
      </c>
      <c r="H56" s="62">
        <f>IFERROR('Data Sheet'!G65-SUM('Data Sheet'!G67:G69),0)</f>
        <v>2565.5200000000004</v>
      </c>
      <c r="I56" s="62">
        <f>IFERROR('Data Sheet'!H65-SUM('Data Sheet'!H67:H69),0)</f>
        <v>2876.66</v>
      </c>
      <c r="J56" s="62">
        <f>IFERROR('Data Sheet'!I65-SUM('Data Sheet'!I67:I69),0)</f>
        <v>3036.17</v>
      </c>
      <c r="K56" s="62">
        <f>IFERROR('Data Sheet'!J65-SUM('Data Sheet'!J67:J69),0)</f>
        <v>3571.3900000000012</v>
      </c>
      <c r="L56" s="62">
        <f>IFERROR('Data Sheet'!K65-SUM('Data Sheet'!K67:K69),0)</f>
        <v>3341.01</v>
      </c>
    </row>
    <row r="57" spans="2:13" outlineLevel="1">
      <c r="B57" s="66" t="s">
        <v>108</v>
      </c>
      <c r="C57" s="69">
        <f>SUM(C53:C56)</f>
        <v>6949.75</v>
      </c>
      <c r="D57" s="69">
        <f t="shared" ref="D57:L57" si="18">SUM(D53:D56)</f>
        <v>7530.44</v>
      </c>
      <c r="E57" s="69">
        <f t="shared" si="18"/>
        <v>8969.89</v>
      </c>
      <c r="F57" s="69">
        <f t="shared" si="18"/>
        <v>10746.77</v>
      </c>
      <c r="G57" s="69">
        <f t="shared" si="18"/>
        <v>10170.11</v>
      </c>
      <c r="H57" s="69">
        <f t="shared" si="18"/>
        <v>13343.82</v>
      </c>
      <c r="I57" s="69">
        <f t="shared" si="18"/>
        <v>12069.68</v>
      </c>
      <c r="J57" s="69">
        <f t="shared" si="18"/>
        <v>14087.93</v>
      </c>
      <c r="K57" s="69">
        <f t="shared" si="18"/>
        <v>18004.300000000003</v>
      </c>
      <c r="L57" s="69">
        <f t="shared" si="18"/>
        <v>18540.349999999999</v>
      </c>
    </row>
    <row r="58" spans="2:13" outlineLevel="1">
      <c r="B58" s="2"/>
    </row>
    <row r="59" spans="2:13" outlineLevel="1">
      <c r="B59" t="s">
        <v>109</v>
      </c>
      <c r="C59" s="62">
        <f>IFERROR('Data Sheet'!B67,0)</f>
        <v>1186.8399999999999</v>
      </c>
      <c r="D59" s="62">
        <f>IFERROR('Data Sheet'!C67,0)</f>
        <v>1446.6</v>
      </c>
      <c r="E59" s="62">
        <f>IFERROR('Data Sheet'!D67,0)</f>
        <v>1730.63</v>
      </c>
      <c r="F59" s="62">
        <f>IFERROR('Data Sheet'!E67,0)</f>
        <v>1907.33</v>
      </c>
      <c r="G59" s="62">
        <f>IFERROR('Data Sheet'!F67,0)</f>
        <v>1795.22</v>
      </c>
      <c r="H59" s="62">
        <f>IFERROR('Data Sheet'!G67,0)</f>
        <v>2602.17</v>
      </c>
      <c r="I59" s="62">
        <f>IFERROR('Data Sheet'!H67,0)</f>
        <v>3871.44</v>
      </c>
      <c r="J59" s="62">
        <f>IFERROR('Data Sheet'!I67,0)</f>
        <v>4636.9399999999996</v>
      </c>
      <c r="K59" s="62">
        <f>IFERROR('Data Sheet'!J67,0)</f>
        <v>4889.05</v>
      </c>
      <c r="L59" s="62">
        <f>IFERROR('Data Sheet'!K67,0)</f>
        <v>4313.6499999999996</v>
      </c>
    </row>
    <row r="60" spans="2:13" outlineLevel="1">
      <c r="B60" t="s">
        <v>110</v>
      </c>
      <c r="C60" s="62">
        <f>IFERROR('Data Sheet'!B68,0)</f>
        <v>1998.24</v>
      </c>
      <c r="D60" s="62">
        <f>IFERROR('Data Sheet'!C68,0)</f>
        <v>2626.94</v>
      </c>
      <c r="E60" s="62">
        <f>IFERROR('Data Sheet'!D68,0)</f>
        <v>2658.31</v>
      </c>
      <c r="F60" s="62">
        <f>IFERROR('Data Sheet'!E68,0)</f>
        <v>3149.86</v>
      </c>
      <c r="G60" s="62">
        <f>IFERROR('Data Sheet'!F68,0)</f>
        <v>3389.81</v>
      </c>
      <c r="H60" s="62">
        <f>IFERROR('Data Sheet'!G68,0)</f>
        <v>3798.6</v>
      </c>
      <c r="I60" s="62">
        <f>IFERROR('Data Sheet'!H68,0)</f>
        <v>6152.98</v>
      </c>
      <c r="J60" s="62">
        <f>IFERROR('Data Sheet'!I68,0)</f>
        <v>6210.64</v>
      </c>
      <c r="K60" s="62">
        <f>IFERROR('Data Sheet'!J68,0)</f>
        <v>5923.41</v>
      </c>
      <c r="L60" s="62">
        <f>IFERROR('Data Sheet'!K68,0)</f>
        <v>6719.27</v>
      </c>
    </row>
    <row r="61" spans="2:13" outlineLevel="1">
      <c r="B61" t="s">
        <v>111</v>
      </c>
      <c r="C61" s="62">
        <f>IFERROR('Data Sheet'!B69,0)</f>
        <v>424.2</v>
      </c>
      <c r="D61" s="62">
        <f>IFERROR('Data Sheet'!C69,0)</f>
        <v>801.21</v>
      </c>
      <c r="E61" s="62">
        <f>IFERROR('Data Sheet'!D69,0)</f>
        <v>404.65</v>
      </c>
      <c r="F61" s="62">
        <f>IFERROR('Data Sheet'!E69,0)</f>
        <v>444.88</v>
      </c>
      <c r="G61" s="62">
        <f>IFERROR('Data Sheet'!F69,0)</f>
        <v>782.83</v>
      </c>
      <c r="H61" s="62">
        <f>IFERROR('Data Sheet'!G69,0)</f>
        <v>610.75</v>
      </c>
      <c r="I61" s="62">
        <f>IFERROR('Data Sheet'!H69,0)</f>
        <v>864.33</v>
      </c>
      <c r="J61" s="62">
        <f>IFERROR('Data Sheet'!I69,0)</f>
        <v>843.82</v>
      </c>
      <c r="K61" s="62">
        <f>IFERROR('Data Sheet'!J69,0)</f>
        <v>1084.01</v>
      </c>
      <c r="L61" s="62">
        <f>IFERROR('Data Sheet'!K69,0)</f>
        <v>781.98</v>
      </c>
    </row>
    <row r="62" spans="2:13" outlineLevel="1">
      <c r="B62" s="66" t="s">
        <v>112</v>
      </c>
      <c r="C62" s="69">
        <f>IFERROR(SUM(C59:C61),0)</f>
        <v>3609.2799999999997</v>
      </c>
      <c r="D62" s="69">
        <f t="shared" ref="D62:L62" si="19">IFERROR(SUM(D59:D61),0)</f>
        <v>4874.75</v>
      </c>
      <c r="E62" s="69">
        <f t="shared" si="19"/>
        <v>4793.59</v>
      </c>
      <c r="F62" s="69">
        <f t="shared" si="19"/>
        <v>5502.0700000000006</v>
      </c>
      <c r="G62" s="69">
        <f t="shared" si="19"/>
        <v>5967.86</v>
      </c>
      <c r="H62" s="69">
        <f t="shared" si="19"/>
        <v>7011.52</v>
      </c>
      <c r="I62" s="69">
        <f t="shared" si="19"/>
        <v>10888.75</v>
      </c>
      <c r="J62" s="69">
        <f t="shared" si="19"/>
        <v>11691.4</v>
      </c>
      <c r="K62" s="69">
        <f t="shared" si="19"/>
        <v>11896.47</v>
      </c>
      <c r="L62" s="69">
        <f t="shared" si="19"/>
        <v>11814.9</v>
      </c>
    </row>
    <row r="63" spans="2:13" outlineLevel="1"/>
    <row r="64" spans="2:13" outlineLevel="1">
      <c r="B64" s="66" t="s">
        <v>113</v>
      </c>
      <c r="C64" s="69">
        <f>IFERROR(C62+C57,0)</f>
        <v>10559.029999999999</v>
      </c>
      <c r="D64" s="69">
        <f t="shared" ref="D64:L64" si="20">IFERROR(D62+D57,0)</f>
        <v>12405.189999999999</v>
      </c>
      <c r="E64" s="69">
        <f t="shared" si="20"/>
        <v>13763.48</v>
      </c>
      <c r="F64" s="69">
        <f t="shared" si="20"/>
        <v>16248.84</v>
      </c>
      <c r="G64" s="69">
        <f t="shared" si="20"/>
        <v>16137.970000000001</v>
      </c>
      <c r="H64" s="69">
        <f t="shared" si="20"/>
        <v>20355.34</v>
      </c>
      <c r="I64" s="69">
        <f t="shared" si="20"/>
        <v>22958.43</v>
      </c>
      <c r="J64" s="69">
        <f t="shared" si="20"/>
        <v>25779.33</v>
      </c>
      <c r="K64" s="69">
        <f t="shared" si="20"/>
        <v>29900.770000000004</v>
      </c>
      <c r="L64" s="69">
        <f t="shared" si="20"/>
        <v>30355.25</v>
      </c>
    </row>
    <row r="65" spans="1:13" outlineLevel="1"/>
    <row r="66" spans="1:13">
      <c r="B66" s="71" t="s">
        <v>114</v>
      </c>
      <c r="C66" s="71" t="b">
        <f>C64=C51</f>
        <v>1</v>
      </c>
      <c r="D66" s="71" t="b">
        <f t="shared" ref="D66:L66" si="21">D64=D51</f>
        <v>1</v>
      </c>
      <c r="E66" s="71" t="b">
        <f t="shared" si="21"/>
        <v>1</v>
      </c>
      <c r="F66" s="71" t="b">
        <f t="shared" si="21"/>
        <v>1</v>
      </c>
      <c r="G66" s="71" t="b">
        <f t="shared" si="21"/>
        <v>1</v>
      </c>
      <c r="H66" s="71" t="b">
        <f t="shared" si="21"/>
        <v>1</v>
      </c>
      <c r="I66" s="71" t="b">
        <f t="shared" si="21"/>
        <v>1</v>
      </c>
      <c r="J66" s="71" t="b">
        <f t="shared" si="21"/>
        <v>1</v>
      </c>
      <c r="K66" s="71" t="b">
        <f t="shared" si="21"/>
        <v>1</v>
      </c>
      <c r="L66" s="71" t="b">
        <f t="shared" si="21"/>
        <v>1</v>
      </c>
    </row>
    <row r="68" spans="1:13">
      <c r="A68" t="s">
        <v>69</v>
      </c>
      <c r="B68" s="61" t="s">
        <v>115</v>
      </c>
      <c r="C68" s="7"/>
      <c r="D68" s="7"/>
      <c r="E68" s="7"/>
      <c r="F68" s="7"/>
      <c r="G68" s="7"/>
      <c r="H68" s="7"/>
      <c r="I68" s="7"/>
      <c r="J68" s="7"/>
      <c r="K68" s="7"/>
      <c r="L68" s="7"/>
      <c r="M68" s="7"/>
    </row>
    <row r="69" spans="1:13" outlineLevel="1">
      <c r="B69" s="2"/>
    </row>
    <row r="70" spans="1:13" outlineLevel="1">
      <c r="B70" t="s">
        <v>116</v>
      </c>
      <c r="C70" s="62">
        <f>'Data Sheet'!B82</f>
        <v>2242.9499999999998</v>
      </c>
      <c r="D70" s="62">
        <f>'Data Sheet'!C82</f>
        <v>1527.33</v>
      </c>
      <c r="E70" s="62">
        <f>'Data Sheet'!D82</f>
        <v>2113.44</v>
      </c>
      <c r="F70" s="62">
        <f>'Data Sheet'!E82</f>
        <v>2469.54</v>
      </c>
      <c r="G70" s="62">
        <f>'Data Sheet'!F82</f>
        <v>3038.15</v>
      </c>
      <c r="H70" s="62">
        <f>'Data Sheet'!G82</f>
        <v>3683.35</v>
      </c>
      <c r="I70" s="62">
        <f>'Data Sheet'!H82</f>
        <v>986.49</v>
      </c>
      <c r="J70" s="62">
        <f>'Data Sheet'!I82</f>
        <v>4193.43</v>
      </c>
      <c r="K70" s="62">
        <f>'Data Sheet'!J82</f>
        <v>6103.6</v>
      </c>
      <c r="L70" s="62">
        <f>'Data Sheet'!K82</f>
        <v>4423.96</v>
      </c>
    </row>
    <row r="71" spans="1:13" outlineLevel="1"/>
    <row r="72" spans="1:13" outlineLevel="1">
      <c r="B72" t="s">
        <v>117</v>
      </c>
      <c r="C72" s="62">
        <f>'Data Sheet'!B83</f>
        <v>-866.21</v>
      </c>
      <c r="D72" s="62">
        <f>'Data Sheet'!C83</f>
        <v>-681.11</v>
      </c>
      <c r="E72" s="62">
        <f>'Data Sheet'!D83</f>
        <v>-1556.14</v>
      </c>
      <c r="F72" s="62">
        <f>'Data Sheet'!E83</f>
        <v>-917.79</v>
      </c>
      <c r="G72" s="62">
        <f>'Data Sheet'!F83</f>
        <v>-517.91</v>
      </c>
      <c r="H72" s="62">
        <f>'Data Sheet'!G83</f>
        <v>-540.54</v>
      </c>
      <c r="I72" s="62">
        <f>'Data Sheet'!H83</f>
        <v>-316.75</v>
      </c>
      <c r="J72" s="62">
        <f>'Data Sheet'!I83</f>
        <v>-1282.3399999999999</v>
      </c>
      <c r="K72" s="62">
        <f>'Data Sheet'!J83</f>
        <v>-2548.48</v>
      </c>
      <c r="L72" s="62">
        <f>'Data Sheet'!K83</f>
        <v>-940.91</v>
      </c>
    </row>
    <row r="73" spans="1:13" outlineLevel="1"/>
    <row r="74" spans="1:13" outlineLevel="1">
      <c r="B74" t="s">
        <v>118</v>
      </c>
      <c r="C74" s="62">
        <f>'Data Sheet'!B84</f>
        <v>-848.98</v>
      </c>
      <c r="D74" s="62">
        <f>'Data Sheet'!C84</f>
        <v>-756.43</v>
      </c>
      <c r="E74" s="62">
        <f>'Data Sheet'!D84</f>
        <v>-1379.14</v>
      </c>
      <c r="F74" s="62">
        <f>'Data Sheet'!E84</f>
        <v>-1117.46</v>
      </c>
      <c r="G74" s="62">
        <f>'Data Sheet'!F84</f>
        <v>-2871.46</v>
      </c>
      <c r="H74" s="62">
        <f>'Data Sheet'!G84</f>
        <v>-650.4</v>
      </c>
      <c r="I74" s="62">
        <f>'Data Sheet'!H84</f>
        <v>-1807.61</v>
      </c>
      <c r="J74" s="62">
        <f>'Data Sheet'!I84</f>
        <v>-2140.0500000000002</v>
      </c>
      <c r="K74" s="62">
        <f>'Data Sheet'!J84</f>
        <v>-2982.5</v>
      </c>
      <c r="L74" s="62">
        <f>'Data Sheet'!K84</f>
        <v>-3752.58</v>
      </c>
    </row>
    <row r="75" spans="1:13" outlineLevel="1"/>
    <row r="76" spans="1:13">
      <c r="B76" s="2" t="s">
        <v>119</v>
      </c>
      <c r="C76" s="72">
        <f t="shared" ref="C76:L76" si="22">IFERROR(C70+C72+C74,0)</f>
        <v>527.75999999999976</v>
      </c>
      <c r="D76" s="72">
        <f t="shared" si="22"/>
        <v>89.789999999999964</v>
      </c>
      <c r="E76" s="72">
        <f t="shared" si="22"/>
        <v>-821.84000000000015</v>
      </c>
      <c r="F76" s="72">
        <f t="shared" si="22"/>
        <v>434.28999999999996</v>
      </c>
      <c r="G76" s="72">
        <f t="shared" si="22"/>
        <v>-351.2199999999998</v>
      </c>
      <c r="H76" s="72">
        <f t="shared" si="22"/>
        <v>2492.41</v>
      </c>
      <c r="I76" s="72">
        <f t="shared" si="22"/>
        <v>-1137.8699999999999</v>
      </c>
      <c r="J76" s="72">
        <f t="shared" si="22"/>
        <v>771.04</v>
      </c>
      <c r="K76" s="72">
        <f t="shared" si="22"/>
        <v>572.62000000000035</v>
      </c>
      <c r="L76" s="72">
        <f t="shared" si="22"/>
        <v>-269.52999999999975</v>
      </c>
    </row>
  </sheetData>
  <mergeCells count="1">
    <mergeCell ref="B2:M2"/>
  </mergeCells>
  <pageMargins left="0.7" right="0.7" top="0.75" bottom="0.75" header="0.3" footer="0.3"/>
  <pageSetup scale="52" fitToHeight="0" orientation="portrait" r:id="rId1"/>
  <ignoredErrors>
    <ignoredError sqref="C15:L15 M21"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55B1-9469-4E1B-8CE5-647380F64976}">
  <dimension ref="B2:O95"/>
  <sheetViews>
    <sheetView showGridLines="0" topLeftCell="A2" zoomScale="84" workbookViewId="0">
      <pane ySplit="1" topLeftCell="A6" activePane="bottomLeft" state="frozen"/>
      <selection activeCell="A2" sqref="A2"/>
      <selection pane="bottomLeft" activeCell="C13" sqref="C13"/>
    </sheetView>
  </sheetViews>
  <sheetFormatPr defaultRowHeight="15" outlineLevelRow="1"/>
  <cols>
    <col min="1" max="1" width="1.85546875" customWidth="1"/>
    <col min="2" max="2" width="35.42578125" bestFit="1" customWidth="1"/>
    <col min="3" max="14" width="12.7109375" customWidth="1"/>
  </cols>
  <sheetData>
    <row r="2" spans="2:15" ht="24.95" customHeight="1">
      <c r="B2" s="103" t="s">
        <v>186</v>
      </c>
      <c r="C2" s="104">
        <f>IFERROR('Data Sheet 2'!C2,0)</f>
        <v>41699</v>
      </c>
      <c r="D2" s="104">
        <f>IFERROR('Data Sheet 2'!D2,0)</f>
        <v>42064</v>
      </c>
      <c r="E2" s="104">
        <f>IFERROR('Data Sheet 2'!E2,0)</f>
        <v>42430</v>
      </c>
      <c r="F2" s="104">
        <f>IFERROR('Data Sheet 2'!F2,0)</f>
        <v>42795</v>
      </c>
      <c r="G2" s="104">
        <f>IFERROR('Data Sheet 2'!G2,0)</f>
        <v>43160</v>
      </c>
      <c r="H2" s="104">
        <f>IFERROR('Data Sheet 2'!H2,0)</f>
        <v>43525</v>
      </c>
      <c r="I2" s="104">
        <f>IFERROR('Data Sheet 2'!I2,0)</f>
        <v>43891</v>
      </c>
      <c r="J2" s="104">
        <f>IFERROR('Data Sheet 2'!J2,0)</f>
        <v>44256</v>
      </c>
      <c r="K2" s="104">
        <f>IFERROR('Data Sheet 2'!K2,0)</f>
        <v>44621</v>
      </c>
      <c r="L2" s="104">
        <f>IFERROR('Data Sheet 2'!L2,0)</f>
        <v>44986</v>
      </c>
      <c r="M2" s="104">
        <f>IFERROR('Data Sheet 2'!M2,0)</f>
        <v>45352</v>
      </c>
      <c r="N2" s="104">
        <f>IFERROR('Data Sheet 2'!N2,0)</f>
        <v>45717</v>
      </c>
    </row>
    <row r="3" spans="2:15">
      <c r="B3" s="58"/>
      <c r="C3" s="59"/>
      <c r="D3" s="59"/>
      <c r="E3" s="59"/>
      <c r="F3" s="59"/>
      <c r="G3" s="59"/>
      <c r="H3" s="59"/>
      <c r="I3" s="59"/>
      <c r="J3" s="59"/>
      <c r="K3" s="59"/>
      <c r="L3" s="59"/>
      <c r="M3" s="59"/>
      <c r="N3" s="59"/>
    </row>
    <row r="4" spans="2:15" outlineLevel="1">
      <c r="B4" s="2" t="s">
        <v>157</v>
      </c>
      <c r="C4" s="87">
        <f>IFERROR('Data Sheet 2'!C3,0)</f>
        <v>96</v>
      </c>
      <c r="D4" s="87">
        <f>IFERROR('Data Sheet 2'!D3,0)</f>
        <v>96</v>
      </c>
      <c r="E4" s="87">
        <f>IFERROR('Data Sheet 2'!E3,0)</f>
        <v>96</v>
      </c>
      <c r="F4" s="87">
        <f>IFERROR('Data Sheet 2'!F3,0)</f>
        <v>96</v>
      </c>
      <c r="G4" s="87">
        <f>IFERROR('Data Sheet 2'!G3,0)</f>
        <v>96</v>
      </c>
      <c r="H4" s="87">
        <f>IFERROR('Data Sheet 2'!H3,0)</f>
        <v>96</v>
      </c>
      <c r="I4" s="87">
        <f>IFERROR('Data Sheet 2'!I3,0)</f>
        <v>96</v>
      </c>
      <c r="J4" s="87">
        <f>IFERROR('Data Sheet 2'!J3,0)</f>
        <v>96</v>
      </c>
      <c r="K4" s="87">
        <f>IFERROR('Data Sheet 2'!K3,0)</f>
        <v>96</v>
      </c>
      <c r="L4" s="87">
        <f>IFERROR('Data Sheet 2'!L3,0)</f>
        <v>96</v>
      </c>
      <c r="M4" s="87">
        <f>IFERROR('Data Sheet 2'!M3,0)</f>
        <v>96</v>
      </c>
      <c r="N4" s="87">
        <f>IFERROR('Data Sheet 2'!N3,0)</f>
        <v>96</v>
      </c>
    </row>
    <row r="5" spans="2:15" outlineLevel="1">
      <c r="B5" s="2" t="s">
        <v>100</v>
      </c>
      <c r="C5" s="87">
        <f>IFERROR('Data Sheet 2'!C4,0)</f>
        <v>3943</v>
      </c>
      <c r="D5" s="87">
        <f>IFERROR('Data Sheet 2'!D4,0)</f>
        <v>4646</v>
      </c>
      <c r="E5" s="87">
        <f>IFERROR('Data Sheet 2'!E4,0)</f>
        <v>6429</v>
      </c>
      <c r="F5" s="87">
        <f>IFERROR('Data Sheet 2'!F4,0)</f>
        <v>7508</v>
      </c>
      <c r="G5" s="87">
        <f>IFERROR('Data Sheet 2'!G4,0)</f>
        <v>8314</v>
      </c>
      <c r="H5" s="87">
        <f>IFERROR('Data Sheet 2'!H4,0)</f>
        <v>9375</v>
      </c>
      <c r="I5" s="87">
        <f>IFERROR('Data Sheet 2'!I4,0)</f>
        <v>10034</v>
      </c>
      <c r="J5" s="87">
        <f>IFERROR('Data Sheet 2'!J4,0)</f>
        <v>12710</v>
      </c>
      <c r="K5" s="87">
        <f>IFERROR('Data Sheet 2'!K4,0)</f>
        <v>13716</v>
      </c>
      <c r="L5" s="87">
        <f>IFERROR('Data Sheet 2'!L4,0)</f>
        <v>15896</v>
      </c>
      <c r="M5" s="87">
        <f>IFERROR('Data Sheet 2'!M4,0)</f>
        <v>18632</v>
      </c>
      <c r="N5" s="87">
        <f>IFERROR('Data Sheet 2'!N4,0)</f>
        <v>19304</v>
      </c>
      <c r="O5" s="88"/>
    </row>
    <row r="6" spans="2:15" outlineLevel="1">
      <c r="B6" s="2" t="s">
        <v>158</v>
      </c>
      <c r="C6" s="87"/>
      <c r="D6" s="87"/>
      <c r="E6" s="87"/>
      <c r="F6" s="87"/>
      <c r="G6" s="87"/>
      <c r="H6" s="87"/>
      <c r="I6" s="87"/>
      <c r="J6" s="87"/>
      <c r="K6" s="87"/>
      <c r="L6" s="87"/>
      <c r="M6" s="87"/>
      <c r="N6" s="87"/>
    </row>
    <row r="7" spans="2:15" outlineLevel="1">
      <c r="B7" t="s">
        <v>159</v>
      </c>
      <c r="C7" s="87">
        <f>IFERROR('Data Sheet 2'!C6,0)</f>
        <v>41</v>
      </c>
      <c r="D7" s="87">
        <f>IFERROR('Data Sheet 2'!D6,0)</f>
        <v>78</v>
      </c>
      <c r="E7" s="87">
        <f>IFERROR('Data Sheet 2'!E6,0)</f>
        <v>73</v>
      </c>
      <c r="F7" s="87">
        <f>IFERROR('Data Sheet 2'!F6,0)</f>
        <v>41</v>
      </c>
      <c r="G7" s="87">
        <f>IFERROR('Data Sheet 2'!G6,0)</f>
        <v>28</v>
      </c>
      <c r="H7" s="87">
        <f>IFERROR('Data Sheet 2'!H6,0)</f>
        <v>19</v>
      </c>
      <c r="I7" s="87">
        <f>IFERROR('Data Sheet 2'!I6,0)</f>
        <v>19</v>
      </c>
      <c r="J7" s="87">
        <f>IFERROR('Data Sheet 2'!J6,0)</f>
        <v>15</v>
      </c>
      <c r="K7" s="87">
        <f>IFERROR('Data Sheet 2'!K6,0)</f>
        <v>45</v>
      </c>
      <c r="L7" s="87">
        <f>IFERROR('Data Sheet 2'!L6,0)</f>
        <v>76</v>
      </c>
      <c r="M7" s="87">
        <f>IFERROR('Data Sheet 2'!M6,0)</f>
        <v>54</v>
      </c>
      <c r="N7" s="87">
        <f>IFERROR('Data Sheet 2'!N6,0)</f>
        <v>260</v>
      </c>
    </row>
    <row r="8" spans="2:15" outlineLevel="1">
      <c r="B8" t="s">
        <v>160</v>
      </c>
      <c r="C8" s="87">
        <f>IFERROR('Data Sheet 2'!C7,0)</f>
        <v>199</v>
      </c>
      <c r="D8" s="87">
        <f>IFERROR('Data Sheet 2'!D7,0)</f>
        <v>332</v>
      </c>
      <c r="E8" s="87">
        <f>IFERROR('Data Sheet 2'!E7,0)</f>
        <v>231</v>
      </c>
      <c r="F8" s="87">
        <f>IFERROR('Data Sheet 2'!F7,0)</f>
        <v>504</v>
      </c>
      <c r="G8" s="87">
        <f>IFERROR('Data Sheet 2'!G7,0)</f>
        <v>492</v>
      </c>
      <c r="H8" s="87">
        <f>IFERROR('Data Sheet 2'!H7,0)</f>
        <v>597</v>
      </c>
      <c r="I8" s="87">
        <f>IFERROR('Data Sheet 2'!I7,0)</f>
        <v>321</v>
      </c>
      <c r="J8" s="87">
        <f>IFERROR('Data Sheet 2'!J7,0)</f>
        <v>334</v>
      </c>
      <c r="K8" s="87">
        <f>IFERROR('Data Sheet 2'!K7,0)</f>
        <v>731</v>
      </c>
      <c r="L8" s="87">
        <f>IFERROR('Data Sheet 2'!L7,0)</f>
        <v>896</v>
      </c>
      <c r="M8" s="87">
        <f>IFERROR('Data Sheet 2'!M7,0)</f>
        <v>1053</v>
      </c>
      <c r="N8" s="87">
        <f>IFERROR('Data Sheet 2'!N7,0)</f>
        <v>604</v>
      </c>
    </row>
    <row r="9" spans="2:15" outlineLevel="1">
      <c r="B9" t="s">
        <v>161</v>
      </c>
      <c r="C9" s="87">
        <f>IFERROR('Data Sheet 2'!C8,0)</f>
        <v>0</v>
      </c>
      <c r="D9" s="87">
        <f>IFERROR('Data Sheet 2'!D8,0)</f>
        <v>0</v>
      </c>
      <c r="E9" s="87">
        <f>IFERROR('Data Sheet 2'!E8,0)</f>
        <v>0</v>
      </c>
      <c r="F9" s="87">
        <f>IFERROR('Data Sheet 2'!F8,0)</f>
        <v>0</v>
      </c>
      <c r="G9" s="87">
        <f>IFERROR('Data Sheet 2'!G8,0)</f>
        <v>0</v>
      </c>
      <c r="H9" s="87">
        <f>IFERROR('Data Sheet 2'!H8,0)</f>
        <v>693</v>
      </c>
      <c r="I9" s="87">
        <f>IFERROR('Data Sheet 2'!I8,0)</f>
        <v>764</v>
      </c>
      <c r="J9" s="87">
        <f>IFERROR('Data Sheet 2'!J8,0)</f>
        <v>745</v>
      </c>
      <c r="K9" s="87">
        <f>IFERROR('Data Sheet 2'!K8,0)</f>
        <v>811</v>
      </c>
      <c r="L9" s="87">
        <f>IFERROR('Data Sheet 2'!L8,0)</f>
        <v>960</v>
      </c>
      <c r="M9" s="87">
        <f>IFERROR('Data Sheet 2'!M8,0)</f>
        <v>1367</v>
      </c>
      <c r="N9" s="87">
        <f>IFERROR('Data Sheet 2'!N8,0)</f>
        <v>1427</v>
      </c>
    </row>
    <row r="10" spans="2:15" outlineLevel="1">
      <c r="B10" t="s">
        <v>162</v>
      </c>
      <c r="C10" s="87">
        <f>IFERROR('Data Sheet 2'!C9,0)</f>
        <v>9</v>
      </c>
      <c r="D10" s="87">
        <f>IFERROR('Data Sheet 2'!D9,0)</f>
        <v>8</v>
      </c>
      <c r="E10" s="87">
        <f>IFERROR('Data Sheet 2'!E9,0)</f>
        <v>20</v>
      </c>
      <c r="F10" s="87">
        <f>IFERROR('Data Sheet 2'!F9,0)</f>
        <v>15</v>
      </c>
      <c r="G10" s="87">
        <f>IFERROR('Data Sheet 2'!G9,0)</f>
        <v>13</v>
      </c>
      <c r="H10" s="87">
        <f>IFERROR('Data Sheet 2'!H9,0)</f>
        <v>11</v>
      </c>
      <c r="I10" s="87">
        <f>IFERROR('Data Sheet 2'!I9,0)</f>
        <v>15</v>
      </c>
      <c r="J10" s="87">
        <f>IFERROR('Data Sheet 2'!J9,0)</f>
        <v>0</v>
      </c>
      <c r="K10" s="87">
        <f>IFERROR('Data Sheet 2'!K9,0)</f>
        <v>0</v>
      </c>
      <c r="L10" s="87">
        <f>IFERROR('Data Sheet 2'!L9,0)</f>
        <v>0</v>
      </c>
      <c r="M10" s="87">
        <f>IFERROR('Data Sheet 2'!M9,0)</f>
        <v>0</v>
      </c>
      <c r="N10" s="87">
        <f>IFERROR('Data Sheet 2'!N9,0)</f>
        <v>0</v>
      </c>
    </row>
    <row r="11" spans="2:15" outlineLevel="1">
      <c r="B11" s="2" t="s">
        <v>163</v>
      </c>
      <c r="C11" s="87"/>
      <c r="D11" s="87"/>
      <c r="E11" s="87"/>
      <c r="F11" s="87"/>
      <c r="G11" s="87"/>
      <c r="H11" s="87"/>
      <c r="I11" s="87"/>
      <c r="J11" s="87"/>
      <c r="K11" s="87"/>
      <c r="L11" s="87"/>
      <c r="M11" s="87"/>
      <c r="N11" s="87"/>
    </row>
    <row r="12" spans="2:15" outlineLevel="1">
      <c r="B12" t="s">
        <v>164</v>
      </c>
      <c r="C12" s="87">
        <f>IFERROR('Data Sheet 2'!C11,0)</f>
        <v>246</v>
      </c>
      <c r="D12" s="87">
        <f>IFERROR('Data Sheet 2'!D11,0)</f>
        <v>264</v>
      </c>
      <c r="E12" s="87">
        <f>IFERROR('Data Sheet 2'!E11,0)</f>
        <v>384</v>
      </c>
      <c r="F12" s="87">
        <f>IFERROR('Data Sheet 2'!F11,0)</f>
        <v>375</v>
      </c>
      <c r="G12" s="87">
        <f>IFERROR('Data Sheet 2'!G11,0)</f>
        <v>328</v>
      </c>
      <c r="H12" s="87">
        <f>IFERROR('Data Sheet 2'!H11,0)</f>
        <v>361</v>
      </c>
      <c r="I12" s="87">
        <f>IFERROR('Data Sheet 2'!I11,0)</f>
        <v>404</v>
      </c>
      <c r="J12" s="87">
        <f>IFERROR('Data Sheet 2'!J11,0)</f>
        <v>423</v>
      </c>
      <c r="K12" s="87">
        <f>IFERROR('Data Sheet 2'!K11,0)</f>
        <v>388</v>
      </c>
      <c r="L12" s="87">
        <f>IFERROR('Data Sheet 2'!L11,0)</f>
        <v>454</v>
      </c>
      <c r="M12" s="87">
        <f>IFERROR('Data Sheet 2'!M11,0)</f>
        <v>695</v>
      </c>
      <c r="N12" s="87">
        <f>IFERROR('Data Sheet 2'!N11,0)</f>
        <v>659</v>
      </c>
    </row>
    <row r="13" spans="2:15" outlineLevel="1">
      <c r="B13" t="s">
        <v>165</v>
      </c>
      <c r="C13" s="87">
        <f>IFERROR('Data Sheet 2'!C12,0)</f>
        <v>1746</v>
      </c>
      <c r="D13" s="87">
        <f>IFERROR('Data Sheet 2'!D12,0)</f>
        <v>1549</v>
      </c>
      <c r="E13" s="87">
        <f>IFERROR('Data Sheet 2'!E12,0)</f>
        <v>1565</v>
      </c>
      <c r="F13" s="87">
        <f>IFERROR('Data Sheet 2'!F12,0)</f>
        <v>1923</v>
      </c>
      <c r="G13" s="87">
        <f>IFERROR('Data Sheet 2'!G12,0)</f>
        <v>2160</v>
      </c>
      <c r="H13" s="87">
        <f>IFERROR('Data Sheet 2'!H12,0)</f>
        <v>2394</v>
      </c>
      <c r="I13" s="87">
        <f>IFERROR('Data Sheet 2'!I12,0)</f>
        <v>2137</v>
      </c>
      <c r="J13" s="87">
        <f>IFERROR('Data Sheet 2'!J12,0)</f>
        <v>3379</v>
      </c>
      <c r="K13" s="87">
        <f>IFERROR('Data Sheet 2'!K12,0)</f>
        <v>4164</v>
      </c>
      <c r="L13" s="87">
        <f>IFERROR('Data Sheet 2'!L12,0)</f>
        <v>3635</v>
      </c>
      <c r="M13" s="87">
        <f>IFERROR('Data Sheet 2'!M12,0)</f>
        <v>3831</v>
      </c>
      <c r="N13" s="87">
        <f>IFERROR('Data Sheet 2'!N12,0)</f>
        <v>3848</v>
      </c>
    </row>
    <row r="14" spans="2:15" outlineLevel="1">
      <c r="B14" t="s">
        <v>166</v>
      </c>
      <c r="C14" s="87">
        <f>IFERROR('Data Sheet 2'!C13,0)</f>
        <v>0</v>
      </c>
      <c r="D14" s="87">
        <f>IFERROR('Data Sheet 2'!D13,0)</f>
        <v>5</v>
      </c>
      <c r="E14" s="87">
        <f>IFERROR('Data Sheet 2'!E13,0)</f>
        <v>12</v>
      </c>
      <c r="F14" s="87">
        <f>IFERROR('Data Sheet 2'!F13,0)</f>
        <v>17</v>
      </c>
      <c r="G14" s="87">
        <f>IFERROR('Data Sheet 2'!G13,0)</f>
        <v>16</v>
      </c>
      <c r="H14" s="87">
        <f>IFERROR('Data Sheet 2'!H13,0)</f>
        <v>13</v>
      </c>
      <c r="I14" s="87">
        <f>IFERROR('Data Sheet 2'!I13,0)</f>
        <v>29</v>
      </c>
      <c r="J14" s="87">
        <f>IFERROR('Data Sheet 2'!J13,0)</f>
        <v>41</v>
      </c>
      <c r="K14" s="87">
        <f>IFERROR('Data Sheet 2'!K13,0)</f>
        <v>76</v>
      </c>
      <c r="L14" s="87">
        <f>IFERROR('Data Sheet 2'!L13,0)</f>
        <v>108</v>
      </c>
      <c r="M14" s="87">
        <f>IFERROR('Data Sheet 2'!M13,0)</f>
        <v>154</v>
      </c>
      <c r="N14" s="87">
        <f>IFERROR('Data Sheet 2'!N13,0)</f>
        <v>173</v>
      </c>
    </row>
    <row r="15" spans="2:15" outlineLevel="1">
      <c r="B15" t="s">
        <v>167</v>
      </c>
      <c r="C15" s="87">
        <f>IFERROR('Data Sheet 2'!C14,0)</f>
        <v>1795</v>
      </c>
      <c r="D15" s="87">
        <f>IFERROR('Data Sheet 2'!D14,0)</f>
        <v>1937</v>
      </c>
      <c r="E15" s="87">
        <f>IFERROR('Data Sheet 2'!E14,0)</f>
        <v>1750</v>
      </c>
      <c r="F15" s="87">
        <f>IFERROR('Data Sheet 2'!F14,0)</f>
        <v>1925</v>
      </c>
      <c r="G15" s="87">
        <f>IFERROR('Data Sheet 2'!G14,0)</f>
        <v>2316</v>
      </c>
      <c r="H15" s="87">
        <f>IFERROR('Data Sheet 2'!H14,0)</f>
        <v>2690</v>
      </c>
      <c r="I15" s="87">
        <f>IFERROR('Data Sheet 2'!I14,0)</f>
        <v>2320</v>
      </c>
      <c r="J15" s="87">
        <f>IFERROR('Data Sheet 2'!J14,0)</f>
        <v>2613</v>
      </c>
      <c r="K15" s="87">
        <f>IFERROR('Data Sheet 2'!K14,0)</f>
        <v>2932</v>
      </c>
      <c r="L15" s="87">
        <f>IFERROR('Data Sheet 2'!L14,0)</f>
        <v>3657</v>
      </c>
      <c r="M15" s="87">
        <f>IFERROR('Data Sheet 2'!M14,0)</f>
        <v>4017</v>
      </c>
      <c r="N15" s="87">
        <f>IFERROR('Data Sheet 2'!N14,0)</f>
        <v>3985</v>
      </c>
    </row>
    <row r="16" spans="2:15">
      <c r="B16" s="85" t="s">
        <v>103</v>
      </c>
      <c r="C16" s="92">
        <f>SUM(C4:C15)</f>
        <v>8075</v>
      </c>
      <c r="D16" s="92">
        <f t="shared" ref="D16:N16" si="0">SUM(D4:D15)</f>
        <v>8915</v>
      </c>
      <c r="E16" s="92">
        <f t="shared" si="0"/>
        <v>10560</v>
      </c>
      <c r="F16" s="92">
        <f t="shared" si="0"/>
        <v>12404</v>
      </c>
      <c r="G16" s="92">
        <f t="shared" si="0"/>
        <v>13763</v>
      </c>
      <c r="H16" s="92">
        <f t="shared" si="0"/>
        <v>16249</v>
      </c>
      <c r="I16" s="92">
        <f t="shared" si="0"/>
        <v>16139</v>
      </c>
      <c r="J16" s="92">
        <f t="shared" si="0"/>
        <v>20356</v>
      </c>
      <c r="K16" s="92">
        <f t="shared" si="0"/>
        <v>22959</v>
      </c>
      <c r="L16" s="92">
        <f t="shared" si="0"/>
        <v>25778</v>
      </c>
      <c r="M16" s="92">
        <f t="shared" si="0"/>
        <v>29899</v>
      </c>
      <c r="N16" s="92">
        <f t="shared" si="0"/>
        <v>30356</v>
      </c>
    </row>
    <row r="17" spans="2:14">
      <c r="C17" s="83"/>
      <c r="D17" s="83"/>
      <c r="E17" s="83"/>
      <c r="F17" s="83"/>
      <c r="G17" s="83"/>
      <c r="H17" s="83"/>
      <c r="I17" s="83"/>
      <c r="J17" s="83"/>
      <c r="K17" s="83"/>
      <c r="L17" s="83"/>
      <c r="M17" s="83"/>
      <c r="N17" s="83"/>
    </row>
    <row r="18" spans="2:14" outlineLevel="1">
      <c r="B18" s="2" t="s">
        <v>168</v>
      </c>
      <c r="C18" s="83"/>
      <c r="D18" s="83"/>
      <c r="E18" s="83"/>
      <c r="F18" s="83"/>
      <c r="G18" s="83"/>
      <c r="H18" s="83"/>
      <c r="I18" s="83"/>
      <c r="J18" s="83"/>
      <c r="K18" s="83"/>
      <c r="L18" s="83"/>
      <c r="M18" s="83"/>
      <c r="N18" s="83"/>
    </row>
    <row r="19" spans="2:14" outlineLevel="1">
      <c r="B19" t="s">
        <v>169</v>
      </c>
      <c r="C19" s="87">
        <f>IFERROR('Data Sheet 2'!C17,0)</f>
        <v>247</v>
      </c>
      <c r="D19" s="87">
        <f>IFERROR('Data Sheet 2'!D17,0)</f>
        <v>251</v>
      </c>
      <c r="E19" s="87">
        <f>IFERROR('Data Sheet 2'!E17,0)</f>
        <v>429</v>
      </c>
      <c r="F19" s="87">
        <f>IFERROR('Data Sheet 2'!F17,0)</f>
        <v>408</v>
      </c>
      <c r="G19" s="87">
        <f>IFERROR('Data Sheet 2'!G17,0)</f>
        <v>586</v>
      </c>
      <c r="H19" s="87">
        <f>IFERROR('Data Sheet 2'!H17,0)</f>
        <v>605</v>
      </c>
      <c r="I19" s="87">
        <f>IFERROR('Data Sheet 2'!I17,0)</f>
        <v>640</v>
      </c>
      <c r="J19" s="87">
        <f>IFERROR('Data Sheet 2'!J17,0)</f>
        <v>644</v>
      </c>
      <c r="K19" s="87">
        <f>IFERROR('Data Sheet 2'!K17,0)</f>
        <v>644</v>
      </c>
      <c r="L19" s="87">
        <f>IFERROR('Data Sheet 2'!L17,0)</f>
        <v>804</v>
      </c>
      <c r="M19" s="87">
        <f>IFERROR('Data Sheet 2'!M17,0)</f>
        <v>1126</v>
      </c>
      <c r="N19" s="87">
        <f>IFERROR('Data Sheet 2'!N17,0)</f>
        <v>1050</v>
      </c>
    </row>
    <row r="20" spans="2:14" outlineLevel="1">
      <c r="B20" t="s">
        <v>170</v>
      </c>
      <c r="C20" s="87">
        <f>IFERROR('Data Sheet 2'!C18,0)</f>
        <v>931</v>
      </c>
      <c r="D20" s="87">
        <f>IFERROR('Data Sheet 2'!D18,0)</f>
        <v>962</v>
      </c>
      <c r="E20" s="87">
        <f>IFERROR('Data Sheet 2'!E18,0)</f>
        <v>923</v>
      </c>
      <c r="F20" s="87">
        <f>IFERROR('Data Sheet 2'!F18,0)</f>
        <v>931</v>
      </c>
      <c r="G20" s="87">
        <f>IFERROR('Data Sheet 2'!G18,0)</f>
        <v>957</v>
      </c>
      <c r="H20" s="87">
        <f>IFERROR('Data Sheet 2'!H18,0)</f>
        <v>2402</v>
      </c>
      <c r="I20" s="87">
        <f>IFERROR('Data Sheet 2'!I18,0)</f>
        <v>2257</v>
      </c>
      <c r="J20" s="87">
        <f>IFERROR('Data Sheet 2'!J18,0)</f>
        <v>2249</v>
      </c>
      <c r="K20" s="87">
        <f>IFERROR('Data Sheet 2'!K18,0)</f>
        <v>2325</v>
      </c>
      <c r="L20" s="87">
        <f>IFERROR('Data Sheet 2'!L18,0)</f>
        <v>2883</v>
      </c>
      <c r="M20" s="87">
        <f>IFERROR('Data Sheet 2'!M18,0)</f>
        <v>3390</v>
      </c>
      <c r="N20" s="87">
        <f>IFERROR('Data Sheet 2'!N18,0)</f>
        <v>4136</v>
      </c>
    </row>
    <row r="21" spans="2:14" outlineLevel="1">
      <c r="B21" t="s">
        <v>171</v>
      </c>
      <c r="C21" s="87">
        <f>IFERROR('Data Sheet 2'!C19,0)</f>
        <v>2054</v>
      </c>
      <c r="D21" s="87">
        <f>IFERROR('Data Sheet 2'!D19,0)</f>
        <v>2132</v>
      </c>
      <c r="E21" s="87">
        <f>IFERROR('Data Sheet 2'!E19,0)</f>
        <v>1793</v>
      </c>
      <c r="F21" s="87">
        <f>IFERROR('Data Sheet 2'!F19,0)</f>
        <v>1980</v>
      </c>
      <c r="G21" s="87">
        <f>IFERROR('Data Sheet 2'!G19,0)</f>
        <v>2157</v>
      </c>
      <c r="H21" s="87">
        <f>IFERROR('Data Sheet 2'!H19,0)</f>
        <v>4006</v>
      </c>
      <c r="I21" s="87">
        <f>IFERROR('Data Sheet 2'!I19,0)</f>
        <v>4208</v>
      </c>
      <c r="J21" s="87">
        <f>IFERROR('Data Sheet 2'!J19,0)</f>
        <v>4340</v>
      </c>
      <c r="K21" s="87">
        <f>IFERROR('Data Sheet 2'!K19,0)</f>
        <v>4531</v>
      </c>
      <c r="L21" s="87">
        <f>IFERROR('Data Sheet 2'!L19,0)</f>
        <v>4825</v>
      </c>
      <c r="M21" s="87">
        <f>IFERROR('Data Sheet 2'!M19,0)</f>
        <v>5422</v>
      </c>
      <c r="N21" s="87">
        <f>IFERROR('Data Sheet 2'!N19,0)</f>
        <v>7576</v>
      </c>
    </row>
    <row r="22" spans="2:14" outlineLevel="1">
      <c r="B22" t="s">
        <v>172</v>
      </c>
      <c r="C22" s="87">
        <f>IFERROR('Data Sheet 2'!C20,0)</f>
        <v>155</v>
      </c>
      <c r="D22" s="87">
        <f>IFERROR('Data Sheet 2'!D20,0)</f>
        <v>171</v>
      </c>
      <c r="E22" s="87">
        <f>IFERROR('Data Sheet 2'!E20,0)</f>
        <v>97</v>
      </c>
      <c r="F22" s="87">
        <f>IFERROR('Data Sheet 2'!F20,0)</f>
        <v>119</v>
      </c>
      <c r="G22" s="87">
        <f>IFERROR('Data Sheet 2'!G20,0)</f>
        <v>200</v>
      </c>
      <c r="H22" s="87">
        <f>IFERROR('Data Sheet 2'!H20,0)</f>
        <v>221</v>
      </c>
      <c r="I22" s="87">
        <f>IFERROR('Data Sheet 2'!I20,0)</f>
        <v>241</v>
      </c>
      <c r="J22" s="87">
        <f>IFERROR('Data Sheet 2'!J20,0)</f>
        <v>243</v>
      </c>
      <c r="K22" s="87">
        <f>IFERROR('Data Sheet 2'!K20,0)</f>
        <v>253</v>
      </c>
      <c r="L22" s="87">
        <f>IFERROR('Data Sheet 2'!L20,0)</f>
        <v>270</v>
      </c>
      <c r="M22" s="87">
        <f>IFERROR('Data Sheet 2'!M20,0)</f>
        <v>298</v>
      </c>
      <c r="N22" s="87">
        <f>IFERROR('Data Sheet 2'!N20,0)</f>
        <v>325</v>
      </c>
    </row>
    <row r="23" spans="2:14" outlineLevel="1">
      <c r="B23" t="s">
        <v>173</v>
      </c>
      <c r="C23" s="87">
        <f>IFERROR('Data Sheet 2'!C21,0)</f>
        <v>71</v>
      </c>
      <c r="D23" s="87">
        <f>IFERROR('Data Sheet 2'!D21,0)</f>
        <v>83</v>
      </c>
      <c r="E23" s="87">
        <f>IFERROR('Data Sheet 2'!E21,0)</f>
        <v>49</v>
      </c>
      <c r="F23" s="87">
        <f>IFERROR('Data Sheet 2'!F21,0)</f>
        <v>59</v>
      </c>
      <c r="G23" s="87">
        <f>IFERROR('Data Sheet 2'!G21,0)</f>
        <v>72</v>
      </c>
      <c r="H23" s="87">
        <f>IFERROR('Data Sheet 2'!H21,0)</f>
        <v>88</v>
      </c>
      <c r="I23" s="87">
        <f>IFERROR('Data Sheet 2'!I21,0)</f>
        <v>94</v>
      </c>
      <c r="J23" s="87">
        <f>IFERROR('Data Sheet 2'!J21,0)</f>
        <v>99</v>
      </c>
      <c r="K23" s="87">
        <f>IFERROR('Data Sheet 2'!K21,0)</f>
        <v>113</v>
      </c>
      <c r="L23" s="87">
        <f>IFERROR('Data Sheet 2'!L21,0)</f>
        <v>146</v>
      </c>
      <c r="M23" s="87">
        <f>IFERROR('Data Sheet 2'!M21,0)</f>
        <v>175</v>
      </c>
      <c r="N23" s="87">
        <f>IFERROR('Data Sheet 2'!N21,0)</f>
        <v>203</v>
      </c>
    </row>
    <row r="24" spans="2:14" outlineLevel="1">
      <c r="B24" t="s">
        <v>174</v>
      </c>
      <c r="C24" s="87">
        <f>IFERROR('Data Sheet 2'!C22,0)</f>
        <v>14</v>
      </c>
      <c r="D24" s="87">
        <f>IFERROR('Data Sheet 2'!D22,0)</f>
        <v>18</v>
      </c>
      <c r="E24" s="87">
        <f>IFERROR('Data Sheet 2'!E22,0)</f>
        <v>11</v>
      </c>
      <c r="F24" s="87">
        <f>IFERROR('Data Sheet 2'!F22,0)</f>
        <v>14</v>
      </c>
      <c r="G24" s="87">
        <f>IFERROR('Data Sheet 2'!G22,0)</f>
        <v>27</v>
      </c>
      <c r="H24" s="87">
        <f>IFERROR('Data Sheet 2'!H22,0)</f>
        <v>47</v>
      </c>
      <c r="I24" s="87">
        <f>IFERROR('Data Sheet 2'!I22,0)</f>
        <v>43</v>
      </c>
      <c r="J24" s="87">
        <f>IFERROR('Data Sheet 2'!J22,0)</f>
        <v>38</v>
      </c>
      <c r="K24" s="87">
        <f>IFERROR('Data Sheet 2'!K22,0)</f>
        <v>32</v>
      </c>
      <c r="L24" s="87">
        <f>IFERROR('Data Sheet 2'!L22,0)</f>
        <v>36</v>
      </c>
      <c r="M24" s="87">
        <f>IFERROR('Data Sheet 2'!M22,0)</f>
        <v>40</v>
      </c>
      <c r="N24" s="87">
        <f>IFERROR('Data Sheet 2'!N22,0)</f>
        <v>39</v>
      </c>
    </row>
    <row r="25" spans="2:14" outlineLevel="1">
      <c r="B25" t="s">
        <v>175</v>
      </c>
      <c r="C25" s="87">
        <f>IFERROR('Data Sheet 2'!C23,0)</f>
        <v>203</v>
      </c>
      <c r="D25" s="87">
        <f>IFERROR('Data Sheet 2'!D23,0)</f>
        <v>351</v>
      </c>
      <c r="E25" s="87">
        <f>IFERROR('Data Sheet 2'!E23,0)</f>
        <v>339</v>
      </c>
      <c r="F25" s="87">
        <f>IFERROR('Data Sheet 2'!F23,0)</f>
        <v>276</v>
      </c>
      <c r="G25" s="87">
        <f>IFERROR('Data Sheet 2'!G23,0)</f>
        <v>468</v>
      </c>
      <c r="H25" s="87">
        <f>IFERROR('Data Sheet 2'!H23,0)</f>
        <v>512</v>
      </c>
      <c r="I25" s="87">
        <f>IFERROR('Data Sheet 2'!I23,0)</f>
        <v>505</v>
      </c>
      <c r="J25" s="87">
        <f>IFERROR('Data Sheet 2'!J23,0)</f>
        <v>476</v>
      </c>
      <c r="K25" s="87">
        <f>IFERROR('Data Sheet 2'!K23,0)</f>
        <v>345</v>
      </c>
      <c r="L25" s="87">
        <f>IFERROR('Data Sheet 2'!L23,0)</f>
        <v>422</v>
      </c>
      <c r="M25" s="87">
        <f>IFERROR('Data Sheet 2'!M23,0)</f>
        <v>850</v>
      </c>
      <c r="N25" s="87">
        <f>IFERROR('Data Sheet 2'!N23,0)</f>
        <v>827</v>
      </c>
    </row>
    <row r="26" spans="2:14" outlineLevel="1">
      <c r="B26" t="s">
        <v>176</v>
      </c>
      <c r="C26" s="87">
        <f>IFERROR('Data Sheet 2'!C24,0)</f>
        <v>128</v>
      </c>
      <c r="D26" s="87">
        <f>IFERROR('Data Sheet 2'!D24,0)</f>
        <v>145</v>
      </c>
      <c r="E26" s="87">
        <f>IFERROR('Data Sheet 2'!E24,0)</f>
        <v>103</v>
      </c>
      <c r="F26" s="87">
        <f>IFERROR('Data Sheet 2'!F24,0)</f>
        <v>128</v>
      </c>
      <c r="G26" s="87">
        <f>IFERROR('Data Sheet 2'!G24,0)</f>
        <v>238</v>
      </c>
      <c r="H26" s="87">
        <f>IFERROR('Data Sheet 2'!H24,0)</f>
        <v>261</v>
      </c>
      <c r="I26" s="87">
        <f>IFERROR('Data Sheet 2'!I24,0)</f>
        <v>293</v>
      </c>
      <c r="J26" s="87">
        <f>IFERROR('Data Sheet 2'!J24,0)</f>
        <v>302</v>
      </c>
      <c r="K26" s="87">
        <f>IFERROR('Data Sheet 2'!K24,0)</f>
        <v>294</v>
      </c>
      <c r="L26" s="87">
        <f>IFERROR('Data Sheet 2'!L24,0)</f>
        <v>289</v>
      </c>
      <c r="M26" s="87">
        <f>IFERROR('Data Sheet 2'!M24,0)</f>
        <v>321</v>
      </c>
      <c r="N26" s="87">
        <f>IFERROR('Data Sheet 2'!N24,0)</f>
        <v>328</v>
      </c>
    </row>
    <row r="27" spans="2:14" outlineLevel="1">
      <c r="B27" s="2" t="s">
        <v>177</v>
      </c>
      <c r="C27" s="89">
        <f>SUM(C19:C26)</f>
        <v>3803</v>
      </c>
      <c r="D27" s="89">
        <f t="shared" ref="D27:N27" si="1">SUM(D19:D26)</f>
        <v>4113</v>
      </c>
      <c r="E27" s="89">
        <f t="shared" si="1"/>
        <v>3744</v>
      </c>
      <c r="F27" s="89">
        <f t="shared" si="1"/>
        <v>3915</v>
      </c>
      <c r="G27" s="89">
        <f t="shared" si="1"/>
        <v>4705</v>
      </c>
      <c r="H27" s="89">
        <f t="shared" si="1"/>
        <v>8142</v>
      </c>
      <c r="I27" s="89">
        <f t="shared" si="1"/>
        <v>8281</v>
      </c>
      <c r="J27" s="89">
        <f t="shared" si="1"/>
        <v>8391</v>
      </c>
      <c r="K27" s="89">
        <f t="shared" si="1"/>
        <v>8537</v>
      </c>
      <c r="L27" s="89">
        <f t="shared" si="1"/>
        <v>9675</v>
      </c>
      <c r="M27" s="89">
        <f t="shared" si="1"/>
        <v>11622</v>
      </c>
      <c r="N27" s="89">
        <f t="shared" si="1"/>
        <v>14484</v>
      </c>
    </row>
    <row r="28" spans="2:14" outlineLevel="1">
      <c r="B28" s="2" t="s">
        <v>178</v>
      </c>
      <c r="C28" s="88">
        <f>IFERROR('Data Sheet 2'!C26,0)</f>
        <v>1242</v>
      </c>
      <c r="D28" s="88">
        <f>IFERROR('Data Sheet 2'!D26,0)</f>
        <v>1452</v>
      </c>
      <c r="E28" s="88">
        <f>IFERROR('Data Sheet 2'!E26,0)</f>
        <v>327</v>
      </c>
      <c r="F28" s="88">
        <f>IFERROR('Data Sheet 2'!F26,0)</f>
        <v>610</v>
      </c>
      <c r="G28" s="88">
        <f>IFERROR('Data Sheet 2'!G26,0)</f>
        <v>973</v>
      </c>
      <c r="H28" s="88">
        <f>IFERROR('Data Sheet 2'!H26,0)</f>
        <v>1644</v>
      </c>
      <c r="I28" s="88">
        <f>IFERROR('Data Sheet 2'!I26,0)</f>
        <v>2010</v>
      </c>
      <c r="J28" s="88">
        <f>IFERROR('Data Sheet 2'!J26,0)</f>
        <v>2533</v>
      </c>
      <c r="K28" s="88">
        <f>IFERROR('Data Sheet 2'!K26,0)</f>
        <v>3019</v>
      </c>
      <c r="L28" s="88">
        <f>IFERROR('Data Sheet 2'!L26,0)</f>
        <v>3905</v>
      </c>
      <c r="M28" s="88">
        <f>IFERROR('Data Sheet 2'!M26,0)</f>
        <v>4475</v>
      </c>
      <c r="N28" s="88">
        <f>IFERROR('Data Sheet 2'!N26,0)</f>
        <v>5264</v>
      </c>
    </row>
    <row r="29" spans="2:14" outlineLevel="1">
      <c r="B29" s="90" t="s">
        <v>146</v>
      </c>
      <c r="C29" s="91">
        <f>C27-C28</f>
        <v>2561</v>
      </c>
      <c r="D29" s="91">
        <f t="shared" ref="D29:N29" si="2">D27-D28</f>
        <v>2661</v>
      </c>
      <c r="E29" s="91">
        <f t="shared" si="2"/>
        <v>3417</v>
      </c>
      <c r="F29" s="91">
        <f t="shared" si="2"/>
        <v>3305</v>
      </c>
      <c r="G29" s="91">
        <f t="shared" si="2"/>
        <v>3732</v>
      </c>
      <c r="H29" s="91">
        <f t="shared" si="2"/>
        <v>6498</v>
      </c>
      <c r="I29" s="91">
        <f t="shared" si="2"/>
        <v>6271</v>
      </c>
      <c r="J29" s="91">
        <f t="shared" si="2"/>
        <v>5858</v>
      </c>
      <c r="K29" s="91">
        <f t="shared" si="2"/>
        <v>5518</v>
      </c>
      <c r="L29" s="91">
        <f t="shared" si="2"/>
        <v>5770</v>
      </c>
      <c r="M29" s="91">
        <f t="shared" si="2"/>
        <v>7147</v>
      </c>
      <c r="N29" s="91">
        <f t="shared" si="2"/>
        <v>9220</v>
      </c>
    </row>
    <row r="30" spans="2:14" outlineLevel="1">
      <c r="B30" s="2"/>
      <c r="C30" s="88"/>
      <c r="D30" s="88"/>
      <c r="E30" s="88"/>
      <c r="F30" s="88"/>
      <c r="G30" s="88"/>
      <c r="H30" s="88"/>
      <c r="I30" s="88"/>
      <c r="J30" s="88"/>
      <c r="K30" s="88"/>
      <c r="L30" s="88"/>
      <c r="M30" s="88"/>
      <c r="N30" s="88"/>
    </row>
    <row r="31" spans="2:14" outlineLevel="1">
      <c r="B31" s="2" t="s">
        <v>179</v>
      </c>
      <c r="C31" s="87">
        <f>IFERROR('Data Sheet 2'!C27,0)</f>
        <v>72</v>
      </c>
      <c r="D31" s="87">
        <f>IFERROR('Data Sheet 2'!D27,0)</f>
        <v>196</v>
      </c>
      <c r="E31" s="87">
        <f>IFERROR('Data Sheet 2'!E27,0)</f>
        <v>107</v>
      </c>
      <c r="F31" s="87">
        <f>IFERROR('Data Sheet 2'!F27,0)</f>
        <v>258</v>
      </c>
      <c r="G31" s="87">
        <f>IFERROR('Data Sheet 2'!G27,0)</f>
        <v>1405</v>
      </c>
      <c r="H31" s="87">
        <f>IFERROR('Data Sheet 2'!H27,0)</f>
        <v>210</v>
      </c>
      <c r="I31" s="87">
        <f>IFERROR('Data Sheet 2'!I27,0)</f>
        <v>140</v>
      </c>
      <c r="J31" s="87">
        <f>IFERROR('Data Sheet 2'!J27,0)</f>
        <v>183</v>
      </c>
      <c r="K31" s="87">
        <f>IFERROR('Data Sheet 2'!K27,0)</f>
        <v>426</v>
      </c>
      <c r="L31" s="87">
        <f>IFERROR('Data Sheet 2'!L27,0)</f>
        <v>1020</v>
      </c>
      <c r="M31" s="87">
        <f>IFERROR('Data Sheet 2'!M27,0)</f>
        <v>2698</v>
      </c>
      <c r="N31" s="87">
        <f>IFERROR('Data Sheet 2'!N27,0)</f>
        <v>1254</v>
      </c>
    </row>
    <row r="32" spans="2:14" outlineLevel="1">
      <c r="B32" s="2" t="s">
        <v>106</v>
      </c>
      <c r="C32" s="87">
        <f>IFERROR('Data Sheet 2'!C28,0)</f>
        <v>1424</v>
      </c>
      <c r="D32" s="87">
        <f>IFERROR('Data Sheet 2'!D28,0)</f>
        <v>1588</v>
      </c>
      <c r="E32" s="87">
        <f>IFERROR('Data Sheet 2'!E28,0)</f>
        <v>2712</v>
      </c>
      <c r="F32" s="87">
        <f>IFERROR('Data Sheet 2'!F28,0)</f>
        <v>2652</v>
      </c>
      <c r="G32" s="87">
        <f>IFERROR('Data Sheet 2'!G28,0)</f>
        <v>2141</v>
      </c>
      <c r="H32" s="87">
        <f>IFERROR('Data Sheet 2'!H28,0)</f>
        <v>2569</v>
      </c>
      <c r="I32" s="87">
        <f>IFERROR('Data Sheet 2'!I28,0)</f>
        <v>2019</v>
      </c>
      <c r="J32" s="87">
        <f>IFERROR('Data Sheet 2'!J28,0)</f>
        <v>4737</v>
      </c>
      <c r="K32" s="87">
        <f>IFERROR('Data Sheet 2'!K28,0)</f>
        <v>3248</v>
      </c>
      <c r="L32" s="87">
        <f>IFERROR('Data Sheet 2'!L28,0)</f>
        <v>4262</v>
      </c>
      <c r="M32" s="87">
        <f>IFERROR('Data Sheet 2'!M28,0)</f>
        <v>4588</v>
      </c>
      <c r="N32" s="87">
        <f>IFERROR('Data Sheet 2'!N28,0)</f>
        <v>4725</v>
      </c>
    </row>
    <row r="33" spans="2:14" outlineLevel="1">
      <c r="B33" s="2"/>
      <c r="C33" s="88"/>
      <c r="D33" s="88"/>
      <c r="E33" s="88"/>
      <c r="F33" s="88"/>
      <c r="G33" s="88"/>
      <c r="H33" s="88"/>
      <c r="I33" s="88"/>
      <c r="J33" s="88"/>
      <c r="K33" s="88"/>
      <c r="L33" s="88"/>
      <c r="M33" s="88"/>
      <c r="N33" s="88"/>
    </row>
    <row r="34" spans="2:14" outlineLevel="1">
      <c r="B34" s="2" t="s">
        <v>180</v>
      </c>
      <c r="C34" s="88"/>
      <c r="D34" s="88"/>
      <c r="E34" s="88"/>
      <c r="F34" s="88"/>
      <c r="G34" s="88"/>
      <c r="H34" s="88"/>
      <c r="I34" s="88"/>
      <c r="J34" s="88"/>
      <c r="K34" s="88"/>
      <c r="L34" s="88"/>
      <c r="M34" s="88"/>
      <c r="N34" s="88"/>
    </row>
    <row r="35" spans="2:14" outlineLevel="1">
      <c r="B35" t="s">
        <v>181</v>
      </c>
      <c r="C35" s="87">
        <f>IFERROR('Data Sheet 2'!C30,0)</f>
        <v>2070</v>
      </c>
      <c r="D35" s="87">
        <f>IFERROR('Data Sheet 2'!D30,0)</f>
        <v>2259</v>
      </c>
      <c r="E35" s="87">
        <f>IFERROR('Data Sheet 2'!E30,0)</f>
        <v>1998</v>
      </c>
      <c r="F35" s="87">
        <f>IFERROR('Data Sheet 2'!F30,0)</f>
        <v>2627</v>
      </c>
      <c r="G35" s="87">
        <f>IFERROR('Data Sheet 2'!G30,0)</f>
        <v>2658</v>
      </c>
      <c r="H35" s="87">
        <f>IFERROR('Data Sheet 2'!H30,0)</f>
        <v>3150</v>
      </c>
      <c r="I35" s="87">
        <f>IFERROR('Data Sheet 2'!I30,0)</f>
        <v>3390</v>
      </c>
      <c r="J35" s="87">
        <f>IFERROR('Data Sheet 2'!J30,0)</f>
        <v>3799</v>
      </c>
      <c r="K35" s="87">
        <f>IFERROR('Data Sheet 2'!K30,0)</f>
        <v>6153</v>
      </c>
      <c r="L35" s="87">
        <f>IFERROR('Data Sheet 2'!L30,0)</f>
        <v>6211</v>
      </c>
      <c r="M35" s="87">
        <f>IFERROR('Data Sheet 2'!M30,0)</f>
        <v>5923</v>
      </c>
      <c r="N35" s="87">
        <f>IFERROR('Data Sheet 2'!N30,0)</f>
        <v>6719</v>
      </c>
    </row>
    <row r="36" spans="2:14" outlineLevel="1">
      <c r="B36" t="s">
        <v>182</v>
      </c>
      <c r="C36" s="87">
        <f>IFERROR('Data Sheet 2'!C31,0)</f>
        <v>1110</v>
      </c>
      <c r="D36" s="87">
        <f>IFERROR('Data Sheet 2'!D31,0)</f>
        <v>1182</v>
      </c>
      <c r="E36" s="87">
        <f>IFERROR('Data Sheet 2'!E31,0)</f>
        <v>1187</v>
      </c>
      <c r="F36" s="87">
        <f>IFERROR('Data Sheet 2'!F31,0)</f>
        <v>1447</v>
      </c>
      <c r="G36" s="87">
        <f>IFERROR('Data Sheet 2'!G31,0)</f>
        <v>1731</v>
      </c>
      <c r="H36" s="87">
        <f>IFERROR('Data Sheet 2'!H31,0)</f>
        <v>1907</v>
      </c>
      <c r="I36" s="87">
        <f>IFERROR('Data Sheet 2'!I31,0)</f>
        <v>1795</v>
      </c>
      <c r="J36" s="87">
        <f>IFERROR('Data Sheet 2'!J31,0)</f>
        <v>2602</v>
      </c>
      <c r="K36" s="87">
        <f>IFERROR('Data Sheet 2'!K31,0)</f>
        <v>3871</v>
      </c>
      <c r="L36" s="87">
        <f>IFERROR('Data Sheet 2'!L31,0)</f>
        <v>4637</v>
      </c>
      <c r="M36" s="87">
        <f>IFERROR('Data Sheet 2'!M31,0)</f>
        <v>4889</v>
      </c>
      <c r="N36" s="87">
        <f>IFERROR('Data Sheet 2'!N31,0)</f>
        <v>4314</v>
      </c>
    </row>
    <row r="37" spans="2:14" outlineLevel="1">
      <c r="B37" t="s">
        <v>183</v>
      </c>
      <c r="C37" s="87">
        <f>IFERROR('Data Sheet 2'!C32,0)</f>
        <v>229</v>
      </c>
      <c r="D37" s="87">
        <f>IFERROR('Data Sheet 2'!D32,0)</f>
        <v>204</v>
      </c>
      <c r="E37" s="87">
        <f>IFERROR('Data Sheet 2'!E32,0)</f>
        <v>424</v>
      </c>
      <c r="F37" s="87">
        <f>IFERROR('Data Sheet 2'!F32,0)</f>
        <v>801</v>
      </c>
      <c r="G37" s="87">
        <f>IFERROR('Data Sheet 2'!G32,0)</f>
        <v>405</v>
      </c>
      <c r="H37" s="87">
        <f>IFERROR('Data Sheet 2'!H32,0)</f>
        <v>445</v>
      </c>
      <c r="I37" s="87">
        <f>IFERROR('Data Sheet 2'!I32,0)</f>
        <v>783</v>
      </c>
      <c r="J37" s="87">
        <f>IFERROR('Data Sheet 2'!J32,0)</f>
        <v>611</v>
      </c>
      <c r="K37" s="87">
        <f>IFERROR('Data Sheet 2'!K32,0)</f>
        <v>864</v>
      </c>
      <c r="L37" s="87">
        <f>IFERROR('Data Sheet 2'!L32,0)</f>
        <v>844</v>
      </c>
      <c r="M37" s="87">
        <f>IFERROR('Data Sheet 2'!M32,0)</f>
        <v>1084</v>
      </c>
      <c r="N37" s="87">
        <f>IFERROR('Data Sheet 2'!N32,0)</f>
        <v>782</v>
      </c>
    </row>
    <row r="38" spans="2:14" outlineLevel="1">
      <c r="B38" t="s">
        <v>184</v>
      </c>
      <c r="C38" s="87">
        <f>IFERROR('Data Sheet 2'!C33,0)</f>
        <v>7</v>
      </c>
      <c r="D38" s="87">
        <f>IFERROR('Data Sheet 2'!D33,0)</f>
        <v>8</v>
      </c>
      <c r="E38" s="87">
        <f>IFERROR('Data Sheet 2'!E33,0)</f>
        <v>9</v>
      </c>
      <c r="F38" s="87">
        <f>IFERROR('Data Sheet 2'!F33,0)</f>
        <v>14</v>
      </c>
      <c r="G38" s="87">
        <f>IFERROR('Data Sheet 2'!G33,0)</f>
        <v>13</v>
      </c>
      <c r="H38" s="87">
        <f>IFERROR('Data Sheet 2'!H33,0)</f>
        <v>16</v>
      </c>
      <c r="I38" s="87">
        <f>IFERROR('Data Sheet 2'!I33,0)</f>
        <v>12</v>
      </c>
      <c r="J38" s="87">
        <f>IFERROR('Data Sheet 2'!J33,0)</f>
        <v>11</v>
      </c>
      <c r="K38" s="87">
        <f>IFERROR('Data Sheet 2'!K33,0)</f>
        <v>8</v>
      </c>
      <c r="L38" s="87">
        <f>IFERROR('Data Sheet 2'!L33,0)</f>
        <v>12</v>
      </c>
      <c r="M38" s="87">
        <f>IFERROR('Data Sheet 2'!M33,0)</f>
        <v>17</v>
      </c>
      <c r="N38" s="87">
        <f>IFERROR('Data Sheet 2'!N33,0)</f>
        <v>22</v>
      </c>
    </row>
    <row r="39" spans="2:14" outlineLevel="1">
      <c r="B39" t="s">
        <v>185</v>
      </c>
      <c r="C39" s="87">
        <f>IFERROR('Data Sheet 2'!C34,0)</f>
        <v>603</v>
      </c>
      <c r="D39" s="87">
        <f>IFERROR('Data Sheet 2'!D34,0)</f>
        <v>817</v>
      </c>
      <c r="E39" s="87">
        <f>IFERROR('Data Sheet 2'!E34,0)</f>
        <v>705</v>
      </c>
      <c r="F39" s="87">
        <f>IFERROR('Data Sheet 2'!F34,0)</f>
        <v>1303</v>
      </c>
      <c r="G39" s="87">
        <f>IFERROR('Data Sheet 2'!G34,0)</f>
        <v>1678</v>
      </c>
      <c r="H39" s="87">
        <f>IFERROR('Data Sheet 2'!H34,0)</f>
        <v>1456</v>
      </c>
      <c r="I39" s="87">
        <f>IFERROR('Data Sheet 2'!I34,0)</f>
        <v>1727</v>
      </c>
      <c r="J39" s="87">
        <f>IFERROR('Data Sheet 2'!J34,0)</f>
        <v>2555</v>
      </c>
      <c r="K39" s="87">
        <f>IFERROR('Data Sheet 2'!K34,0)</f>
        <v>2869</v>
      </c>
      <c r="L39" s="87">
        <f>IFERROR('Data Sheet 2'!L34,0)</f>
        <v>3024</v>
      </c>
      <c r="M39" s="87">
        <f>IFERROR('Data Sheet 2'!M34,0)</f>
        <v>3555</v>
      </c>
      <c r="N39" s="87">
        <f>IFERROR('Data Sheet 2'!N34,0)</f>
        <v>3319</v>
      </c>
    </row>
    <row r="40" spans="2:14">
      <c r="B40" s="85" t="s">
        <v>113</v>
      </c>
      <c r="C40" s="92">
        <f>SUM(C29:C39)</f>
        <v>8076</v>
      </c>
      <c r="D40" s="92">
        <f t="shared" ref="D40:N40" si="3">SUM(D29:D39)</f>
        <v>8915</v>
      </c>
      <c r="E40" s="92">
        <f t="shared" si="3"/>
        <v>10559</v>
      </c>
      <c r="F40" s="92">
        <f t="shared" si="3"/>
        <v>12407</v>
      </c>
      <c r="G40" s="92">
        <f t="shared" si="3"/>
        <v>13763</v>
      </c>
      <c r="H40" s="92">
        <f t="shared" si="3"/>
        <v>16251</v>
      </c>
      <c r="I40" s="92">
        <f t="shared" si="3"/>
        <v>16137</v>
      </c>
      <c r="J40" s="92">
        <f t="shared" si="3"/>
        <v>20356</v>
      </c>
      <c r="K40" s="92">
        <f t="shared" si="3"/>
        <v>22957</v>
      </c>
      <c r="L40" s="92">
        <f t="shared" si="3"/>
        <v>25780</v>
      </c>
      <c r="M40" s="92">
        <f t="shared" si="3"/>
        <v>29901</v>
      </c>
      <c r="N40" s="92">
        <f t="shared" si="3"/>
        <v>30355</v>
      </c>
    </row>
    <row r="42" spans="2:14">
      <c r="B42" s="75"/>
      <c r="C42" s="75"/>
      <c r="D42" s="75"/>
      <c r="E42" s="75"/>
      <c r="F42" s="75"/>
      <c r="G42" s="75"/>
      <c r="H42" s="75"/>
      <c r="I42" s="75"/>
      <c r="J42" s="75"/>
      <c r="K42" s="75"/>
    </row>
    <row r="43" spans="2:14">
      <c r="B43" s="193"/>
      <c r="C43" s="194">
        <v>41699</v>
      </c>
      <c r="D43" s="194">
        <v>42064</v>
      </c>
      <c r="E43" s="194">
        <v>42430</v>
      </c>
      <c r="F43" s="194">
        <v>42795</v>
      </c>
      <c r="G43" s="194">
        <v>43160</v>
      </c>
      <c r="H43" s="194">
        <v>43525</v>
      </c>
      <c r="I43" s="194">
        <v>43891</v>
      </c>
      <c r="J43" s="194">
        <v>44256</v>
      </c>
      <c r="K43" s="194">
        <v>44621</v>
      </c>
      <c r="L43" s="194">
        <v>44986</v>
      </c>
      <c r="M43" s="194">
        <v>45352</v>
      </c>
      <c r="N43" s="195">
        <v>45717</v>
      </c>
    </row>
    <row r="44" spans="2:14">
      <c r="B44" s="196" t="s">
        <v>234</v>
      </c>
      <c r="C44" s="197">
        <v>1402</v>
      </c>
      <c r="D44" s="197">
        <v>1188</v>
      </c>
      <c r="E44" s="197">
        <v>2243</v>
      </c>
      <c r="F44" s="197">
        <v>1527</v>
      </c>
      <c r="G44" s="197">
        <v>2113</v>
      </c>
      <c r="H44" s="197">
        <v>2470</v>
      </c>
      <c r="I44" s="197">
        <v>3038</v>
      </c>
      <c r="J44" s="197">
        <v>3683</v>
      </c>
      <c r="K44" s="197">
        <v>986</v>
      </c>
      <c r="L44" s="197">
        <v>4193</v>
      </c>
      <c r="M44" s="197">
        <v>6104</v>
      </c>
      <c r="N44" s="198">
        <v>4424</v>
      </c>
    </row>
    <row r="45" spans="2:14">
      <c r="B45" s="199" t="s">
        <v>199</v>
      </c>
      <c r="C45" s="197">
        <v>2051</v>
      </c>
      <c r="D45" s="197">
        <v>2271</v>
      </c>
      <c r="E45" s="197">
        <v>2848</v>
      </c>
      <c r="F45" s="197">
        <v>3056</v>
      </c>
      <c r="G45" s="197">
        <v>3274</v>
      </c>
      <c r="H45" s="197">
        <v>3861</v>
      </c>
      <c r="I45" s="197">
        <v>4380</v>
      </c>
      <c r="J45" s="197">
        <v>4970</v>
      </c>
      <c r="K45" s="197">
        <v>4957</v>
      </c>
      <c r="L45" s="197">
        <v>6460</v>
      </c>
      <c r="M45" s="197">
        <v>7929</v>
      </c>
      <c r="N45" s="198">
        <v>6390</v>
      </c>
    </row>
    <row r="46" spans="2:14">
      <c r="B46" s="200" t="s">
        <v>109</v>
      </c>
      <c r="C46" s="201">
        <v>-254</v>
      </c>
      <c r="D46" s="201">
        <v>-155</v>
      </c>
      <c r="E46" s="201">
        <v>-146</v>
      </c>
      <c r="F46" s="201">
        <v>-475</v>
      </c>
      <c r="G46" s="201">
        <v>-483</v>
      </c>
      <c r="H46" s="201">
        <v>-205</v>
      </c>
      <c r="I46" s="201">
        <v>160</v>
      </c>
      <c r="J46" s="201">
        <v>-849</v>
      </c>
      <c r="K46" s="202">
        <v>-1326</v>
      </c>
      <c r="L46" s="201">
        <v>-834</v>
      </c>
      <c r="M46" s="201">
        <v>-362</v>
      </c>
      <c r="N46" s="203">
        <v>282</v>
      </c>
    </row>
    <row r="47" spans="2:14">
      <c r="B47" s="200" t="s">
        <v>110</v>
      </c>
      <c r="C47" s="201">
        <v>-231</v>
      </c>
      <c r="D47" s="201">
        <v>-144</v>
      </c>
      <c r="E47" s="201">
        <v>202</v>
      </c>
      <c r="F47" s="201">
        <v>-629</v>
      </c>
      <c r="G47" s="201">
        <v>-39</v>
      </c>
      <c r="H47" s="201">
        <v>-492</v>
      </c>
      <c r="I47" s="201">
        <v>-251</v>
      </c>
      <c r="J47" s="201">
        <v>-409</v>
      </c>
      <c r="K47" s="202">
        <v>-2354</v>
      </c>
      <c r="L47" s="201">
        <v>-56</v>
      </c>
      <c r="M47" s="201">
        <v>315</v>
      </c>
      <c r="N47" s="203">
        <v>-805</v>
      </c>
    </row>
    <row r="48" spans="2:14">
      <c r="B48" s="200" t="s">
        <v>200</v>
      </c>
      <c r="C48" s="201">
        <v>317</v>
      </c>
      <c r="D48" s="201">
        <v>-151</v>
      </c>
      <c r="E48" s="201">
        <v>142</v>
      </c>
      <c r="F48" s="201">
        <v>501</v>
      </c>
      <c r="G48" s="201">
        <v>442</v>
      </c>
      <c r="H48" s="201">
        <v>287</v>
      </c>
      <c r="I48" s="201">
        <v>-241</v>
      </c>
      <c r="J48" s="202">
        <v>1143</v>
      </c>
      <c r="K48" s="201">
        <v>644</v>
      </c>
      <c r="L48" s="201">
        <v>-539</v>
      </c>
      <c r="M48" s="202">
        <v>269</v>
      </c>
      <c r="N48" s="204">
        <v>-160</v>
      </c>
    </row>
    <row r="49" spans="2:14">
      <c r="B49" s="200" t="s">
        <v>201</v>
      </c>
      <c r="C49" s="201">
        <v>0</v>
      </c>
      <c r="D49" s="201">
        <v>0</v>
      </c>
      <c r="E49" s="201">
        <v>0</v>
      </c>
      <c r="F49" s="201">
        <v>0</v>
      </c>
      <c r="G49" s="201">
        <v>0</v>
      </c>
      <c r="H49" s="201">
        <v>0</v>
      </c>
      <c r="I49" s="201">
        <v>0</v>
      </c>
      <c r="J49" s="201">
        <v>-92</v>
      </c>
      <c r="K49" s="201">
        <v>242</v>
      </c>
      <c r="L49" s="201">
        <v>657</v>
      </c>
      <c r="M49" s="201">
        <v>-212</v>
      </c>
      <c r="N49" s="204">
        <v>114</v>
      </c>
    </row>
    <row r="50" spans="2:14">
      <c r="B50" s="199" t="s">
        <v>202</v>
      </c>
      <c r="C50" s="205">
        <v>-168</v>
      </c>
      <c r="D50" s="205">
        <v>-450</v>
      </c>
      <c r="E50" s="205">
        <v>198</v>
      </c>
      <c r="F50" s="205">
        <v>-603</v>
      </c>
      <c r="G50" s="205">
        <v>-80</v>
      </c>
      <c r="H50" s="205">
        <v>-410</v>
      </c>
      <c r="I50" s="205">
        <v>-331</v>
      </c>
      <c r="J50" s="205">
        <v>-206</v>
      </c>
      <c r="K50" s="197">
        <v>-2795</v>
      </c>
      <c r="L50" s="205">
        <v>-772</v>
      </c>
      <c r="M50" s="205">
        <v>10</v>
      </c>
      <c r="N50" s="198">
        <v>-570</v>
      </c>
    </row>
    <row r="51" spans="2:14">
      <c r="B51" s="200" t="s">
        <v>203</v>
      </c>
      <c r="C51" s="201">
        <v>-480</v>
      </c>
      <c r="D51" s="201">
        <v>-633</v>
      </c>
      <c r="E51" s="201">
        <v>-802</v>
      </c>
      <c r="F51" s="201">
        <v>-925</v>
      </c>
      <c r="G51" s="202">
        <v>-1081</v>
      </c>
      <c r="H51" s="201">
        <v>-982</v>
      </c>
      <c r="I51" s="202">
        <v>-1011</v>
      </c>
      <c r="J51" s="202">
        <v>-1080</v>
      </c>
      <c r="K51" s="202">
        <v>-1176</v>
      </c>
      <c r="L51" s="202">
        <v>-1494</v>
      </c>
      <c r="M51" s="202">
        <v>-1835</v>
      </c>
      <c r="N51" s="203">
        <v>-1396</v>
      </c>
    </row>
    <row r="52" spans="2:14">
      <c r="B52" s="200" t="s">
        <v>204</v>
      </c>
      <c r="C52" s="201">
        <v>0</v>
      </c>
      <c r="D52" s="201">
        <v>10</v>
      </c>
      <c r="E52" s="201">
        <v>0</v>
      </c>
      <c r="F52" s="201">
        <v>0</v>
      </c>
      <c r="G52" s="201">
        <v>0</v>
      </c>
      <c r="H52" s="201">
        <v>0</v>
      </c>
      <c r="I52" s="201">
        <v>0</v>
      </c>
      <c r="J52" s="201">
        <v>0</v>
      </c>
      <c r="K52" s="201">
        <v>0</v>
      </c>
      <c r="L52" s="201">
        <v>0</v>
      </c>
      <c r="M52" s="201">
        <v>0</v>
      </c>
      <c r="N52" s="204">
        <v>0</v>
      </c>
    </row>
    <row r="53" spans="2:14">
      <c r="B53" s="206" t="s">
        <v>235</v>
      </c>
      <c r="C53" s="205">
        <v>-586</v>
      </c>
      <c r="D53" s="205">
        <v>-465</v>
      </c>
      <c r="E53" s="205">
        <v>-866</v>
      </c>
      <c r="F53" s="205">
        <v>-681</v>
      </c>
      <c r="G53" s="205">
        <v>-1556</v>
      </c>
      <c r="H53" s="205">
        <v>-918</v>
      </c>
      <c r="I53" s="205">
        <v>-518</v>
      </c>
      <c r="J53" s="197">
        <v>-541</v>
      </c>
      <c r="K53" s="205">
        <v>-317</v>
      </c>
      <c r="L53" s="205">
        <v>-1282</v>
      </c>
      <c r="M53" s="205">
        <v>-2548</v>
      </c>
      <c r="N53" s="207">
        <v>-941</v>
      </c>
    </row>
    <row r="54" spans="2:14">
      <c r="B54" s="200" t="s">
        <v>205</v>
      </c>
      <c r="C54" s="201">
        <v>-251</v>
      </c>
      <c r="D54" s="201">
        <v>-454</v>
      </c>
      <c r="E54" s="201">
        <v>-817</v>
      </c>
      <c r="F54" s="201">
        <v>-684</v>
      </c>
      <c r="G54" s="201">
        <v>-1426</v>
      </c>
      <c r="H54" s="201">
        <v>-1151</v>
      </c>
      <c r="I54" s="201">
        <v>-414</v>
      </c>
      <c r="J54" s="202">
        <v>-289</v>
      </c>
      <c r="K54" s="202">
        <v>-551</v>
      </c>
      <c r="L54" s="201">
        <v>-1446</v>
      </c>
      <c r="M54" s="201">
        <v>-2496</v>
      </c>
      <c r="N54" s="204">
        <v>-1830</v>
      </c>
    </row>
    <row r="55" spans="2:14">
      <c r="B55" s="200" t="s">
        <v>206</v>
      </c>
      <c r="C55" s="201">
        <v>16</v>
      </c>
      <c r="D55" s="201">
        <v>16</v>
      </c>
      <c r="E55" s="201">
        <v>15</v>
      </c>
      <c r="F55" s="201">
        <v>17</v>
      </c>
      <c r="G55" s="201">
        <v>17</v>
      </c>
      <c r="H55" s="201">
        <v>17</v>
      </c>
      <c r="I55" s="201">
        <v>37</v>
      </c>
      <c r="J55" s="201">
        <v>28</v>
      </c>
      <c r="K55" s="201">
        <v>40</v>
      </c>
      <c r="L55" s="201">
        <v>26</v>
      </c>
      <c r="M55" s="201">
        <v>5</v>
      </c>
      <c r="N55" s="204">
        <v>10</v>
      </c>
    </row>
    <row r="56" spans="2:14">
      <c r="B56" s="200" t="s">
        <v>207</v>
      </c>
      <c r="C56" s="201">
        <v>-872</v>
      </c>
      <c r="D56" s="201">
        <v>-243</v>
      </c>
      <c r="E56" s="201">
        <v>-282</v>
      </c>
      <c r="F56" s="201">
        <v>-153</v>
      </c>
      <c r="G56" s="201">
        <v>-320</v>
      </c>
      <c r="H56" s="201">
        <v>-573</v>
      </c>
      <c r="I56" s="201">
        <v>-25</v>
      </c>
      <c r="J56" s="201">
        <v>-140</v>
      </c>
      <c r="K56" s="201">
        <v>0</v>
      </c>
      <c r="L56" s="201">
        <v>-146</v>
      </c>
      <c r="M56" s="201">
        <v>-212</v>
      </c>
      <c r="N56" s="204">
        <v>-1</v>
      </c>
    </row>
    <row r="57" spans="2:14">
      <c r="B57" s="200" t="s">
        <v>208</v>
      </c>
      <c r="C57" s="201">
        <v>463</v>
      </c>
      <c r="D57" s="201">
        <v>278</v>
      </c>
      <c r="E57" s="201">
        <v>205</v>
      </c>
      <c r="F57" s="201">
        <v>357</v>
      </c>
      <c r="G57" s="201">
        <v>362</v>
      </c>
      <c r="H57" s="201">
        <v>733</v>
      </c>
      <c r="I57" s="201">
        <v>118</v>
      </c>
      <c r="J57" s="201">
        <v>272</v>
      </c>
      <c r="K57" s="201">
        <v>207</v>
      </c>
      <c r="L57" s="201">
        <v>446</v>
      </c>
      <c r="M57" s="201">
        <v>240</v>
      </c>
      <c r="N57" s="204">
        <v>421</v>
      </c>
    </row>
    <row r="58" spans="2:14">
      <c r="B58" s="200" t="s">
        <v>209</v>
      </c>
      <c r="C58" s="201">
        <v>14</v>
      </c>
      <c r="D58" s="201">
        <v>11</v>
      </c>
      <c r="E58" s="201">
        <v>15</v>
      </c>
      <c r="F58" s="201">
        <v>32</v>
      </c>
      <c r="G58" s="201">
        <v>39</v>
      </c>
      <c r="H58" s="201">
        <v>40</v>
      </c>
      <c r="I58" s="201">
        <v>65</v>
      </c>
      <c r="J58" s="201">
        <v>73</v>
      </c>
      <c r="K58" s="201">
        <v>77</v>
      </c>
      <c r="L58" s="201">
        <v>87</v>
      </c>
      <c r="M58" s="201">
        <v>135</v>
      </c>
      <c r="N58" s="204">
        <v>155</v>
      </c>
    </row>
    <row r="59" spans="2:14">
      <c r="B59" s="200" t="s">
        <v>210</v>
      </c>
      <c r="C59" s="201">
        <v>65</v>
      </c>
      <c r="D59" s="201">
        <v>71</v>
      </c>
      <c r="E59" s="201">
        <v>69</v>
      </c>
      <c r="F59" s="201">
        <v>74</v>
      </c>
      <c r="G59" s="201">
        <v>38</v>
      </c>
      <c r="H59" s="201">
        <v>40</v>
      </c>
      <c r="I59" s="201">
        <v>27</v>
      </c>
      <c r="J59" s="201">
        <v>8</v>
      </c>
      <c r="K59" s="201">
        <v>15</v>
      </c>
      <c r="L59" s="201">
        <v>56</v>
      </c>
      <c r="M59" s="201">
        <v>129</v>
      </c>
      <c r="N59" s="204">
        <v>136</v>
      </c>
    </row>
    <row r="60" spans="2:14">
      <c r="B60" s="208" t="s">
        <v>211</v>
      </c>
      <c r="C60">
        <v>0</v>
      </c>
      <c r="D60">
        <v>0</v>
      </c>
      <c r="E60">
        <v>0</v>
      </c>
      <c r="F60">
        <v>0</v>
      </c>
      <c r="G60">
        <v>141</v>
      </c>
      <c r="H60">
        <v>0</v>
      </c>
      <c r="I60">
        <v>17</v>
      </c>
      <c r="J60">
        <v>0</v>
      </c>
      <c r="K60">
        <v>0</v>
      </c>
      <c r="L60">
        <v>0</v>
      </c>
      <c r="M60">
        <v>0</v>
      </c>
      <c r="N60" s="209">
        <v>38</v>
      </c>
    </row>
    <row r="61" spans="2:14">
      <c r="B61" s="208" t="s">
        <v>212</v>
      </c>
      <c r="C61">
        <v>0</v>
      </c>
      <c r="D61">
        <v>0</v>
      </c>
      <c r="E61">
        <v>0</v>
      </c>
      <c r="F61">
        <v>0</v>
      </c>
      <c r="G61">
        <v>-525</v>
      </c>
      <c r="H61">
        <v>0</v>
      </c>
      <c r="I61">
        <v>0</v>
      </c>
      <c r="J61">
        <v>0</v>
      </c>
      <c r="K61">
        <v>0</v>
      </c>
      <c r="L61">
        <v>0</v>
      </c>
      <c r="M61">
        <v>0</v>
      </c>
      <c r="N61" s="209">
        <v>0</v>
      </c>
    </row>
    <row r="62" spans="2:14">
      <c r="B62" s="208" t="s">
        <v>213</v>
      </c>
      <c r="C62">
        <v>-21</v>
      </c>
      <c r="D62">
        <v>-144</v>
      </c>
      <c r="E62">
        <v>-70</v>
      </c>
      <c r="F62">
        <v>-324</v>
      </c>
      <c r="G62">
        <v>118</v>
      </c>
      <c r="H62">
        <v>-24</v>
      </c>
      <c r="I62">
        <v>-343</v>
      </c>
      <c r="J62">
        <v>-493</v>
      </c>
      <c r="K62">
        <v>-105</v>
      </c>
      <c r="L62">
        <v>-126</v>
      </c>
      <c r="M62">
        <v>-350</v>
      </c>
      <c r="N62" s="209">
        <v>130</v>
      </c>
    </row>
    <row r="63" spans="2:14">
      <c r="B63" s="208" t="s">
        <v>236</v>
      </c>
      <c r="C63">
        <v>-626</v>
      </c>
      <c r="D63">
        <v>-576</v>
      </c>
      <c r="E63">
        <v>-849</v>
      </c>
      <c r="F63">
        <v>-756</v>
      </c>
      <c r="G63" s="83">
        <v>-1379</v>
      </c>
      <c r="H63" s="83">
        <v>-1117</v>
      </c>
      <c r="I63" s="83">
        <v>-2871</v>
      </c>
      <c r="J63">
        <v>-650</v>
      </c>
      <c r="K63" s="83">
        <v>-1808</v>
      </c>
      <c r="L63" s="83">
        <v>-2140</v>
      </c>
      <c r="M63" s="83">
        <v>-2982</v>
      </c>
      <c r="N63" s="210">
        <v>-3753</v>
      </c>
    </row>
    <row r="64" spans="2:14">
      <c r="B64" s="208" t="s">
        <v>214</v>
      </c>
      <c r="C64">
        <v>44</v>
      </c>
      <c r="D64">
        <v>239</v>
      </c>
      <c r="E64">
        <v>8</v>
      </c>
      <c r="F64">
        <v>271</v>
      </c>
      <c r="G64">
        <v>10</v>
      </c>
      <c r="H64">
        <v>243</v>
      </c>
      <c r="I64">
        <v>18</v>
      </c>
      <c r="J64">
        <v>155</v>
      </c>
      <c r="K64">
        <v>418</v>
      </c>
      <c r="L64">
        <v>254</v>
      </c>
      <c r="M64">
        <v>101</v>
      </c>
      <c r="N64" s="209">
        <v>415</v>
      </c>
    </row>
    <row r="65" spans="2:14">
      <c r="B65" s="208" t="s">
        <v>215</v>
      </c>
      <c r="C65">
        <v>-81</v>
      </c>
      <c r="D65">
        <v>-86</v>
      </c>
      <c r="E65">
        <v>-119</v>
      </c>
      <c r="F65">
        <v>-58</v>
      </c>
      <c r="G65">
        <v>-54</v>
      </c>
      <c r="H65">
        <v>-26</v>
      </c>
      <c r="I65">
        <v>-482</v>
      </c>
      <c r="J65">
        <v>-14</v>
      </c>
      <c r="K65">
        <v>-8</v>
      </c>
      <c r="L65">
        <v>-25</v>
      </c>
      <c r="M65">
        <v>-98</v>
      </c>
      <c r="N65" s="209">
        <v>-428</v>
      </c>
    </row>
    <row r="66" spans="2:14">
      <c r="B66" s="208" t="s">
        <v>216</v>
      </c>
      <c r="C66">
        <v>-42</v>
      </c>
      <c r="D66">
        <v>-35</v>
      </c>
      <c r="E66">
        <v>-40</v>
      </c>
      <c r="F66">
        <v>-36</v>
      </c>
      <c r="G66">
        <v>-35</v>
      </c>
      <c r="H66">
        <v>-106</v>
      </c>
      <c r="I66">
        <v>-101</v>
      </c>
      <c r="J66">
        <v>-89</v>
      </c>
      <c r="K66">
        <v>-94</v>
      </c>
      <c r="L66">
        <v>-142</v>
      </c>
      <c r="M66">
        <v>-191</v>
      </c>
      <c r="N66" s="209">
        <v>-203</v>
      </c>
    </row>
    <row r="67" spans="2:14">
      <c r="B67" s="208" t="s">
        <v>217</v>
      </c>
      <c r="C67">
        <v>-547</v>
      </c>
      <c r="D67">
        <v>-695</v>
      </c>
      <c r="E67">
        <v>-764</v>
      </c>
      <c r="F67">
        <v>-947</v>
      </c>
      <c r="G67" s="83">
        <v>-1218</v>
      </c>
      <c r="H67" s="83">
        <v>-1049</v>
      </c>
      <c r="I67" s="83">
        <v>-2121</v>
      </c>
      <c r="J67">
        <v>-499</v>
      </c>
      <c r="K67" s="83">
        <v>-1763</v>
      </c>
      <c r="L67" s="83">
        <v>-1936</v>
      </c>
      <c r="M67" s="83">
        <v>-2551</v>
      </c>
      <c r="N67" s="210">
        <v>-3140</v>
      </c>
    </row>
    <row r="68" spans="2:14">
      <c r="B68" s="208" t="s">
        <v>218</v>
      </c>
      <c r="C68">
        <v>0</v>
      </c>
      <c r="D68">
        <v>0</v>
      </c>
      <c r="E68">
        <v>0</v>
      </c>
      <c r="F68">
        <v>0</v>
      </c>
      <c r="G68">
        <v>0</v>
      </c>
      <c r="H68">
        <v>-180</v>
      </c>
      <c r="I68">
        <v>-179</v>
      </c>
      <c r="J68">
        <v>-203</v>
      </c>
      <c r="K68">
        <v>-221</v>
      </c>
      <c r="L68">
        <v>-256</v>
      </c>
      <c r="M68">
        <v>-286</v>
      </c>
      <c r="N68" s="209">
        <v>-325</v>
      </c>
    </row>
    <row r="69" spans="2:14">
      <c r="B69" s="208" t="s">
        <v>219</v>
      </c>
      <c r="C69">
        <v>0</v>
      </c>
      <c r="D69">
        <v>0</v>
      </c>
      <c r="E69">
        <v>66</v>
      </c>
      <c r="F69">
        <v>13</v>
      </c>
      <c r="G69">
        <v>-82</v>
      </c>
      <c r="H69">
        <v>0</v>
      </c>
      <c r="I69">
        <v>-6</v>
      </c>
      <c r="J69">
        <v>0</v>
      </c>
      <c r="K69">
        <v>-140</v>
      </c>
      <c r="L69">
        <v>-36</v>
      </c>
      <c r="M69">
        <v>41</v>
      </c>
      <c r="N69" s="209">
        <v>-72</v>
      </c>
    </row>
    <row r="70" spans="2:14">
      <c r="B70" s="211" t="s">
        <v>119</v>
      </c>
      <c r="C70" s="24">
        <v>190</v>
      </c>
      <c r="D70" s="24">
        <v>147</v>
      </c>
      <c r="E70" s="24">
        <v>528</v>
      </c>
      <c r="F70" s="24">
        <v>90</v>
      </c>
      <c r="G70" s="24">
        <v>-822</v>
      </c>
      <c r="H70" s="24">
        <v>434</v>
      </c>
      <c r="I70" s="24">
        <v>-351</v>
      </c>
      <c r="J70" s="212">
        <v>2492</v>
      </c>
      <c r="K70" s="212">
        <v>-1138</v>
      </c>
      <c r="L70" s="24">
        <v>771</v>
      </c>
      <c r="M70" s="24">
        <v>573</v>
      </c>
      <c r="N70" s="213">
        <v>-270</v>
      </c>
    </row>
    <row r="74" spans="2:14">
      <c r="G74" s="83"/>
      <c r="L74" s="83"/>
      <c r="M74" s="83"/>
    </row>
    <row r="75" spans="2:14">
      <c r="G75" s="83"/>
      <c r="H75" s="83"/>
      <c r="L75" s="83"/>
      <c r="M75" s="83"/>
      <c r="N75" s="83"/>
    </row>
    <row r="85" spans="3:14">
      <c r="G85" s="83"/>
      <c r="H85" s="83"/>
      <c r="I85" s="83"/>
      <c r="K85" s="83"/>
      <c r="L85" s="83"/>
      <c r="M85" s="83"/>
      <c r="N85" s="83"/>
    </row>
    <row r="90" spans="3:14">
      <c r="G90" s="83"/>
      <c r="H90" s="83"/>
      <c r="I90" s="83"/>
      <c r="K90" s="83"/>
      <c r="L90" s="83"/>
      <c r="M90" s="83"/>
      <c r="N90" s="83"/>
    </row>
    <row r="93" spans="3:14">
      <c r="J93" s="83"/>
      <c r="K93" s="83"/>
    </row>
    <row r="94" spans="3:14">
      <c r="C94" s="83"/>
      <c r="E94" s="83"/>
      <c r="H94" s="83"/>
      <c r="I94" s="83"/>
      <c r="J94" s="83"/>
      <c r="L94" s="83"/>
      <c r="M94" s="83"/>
      <c r="N94" s="83"/>
    </row>
    <row r="95" spans="3:14">
      <c r="C95" s="112"/>
      <c r="D95" s="112"/>
      <c r="E95" s="112"/>
      <c r="F95" s="112"/>
      <c r="G95" s="112"/>
      <c r="H95" s="112"/>
      <c r="I95" s="112"/>
      <c r="J95" s="112"/>
      <c r="K95" s="112"/>
      <c r="L95" s="112"/>
      <c r="M95" s="112"/>
      <c r="N95" s="112"/>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9284B-6E43-4C29-92AC-CEA7C520B163}">
  <dimension ref="A1:L93"/>
  <sheetViews>
    <sheetView workbookViewId="0">
      <pane xSplit="1" ySplit="1" topLeftCell="B2" activePane="bottomRight" state="frozen"/>
      <selection activeCell="C4" sqref="C4"/>
      <selection pane="topRight" activeCell="C4" sqref="C4"/>
      <selection pane="bottomLeft" activeCell="C4" sqref="C4"/>
      <selection pane="bottomRight" activeCell="C9" sqref="C9"/>
    </sheetView>
  </sheetViews>
  <sheetFormatPr defaultColWidth="10.42578125" defaultRowHeight="12.75"/>
  <cols>
    <col min="1" max="1" width="26.7109375" style="74" bestFit="1" customWidth="1"/>
    <col min="2" max="11" width="11.42578125" style="74" bestFit="1" customWidth="1"/>
    <col min="12" max="12" width="20.28515625" style="74" bestFit="1" customWidth="1"/>
    <col min="13" max="16384" width="10.42578125" style="74"/>
  </cols>
  <sheetData>
    <row r="1" spans="1:11" s="73" customFormat="1">
      <c r="A1" s="73" t="s">
        <v>120</v>
      </c>
      <c r="B1" s="73" t="s">
        <v>121</v>
      </c>
      <c r="E1" s="233" t="str">
        <f>IF(B2&lt;&gt;B3, "A NEW VERSION OF THE WORKSHEET IS AVAILABLE", "")</f>
        <v/>
      </c>
      <c r="F1" s="233"/>
      <c r="G1" s="233"/>
      <c r="H1" s="233"/>
      <c r="I1" s="233"/>
      <c r="J1" s="233"/>
      <c r="K1" s="233"/>
    </row>
    <row r="2" spans="1:11">
      <c r="A2" s="73" t="s">
        <v>122</v>
      </c>
      <c r="B2" s="74">
        <v>2.1</v>
      </c>
      <c r="E2" s="234" t="s">
        <v>123</v>
      </c>
      <c r="F2" s="234"/>
      <c r="G2" s="234"/>
      <c r="H2" s="234"/>
      <c r="I2" s="234"/>
      <c r="J2" s="234"/>
      <c r="K2" s="234"/>
    </row>
    <row r="3" spans="1:11">
      <c r="A3" s="73" t="s">
        <v>124</v>
      </c>
      <c r="B3" s="74">
        <v>2.1</v>
      </c>
    </row>
    <row r="4" spans="1:11">
      <c r="A4" s="73"/>
    </row>
    <row r="5" spans="1:11">
      <c r="A5" s="73" t="s">
        <v>125</v>
      </c>
    </row>
    <row r="6" spans="1:11">
      <c r="A6" s="74" t="s">
        <v>126</v>
      </c>
      <c r="B6" s="74">
        <f>IF(B9&gt;0, B9/B8, 0)</f>
        <v>95.919780472827753</v>
      </c>
    </row>
    <row r="7" spans="1:11">
      <c r="A7" s="74" t="s">
        <v>127</v>
      </c>
      <c r="B7" s="75">
        <v>1</v>
      </c>
    </row>
    <row r="8" spans="1:11">
      <c r="A8" s="74" t="s">
        <v>128</v>
      </c>
      <c r="B8" s="75">
        <v>2605.6</v>
      </c>
    </row>
    <row r="9" spans="1:11">
      <c r="A9" s="74" t="s">
        <v>19</v>
      </c>
      <c r="B9" s="75">
        <v>249928.58</v>
      </c>
    </row>
    <row r="15" spans="1:11">
      <c r="A15" s="73" t="s">
        <v>129</v>
      </c>
      <c r="B15" s="74">
        <f>B26+B34</f>
        <v>3189.81</v>
      </c>
      <c r="K15" s="74">
        <f>K17-K18-K20-K21-K22-K23-K19</f>
        <v>6879.4100000000035</v>
      </c>
    </row>
    <row r="16" spans="1:11" s="78" customFormat="1">
      <c r="A16" s="76" t="s">
        <v>130</v>
      </c>
      <c r="B16" s="77">
        <v>42460</v>
      </c>
      <c r="C16" s="77">
        <v>42825</v>
      </c>
      <c r="D16" s="77">
        <v>43190</v>
      </c>
      <c r="E16" s="77">
        <v>43555</v>
      </c>
      <c r="F16" s="77">
        <v>43921</v>
      </c>
      <c r="G16" s="77">
        <v>44286</v>
      </c>
      <c r="H16" s="77">
        <v>44651</v>
      </c>
      <c r="I16" s="77">
        <v>45016</v>
      </c>
      <c r="J16" s="77">
        <v>45382</v>
      </c>
      <c r="K16" s="77">
        <v>45747</v>
      </c>
    </row>
    <row r="17" spans="1:11">
      <c r="A17" s="74" t="s">
        <v>71</v>
      </c>
      <c r="B17" s="75">
        <v>14271.49</v>
      </c>
      <c r="C17" s="75">
        <v>15061.99</v>
      </c>
      <c r="D17" s="75">
        <v>16824.55</v>
      </c>
      <c r="E17" s="75">
        <v>19240.13</v>
      </c>
      <c r="F17" s="75">
        <v>20211.25</v>
      </c>
      <c r="G17" s="75">
        <v>21712.79</v>
      </c>
      <c r="H17" s="75">
        <v>29101.279999999999</v>
      </c>
      <c r="I17" s="75">
        <v>34488.589999999997</v>
      </c>
      <c r="J17" s="75">
        <v>35494.730000000003</v>
      </c>
      <c r="K17" s="75">
        <v>33905.620000000003</v>
      </c>
    </row>
    <row r="18" spans="1:11" ht="15">
      <c r="A18" s="74" t="s">
        <v>131</v>
      </c>
      <c r="B18" s="79">
        <v>6569.83</v>
      </c>
      <c r="C18" s="79">
        <v>7452.6</v>
      </c>
      <c r="D18" s="79">
        <v>8128.17</v>
      </c>
      <c r="E18" s="79">
        <v>9974.4</v>
      </c>
      <c r="F18" s="79">
        <v>9981.99</v>
      </c>
      <c r="G18" s="79">
        <v>10425.549999999999</v>
      </c>
      <c r="H18" s="79">
        <v>17123.25</v>
      </c>
      <c r="I18" s="79">
        <v>18985.53</v>
      </c>
      <c r="J18" s="79">
        <v>17410.84</v>
      </c>
      <c r="K18" s="79">
        <v>17504.509999999998</v>
      </c>
    </row>
    <row r="19" spans="1:11" ht="15">
      <c r="A19" s="74" t="s">
        <v>132</v>
      </c>
      <c r="B19" s="79">
        <v>-199.33</v>
      </c>
      <c r="C19" s="79">
        <v>528.6</v>
      </c>
      <c r="D19" s="79">
        <v>-142.13</v>
      </c>
      <c r="E19" s="79">
        <v>293.26</v>
      </c>
      <c r="F19" s="79">
        <v>239.15</v>
      </c>
      <c r="G19" s="79">
        <v>92.45</v>
      </c>
      <c r="H19" s="79">
        <v>1324.97</v>
      </c>
      <c r="I19" s="79">
        <v>309.73</v>
      </c>
      <c r="J19" s="79">
        <v>-363.8</v>
      </c>
      <c r="K19" s="79">
        <v>205</v>
      </c>
    </row>
    <row r="20" spans="1:11">
      <c r="A20" s="74" t="s">
        <v>133</v>
      </c>
      <c r="B20" s="75">
        <v>114.48</v>
      </c>
      <c r="C20" s="75">
        <v>106.02</v>
      </c>
      <c r="D20" s="75">
        <v>110.3</v>
      </c>
      <c r="E20" s="75">
        <v>119.63</v>
      </c>
      <c r="F20" s="75">
        <v>97.79</v>
      </c>
      <c r="G20" s="75">
        <v>86.05</v>
      </c>
      <c r="H20" s="75">
        <v>117.23</v>
      </c>
      <c r="I20" s="75">
        <v>138.29</v>
      </c>
      <c r="J20" s="75">
        <v>133.25</v>
      </c>
      <c r="K20" s="75">
        <v>148.58000000000001</v>
      </c>
    </row>
    <row r="21" spans="1:11">
      <c r="A21" s="74" t="s">
        <v>134</v>
      </c>
      <c r="B21" s="75">
        <v>1535.22</v>
      </c>
      <c r="C21" s="75">
        <v>1662.75</v>
      </c>
      <c r="D21" s="75">
        <v>1691.68</v>
      </c>
      <c r="E21" s="75">
        <v>1862.35</v>
      </c>
      <c r="F21" s="75">
        <v>1946.12</v>
      </c>
      <c r="G21" s="75">
        <v>2068.31</v>
      </c>
      <c r="H21" s="75">
        <v>2880.45</v>
      </c>
      <c r="I21" s="75">
        <v>2916.2</v>
      </c>
      <c r="J21" s="75">
        <v>2767.18</v>
      </c>
      <c r="K21" s="75">
        <v>2687.4</v>
      </c>
    </row>
    <row r="22" spans="1:11">
      <c r="A22" s="74" t="s">
        <v>135</v>
      </c>
      <c r="B22" s="75">
        <v>994.98</v>
      </c>
      <c r="C22" s="75">
        <v>1039.8900000000001</v>
      </c>
      <c r="D22" s="75">
        <v>1121.8900000000001</v>
      </c>
      <c r="E22" s="75">
        <v>1242.69</v>
      </c>
      <c r="F22" s="75">
        <v>1371.27</v>
      </c>
      <c r="G22" s="75">
        <v>1547.61</v>
      </c>
      <c r="H22" s="75">
        <v>1794.61</v>
      </c>
      <c r="I22" s="75">
        <v>2036.41</v>
      </c>
      <c r="J22" s="75">
        <v>2334.92</v>
      </c>
      <c r="K22" s="75">
        <v>2605.7800000000002</v>
      </c>
    </row>
    <row r="23" spans="1:11">
      <c r="A23" s="74" t="s">
        <v>136</v>
      </c>
      <c r="B23" s="75">
        <v>3912.3</v>
      </c>
      <c r="C23" s="75">
        <v>4364.04</v>
      </c>
      <c r="D23" s="75">
        <v>2254.92</v>
      </c>
      <c r="E23" s="75">
        <v>2366.87</v>
      </c>
      <c r="F23" s="75">
        <v>2311.5100000000002</v>
      </c>
      <c r="G23" s="75">
        <v>2245.69</v>
      </c>
      <c r="H23" s="75">
        <v>2941.98</v>
      </c>
      <c r="I23" s="75">
        <v>3500.84</v>
      </c>
      <c r="J23" s="75">
        <v>3811.86</v>
      </c>
      <c r="K23" s="75">
        <v>3874.94</v>
      </c>
    </row>
    <row r="24" spans="1:11">
      <c r="A24" s="74" t="s">
        <v>137</v>
      </c>
      <c r="B24" s="75">
        <v>-1779.69</v>
      </c>
      <c r="C24" s="75">
        <v>-2028.47</v>
      </c>
      <c r="D24" s="75">
        <v>171.45</v>
      </c>
      <c r="E24" s="75">
        <v>202.51</v>
      </c>
      <c r="F24" s="75">
        <v>579.95000000000005</v>
      </c>
      <c r="G24" s="75">
        <v>576.42999999999995</v>
      </c>
      <c r="H24" s="75">
        <v>765.12</v>
      </c>
      <c r="I24" s="75">
        <v>961.21</v>
      </c>
      <c r="J24" s="75">
        <v>1087.9000000000001</v>
      </c>
      <c r="K24" s="75">
        <v>1283.2</v>
      </c>
    </row>
    <row r="25" spans="1:11">
      <c r="A25" s="74" t="s">
        <v>138</v>
      </c>
      <c r="B25" s="75">
        <v>213.39</v>
      </c>
      <c r="C25" s="75">
        <v>337.9</v>
      </c>
      <c r="D25" s="75">
        <v>336.41</v>
      </c>
      <c r="E25" s="75">
        <v>273.77</v>
      </c>
      <c r="F25" s="75">
        <v>350.1</v>
      </c>
      <c r="G25" s="75">
        <v>331.65</v>
      </c>
      <c r="H25" s="75">
        <v>295.88</v>
      </c>
      <c r="I25" s="75">
        <v>431.46</v>
      </c>
      <c r="J25" s="75">
        <v>820.96</v>
      </c>
      <c r="K25" s="75">
        <v>350.22</v>
      </c>
    </row>
    <row r="26" spans="1:11">
      <c r="A26" s="74" t="s">
        <v>84</v>
      </c>
      <c r="B26" s="75">
        <v>275.58</v>
      </c>
      <c r="C26" s="75">
        <v>334.79</v>
      </c>
      <c r="D26" s="75">
        <v>360.47</v>
      </c>
      <c r="E26" s="75">
        <v>622.14</v>
      </c>
      <c r="F26" s="75">
        <v>780.5</v>
      </c>
      <c r="G26" s="75">
        <v>791.27</v>
      </c>
      <c r="H26" s="75">
        <v>816.36</v>
      </c>
      <c r="I26" s="75">
        <v>858.02</v>
      </c>
      <c r="J26" s="75">
        <v>853</v>
      </c>
      <c r="K26" s="75">
        <v>1026.3399999999999</v>
      </c>
    </row>
    <row r="27" spans="1:11" ht="15">
      <c r="A27" s="74" t="s">
        <v>82</v>
      </c>
      <c r="B27" s="75">
        <v>49</v>
      </c>
      <c r="C27" s="75">
        <v>37.33</v>
      </c>
      <c r="D27" s="75">
        <v>41.47</v>
      </c>
      <c r="E27" s="75">
        <v>110.47</v>
      </c>
      <c r="F27" s="75">
        <v>102.33</v>
      </c>
      <c r="G27" s="75">
        <v>91.63</v>
      </c>
      <c r="H27" s="75">
        <v>95.41</v>
      </c>
      <c r="I27" s="75">
        <v>144.44999999999999</v>
      </c>
      <c r="J27" s="79">
        <v>205.17</v>
      </c>
      <c r="K27" s="79">
        <v>227.02</v>
      </c>
    </row>
    <row r="28" spans="1:11">
      <c r="A28" s="74" t="s">
        <v>139</v>
      </c>
      <c r="B28" s="75">
        <v>2613.85</v>
      </c>
      <c r="C28" s="75">
        <v>2959.54</v>
      </c>
      <c r="D28" s="75">
        <v>3138.48</v>
      </c>
      <c r="E28" s="75">
        <v>3306.1</v>
      </c>
      <c r="F28" s="75">
        <v>3629.04</v>
      </c>
      <c r="G28" s="75">
        <v>4304.3500000000004</v>
      </c>
      <c r="H28" s="75">
        <v>4187.72</v>
      </c>
      <c r="I28" s="75">
        <v>5688.83</v>
      </c>
      <c r="J28" s="75">
        <v>7347.77</v>
      </c>
      <c r="K28" s="75">
        <v>5103.07</v>
      </c>
    </row>
    <row r="29" spans="1:11">
      <c r="A29" s="74" t="s">
        <v>88</v>
      </c>
      <c r="B29" s="75">
        <v>844.49</v>
      </c>
      <c r="C29" s="75">
        <v>943.29</v>
      </c>
      <c r="D29" s="75">
        <v>1040.96</v>
      </c>
      <c r="E29" s="75">
        <v>1098.06</v>
      </c>
      <c r="F29" s="75">
        <v>854.85</v>
      </c>
      <c r="G29" s="75">
        <v>1097.5999999999999</v>
      </c>
      <c r="H29" s="75">
        <v>1102.9100000000001</v>
      </c>
      <c r="I29" s="75">
        <v>1493.5</v>
      </c>
      <c r="J29" s="75">
        <v>1790.08</v>
      </c>
      <c r="K29" s="75">
        <v>1393.36</v>
      </c>
    </row>
    <row r="30" spans="1:11">
      <c r="A30" s="74" t="s">
        <v>140</v>
      </c>
      <c r="B30" s="75">
        <v>1745.16</v>
      </c>
      <c r="C30" s="75">
        <v>1939.43</v>
      </c>
      <c r="D30" s="75">
        <v>2038.93</v>
      </c>
      <c r="E30" s="75">
        <v>2155.92</v>
      </c>
      <c r="F30" s="75">
        <v>2705.17</v>
      </c>
      <c r="G30" s="75">
        <v>3139.29</v>
      </c>
      <c r="H30" s="75">
        <v>3030.57</v>
      </c>
      <c r="I30" s="75">
        <v>4106.45</v>
      </c>
      <c r="J30" s="75">
        <v>5460.23</v>
      </c>
      <c r="K30" s="75">
        <v>3667.23</v>
      </c>
    </row>
    <row r="31" spans="1:11">
      <c r="A31" s="74" t="s">
        <v>141</v>
      </c>
      <c r="B31" s="75">
        <v>719.4</v>
      </c>
      <c r="C31" s="75">
        <v>987.98</v>
      </c>
      <c r="D31" s="75">
        <v>834.5</v>
      </c>
      <c r="E31" s="75">
        <v>1007.16</v>
      </c>
      <c r="F31" s="75">
        <v>1151.04</v>
      </c>
      <c r="G31" s="75">
        <v>1712.17</v>
      </c>
      <c r="H31" s="75">
        <v>1836.87</v>
      </c>
      <c r="I31" s="75">
        <v>2460.35</v>
      </c>
      <c r="J31" s="75">
        <v>3194.14</v>
      </c>
      <c r="K31" s="75">
        <v>2378.8200000000002</v>
      </c>
    </row>
    <row r="32" spans="1:11">
      <c r="A32" s="74" t="s">
        <v>89</v>
      </c>
      <c r="B32" s="80">
        <f>B29/B28</f>
        <v>0.32308280888344781</v>
      </c>
      <c r="C32" s="80">
        <f t="shared" ref="C32:K32" si="0">C29/C28</f>
        <v>0.31872858619920663</v>
      </c>
      <c r="D32" s="80">
        <f t="shared" si="0"/>
        <v>0.33167648033442942</v>
      </c>
      <c r="E32" s="80">
        <f t="shared" si="0"/>
        <v>0.3321315144732464</v>
      </c>
      <c r="F32" s="80">
        <f t="shared" si="0"/>
        <v>0.23555816414258318</v>
      </c>
      <c r="G32" s="80">
        <f t="shared" si="0"/>
        <v>0.25499785101118633</v>
      </c>
      <c r="H32" s="80">
        <f t="shared" si="0"/>
        <v>0.26336765590822692</v>
      </c>
      <c r="I32" s="80">
        <f t="shared" si="0"/>
        <v>0.26253201449155628</v>
      </c>
      <c r="J32" s="80">
        <f t="shared" si="0"/>
        <v>0.24362221463110573</v>
      </c>
      <c r="K32" s="80">
        <f t="shared" si="0"/>
        <v>0.27304348166887776</v>
      </c>
    </row>
    <row r="34" spans="1:11">
      <c r="A34" s="74" t="s">
        <v>80</v>
      </c>
      <c r="B34" s="74">
        <f>+B30+B29+B27+B26</f>
        <v>2914.23</v>
      </c>
      <c r="C34" s="74">
        <f t="shared" ref="C34:K34" si="1">+C30+C29+C27+C26</f>
        <v>3254.84</v>
      </c>
      <c r="D34" s="74">
        <f t="shared" si="1"/>
        <v>3481.83</v>
      </c>
      <c r="E34" s="74">
        <f t="shared" si="1"/>
        <v>3986.5899999999997</v>
      </c>
      <c r="F34" s="74">
        <f t="shared" si="1"/>
        <v>4442.8500000000004</v>
      </c>
      <c r="G34" s="74">
        <f t="shared" si="1"/>
        <v>5119.7899999999991</v>
      </c>
      <c r="H34" s="74">
        <f>+H30+H29+H27+H26</f>
        <v>5045.25</v>
      </c>
      <c r="I34" s="74">
        <f t="shared" si="1"/>
        <v>6602.42</v>
      </c>
      <c r="J34" s="74">
        <f>+J30+J29+J27+J26</f>
        <v>8308.48</v>
      </c>
      <c r="K34" s="74">
        <f t="shared" si="1"/>
        <v>6313.9500000000007</v>
      </c>
    </row>
    <row r="40" spans="1:11">
      <c r="A40" s="73" t="s">
        <v>142</v>
      </c>
    </row>
    <row r="41" spans="1:11" s="78" customFormat="1">
      <c r="A41" s="76" t="s">
        <v>130</v>
      </c>
      <c r="B41" s="77">
        <v>45199</v>
      </c>
      <c r="C41" s="77">
        <v>45291</v>
      </c>
      <c r="D41" s="77">
        <v>45382</v>
      </c>
      <c r="E41" s="77">
        <v>45473</v>
      </c>
      <c r="F41" s="77">
        <v>45565</v>
      </c>
      <c r="G41" s="77">
        <v>45657</v>
      </c>
      <c r="H41" s="77">
        <v>45747</v>
      </c>
      <c r="I41" s="77">
        <v>45838</v>
      </c>
      <c r="J41" s="77">
        <v>45930</v>
      </c>
      <c r="K41" s="77">
        <v>46022</v>
      </c>
    </row>
    <row r="42" spans="1:11">
      <c r="A42" s="74" t="s">
        <v>71</v>
      </c>
      <c r="B42" s="75">
        <v>8478.57</v>
      </c>
      <c r="C42" s="75">
        <v>9103.09</v>
      </c>
      <c r="D42" s="75">
        <v>8730.76</v>
      </c>
      <c r="E42" s="75">
        <v>8969.73</v>
      </c>
      <c r="F42" s="75">
        <v>8027.54</v>
      </c>
      <c r="G42" s="75">
        <v>8549.44</v>
      </c>
      <c r="H42" s="75">
        <v>8358.91</v>
      </c>
      <c r="I42" s="75">
        <v>8938.5499999999993</v>
      </c>
      <c r="J42" s="75">
        <v>8531.27</v>
      </c>
      <c r="K42" s="75">
        <v>8867.02</v>
      </c>
    </row>
    <row r="43" spans="1:11">
      <c r="A43" s="74" t="s">
        <v>143</v>
      </c>
      <c r="B43" s="75">
        <v>6762.34</v>
      </c>
      <c r="C43" s="75">
        <v>7047</v>
      </c>
      <c r="D43" s="75">
        <v>7039.39</v>
      </c>
      <c r="E43" s="75">
        <v>7275.96</v>
      </c>
      <c r="F43" s="75">
        <v>6788.03</v>
      </c>
      <c r="G43" s="75">
        <v>6912.71</v>
      </c>
      <c r="H43" s="75">
        <v>6922.71</v>
      </c>
      <c r="I43" s="75">
        <v>7313.58</v>
      </c>
      <c r="J43" s="75">
        <v>7027.89</v>
      </c>
      <c r="K43" s="75">
        <v>7086.06</v>
      </c>
    </row>
    <row r="44" spans="1:11">
      <c r="A44" s="74" t="s">
        <v>138</v>
      </c>
      <c r="B44" s="75">
        <v>194.33</v>
      </c>
      <c r="C44" s="75">
        <v>186.46</v>
      </c>
      <c r="D44" s="75">
        <v>212.43</v>
      </c>
      <c r="E44" s="75">
        <v>192.93</v>
      </c>
      <c r="F44" s="75">
        <v>24.53</v>
      </c>
      <c r="G44" s="75">
        <v>192.82</v>
      </c>
      <c r="H44" s="75">
        <v>-60.06</v>
      </c>
      <c r="I44" s="75">
        <v>229.11</v>
      </c>
      <c r="J44" s="75">
        <v>236.94</v>
      </c>
      <c r="K44" s="75">
        <v>69.14</v>
      </c>
    </row>
    <row r="45" spans="1:11">
      <c r="A45" s="74" t="s">
        <v>84</v>
      </c>
      <c r="B45" s="75">
        <v>208.72</v>
      </c>
      <c r="C45" s="75">
        <v>220.35</v>
      </c>
      <c r="D45" s="75">
        <v>225.61</v>
      </c>
      <c r="E45" s="75">
        <v>227.7</v>
      </c>
      <c r="F45" s="75">
        <v>241.99</v>
      </c>
      <c r="G45" s="75">
        <v>255.55</v>
      </c>
      <c r="H45" s="75">
        <v>301.10000000000002</v>
      </c>
      <c r="I45" s="75">
        <v>300.87</v>
      </c>
      <c r="J45" s="75">
        <v>304.93</v>
      </c>
      <c r="K45" s="75">
        <v>313.07</v>
      </c>
    </row>
    <row r="46" spans="1:11" ht="15">
      <c r="A46" s="74" t="s">
        <v>82</v>
      </c>
      <c r="B46" s="79">
        <v>50.9</v>
      </c>
      <c r="C46" s="79">
        <v>54.42</v>
      </c>
      <c r="D46" s="79">
        <v>54.1</v>
      </c>
      <c r="E46" s="79">
        <v>55.38</v>
      </c>
      <c r="F46" s="79">
        <v>63.01</v>
      </c>
      <c r="G46" s="79">
        <v>55.84</v>
      </c>
      <c r="H46" s="79">
        <v>52.79</v>
      </c>
      <c r="I46" s="79">
        <v>44.5</v>
      </c>
      <c r="J46" s="79">
        <v>43.87</v>
      </c>
      <c r="K46" s="79">
        <v>47.94</v>
      </c>
    </row>
    <row r="47" spans="1:11">
      <c r="A47" s="74" t="s">
        <v>139</v>
      </c>
      <c r="B47" s="75">
        <v>1650.94</v>
      </c>
      <c r="C47" s="75">
        <v>1967.78</v>
      </c>
      <c r="D47" s="75">
        <v>1624.09</v>
      </c>
      <c r="E47" s="75">
        <v>1603.62</v>
      </c>
      <c r="F47" s="75">
        <v>959.04</v>
      </c>
      <c r="G47" s="75">
        <v>1518.16</v>
      </c>
      <c r="H47" s="75">
        <v>1022.25</v>
      </c>
      <c r="I47" s="75">
        <v>1508.71</v>
      </c>
      <c r="J47" s="75">
        <v>1391.52</v>
      </c>
      <c r="K47" s="75">
        <v>1489.09</v>
      </c>
    </row>
    <row r="48" spans="1:11">
      <c r="A48" s="74" t="s">
        <v>88</v>
      </c>
      <c r="B48" s="75">
        <v>418.55</v>
      </c>
      <c r="C48" s="75">
        <v>492.62</v>
      </c>
      <c r="D48" s="75">
        <v>348.79</v>
      </c>
      <c r="E48" s="75">
        <v>416.83</v>
      </c>
      <c r="F48" s="75">
        <v>265.38</v>
      </c>
      <c r="G48" s="75">
        <v>389.73</v>
      </c>
      <c r="H48" s="75">
        <v>321.42</v>
      </c>
      <c r="I48" s="75">
        <v>391.66</v>
      </c>
      <c r="J48" s="75">
        <v>373.29</v>
      </c>
      <c r="K48" s="75">
        <v>415.17</v>
      </c>
    </row>
    <row r="49" spans="1:11">
      <c r="A49" s="74" t="s">
        <v>140</v>
      </c>
      <c r="B49" s="75">
        <v>1205.42</v>
      </c>
      <c r="C49" s="75">
        <v>1447.72</v>
      </c>
      <c r="D49" s="75">
        <v>1256.72</v>
      </c>
      <c r="E49" s="75">
        <v>1169.98</v>
      </c>
      <c r="F49" s="75">
        <v>694.64</v>
      </c>
      <c r="G49" s="75">
        <v>1110.48</v>
      </c>
      <c r="H49" s="75">
        <v>692.13</v>
      </c>
      <c r="I49" s="75">
        <v>1099.77</v>
      </c>
      <c r="J49" s="75">
        <v>993.59</v>
      </c>
      <c r="K49" s="75">
        <v>1059.8699999999999</v>
      </c>
    </row>
    <row r="50" spans="1:11">
      <c r="A50" s="74" t="s">
        <v>144</v>
      </c>
      <c r="B50" s="75">
        <v>1716.23</v>
      </c>
      <c r="C50" s="75">
        <v>2056.09</v>
      </c>
      <c r="D50" s="75">
        <v>1691.37</v>
      </c>
      <c r="E50" s="75">
        <v>1693.77</v>
      </c>
      <c r="F50" s="75">
        <v>1239.51</v>
      </c>
      <c r="G50" s="75">
        <v>1636.73</v>
      </c>
      <c r="H50" s="75">
        <v>1436.2</v>
      </c>
      <c r="I50" s="75">
        <v>1624.97</v>
      </c>
      <c r="J50" s="75">
        <v>1503.38</v>
      </c>
      <c r="K50" s="75">
        <v>1780.96</v>
      </c>
    </row>
    <row r="51" spans="1:11">
      <c r="A51" s="74" t="s">
        <v>80</v>
      </c>
      <c r="B51" s="74">
        <f>B49+B48+B46+B45</f>
        <v>1883.5900000000001</v>
      </c>
      <c r="C51" s="74">
        <f t="shared" ref="C51:K51" si="2">C49+C48+C46+C45</f>
        <v>2215.11</v>
      </c>
      <c r="D51" s="74">
        <f t="shared" si="2"/>
        <v>1885.2199999999998</v>
      </c>
      <c r="E51" s="74">
        <f t="shared" si="2"/>
        <v>1869.89</v>
      </c>
      <c r="F51" s="74">
        <f t="shared" si="2"/>
        <v>1265.02</v>
      </c>
      <c r="G51" s="74">
        <f t="shared" si="2"/>
        <v>1811.6</v>
      </c>
      <c r="H51" s="74">
        <f t="shared" si="2"/>
        <v>1367.44</v>
      </c>
      <c r="I51" s="74">
        <f t="shared" si="2"/>
        <v>1836.8000000000002</v>
      </c>
      <c r="J51" s="74">
        <f t="shared" si="2"/>
        <v>1715.68</v>
      </c>
      <c r="K51" s="74">
        <f t="shared" si="2"/>
        <v>1836.05</v>
      </c>
    </row>
    <row r="55" spans="1:11">
      <c r="A55" s="73" t="s">
        <v>145</v>
      </c>
    </row>
    <row r="56" spans="1:11" s="78" customFormat="1">
      <c r="A56" s="76" t="s">
        <v>130</v>
      </c>
      <c r="B56" s="77">
        <v>42460</v>
      </c>
      <c r="C56" s="77">
        <v>42825</v>
      </c>
      <c r="D56" s="77">
        <v>43190</v>
      </c>
      <c r="E56" s="77">
        <v>43555</v>
      </c>
      <c r="F56" s="77">
        <v>43921</v>
      </c>
      <c r="G56" s="77">
        <v>44286</v>
      </c>
      <c r="H56" s="77">
        <v>44651</v>
      </c>
      <c r="I56" s="77">
        <v>45016</v>
      </c>
      <c r="J56" s="77">
        <v>45382</v>
      </c>
      <c r="K56" s="77">
        <v>45747</v>
      </c>
    </row>
    <row r="57" spans="1:11">
      <c r="A57" s="74" t="s">
        <v>99</v>
      </c>
      <c r="B57" s="75">
        <v>95.92</v>
      </c>
      <c r="C57" s="75">
        <v>95.92</v>
      </c>
      <c r="D57" s="75">
        <v>95.92</v>
      </c>
      <c r="E57" s="75">
        <v>95.92</v>
      </c>
      <c r="F57" s="75">
        <v>95.92</v>
      </c>
      <c r="G57" s="75">
        <v>95.92</v>
      </c>
      <c r="H57" s="75">
        <v>95.92</v>
      </c>
      <c r="I57" s="75">
        <v>95.92</v>
      </c>
      <c r="J57" s="75">
        <v>95.92</v>
      </c>
      <c r="K57" s="75">
        <v>95.92</v>
      </c>
    </row>
    <row r="58" spans="1:11">
      <c r="A58" s="74" t="s">
        <v>100</v>
      </c>
      <c r="B58" s="75">
        <v>6428.9</v>
      </c>
      <c r="C58" s="75">
        <v>7507.97</v>
      </c>
      <c r="D58" s="75">
        <v>8314.31</v>
      </c>
      <c r="E58" s="75">
        <v>9374.6299999999992</v>
      </c>
      <c r="F58" s="75">
        <v>10034.24</v>
      </c>
      <c r="G58" s="75">
        <v>12710.37</v>
      </c>
      <c r="H58" s="75">
        <v>13715.64</v>
      </c>
      <c r="I58" s="75">
        <v>15896.31</v>
      </c>
      <c r="J58" s="75">
        <v>18632.38</v>
      </c>
      <c r="K58" s="75">
        <v>19303.89</v>
      </c>
    </row>
    <row r="59" spans="1:11" ht="15">
      <c r="A59" s="74" t="s">
        <v>101</v>
      </c>
      <c r="B59" s="79">
        <v>323.29000000000002</v>
      </c>
      <c r="C59" s="79">
        <v>560.34</v>
      </c>
      <c r="D59" s="79">
        <v>533.42999999999995</v>
      </c>
      <c r="E59" s="79">
        <v>1319.6</v>
      </c>
      <c r="F59" s="79">
        <v>1118.5</v>
      </c>
      <c r="G59" s="79">
        <v>1093.1199999999999</v>
      </c>
      <c r="H59" s="79">
        <v>1586.88</v>
      </c>
      <c r="I59" s="79">
        <v>1932.62</v>
      </c>
      <c r="J59" s="79">
        <v>2474.38</v>
      </c>
      <c r="K59" s="79">
        <v>2290.29</v>
      </c>
    </row>
    <row r="60" spans="1:11">
      <c r="A60" s="74" t="s">
        <v>102</v>
      </c>
      <c r="B60" s="75">
        <v>3710.92</v>
      </c>
      <c r="C60" s="75">
        <v>4240.96</v>
      </c>
      <c r="D60" s="75">
        <v>4819.82</v>
      </c>
      <c r="E60" s="75">
        <v>5458.69</v>
      </c>
      <c r="F60" s="75">
        <v>4889.3100000000004</v>
      </c>
      <c r="G60" s="75">
        <v>6455.93</v>
      </c>
      <c r="H60" s="75">
        <v>7559.99</v>
      </c>
      <c r="I60" s="75">
        <v>7854.48</v>
      </c>
      <c r="J60" s="75">
        <v>8698.09</v>
      </c>
      <c r="K60" s="75">
        <v>8665.15</v>
      </c>
    </row>
    <row r="61" spans="1:11" s="73" customFormat="1">
      <c r="A61" s="73" t="s">
        <v>52</v>
      </c>
      <c r="B61" s="75">
        <v>10559.03</v>
      </c>
      <c r="C61" s="75">
        <v>12405.19</v>
      </c>
      <c r="D61" s="75">
        <v>13763.48</v>
      </c>
      <c r="E61" s="75">
        <v>16248.84</v>
      </c>
      <c r="F61" s="75">
        <v>16137.97</v>
      </c>
      <c r="G61" s="75">
        <v>20355.34</v>
      </c>
      <c r="H61" s="75">
        <v>22958.43</v>
      </c>
      <c r="I61" s="75">
        <v>25779.33</v>
      </c>
      <c r="J61" s="75">
        <v>29900.77</v>
      </c>
      <c r="K61" s="75">
        <v>30355.25</v>
      </c>
    </row>
    <row r="62" spans="1:11">
      <c r="A62" s="74" t="s">
        <v>146</v>
      </c>
      <c r="B62" s="75">
        <v>3416.35</v>
      </c>
      <c r="C62" s="75">
        <v>3303.74</v>
      </c>
      <c r="D62" s="75">
        <v>3732.24</v>
      </c>
      <c r="E62" s="75">
        <v>6496.56</v>
      </c>
      <c r="F62" s="75">
        <v>6272.31</v>
      </c>
      <c r="G62" s="75">
        <v>5858.52</v>
      </c>
      <c r="H62" s="75">
        <v>5519.06</v>
      </c>
      <c r="I62" s="75">
        <v>5770.46</v>
      </c>
      <c r="J62" s="75">
        <v>7146.62</v>
      </c>
      <c r="K62" s="75">
        <v>9220.1</v>
      </c>
    </row>
    <row r="63" spans="1:11">
      <c r="A63" s="74" t="s">
        <v>105</v>
      </c>
      <c r="B63" s="75">
        <v>106.59</v>
      </c>
      <c r="C63" s="75">
        <v>257.54000000000002</v>
      </c>
      <c r="D63" s="75">
        <v>1405.11</v>
      </c>
      <c r="E63" s="75">
        <v>209.67</v>
      </c>
      <c r="F63" s="75">
        <v>140.24</v>
      </c>
      <c r="G63" s="75">
        <v>182.98</v>
      </c>
      <c r="H63" s="75">
        <v>426.43</v>
      </c>
      <c r="I63" s="75">
        <v>1019.59</v>
      </c>
      <c r="J63" s="75">
        <v>2698.37</v>
      </c>
      <c r="K63" s="75">
        <v>1254.49</v>
      </c>
    </row>
    <row r="64" spans="1:11" ht="15">
      <c r="A64" s="74" t="s">
        <v>106</v>
      </c>
      <c r="B64" s="75">
        <v>2712.13</v>
      </c>
      <c r="C64" s="79">
        <v>2651.99</v>
      </c>
      <c r="D64" s="75">
        <v>2140.6999999999998</v>
      </c>
      <c r="E64" s="75">
        <v>2568.58</v>
      </c>
      <c r="F64" s="75">
        <v>2018.85</v>
      </c>
      <c r="G64" s="75">
        <v>4736.8</v>
      </c>
      <c r="H64" s="75">
        <v>3247.53</v>
      </c>
      <c r="I64" s="75">
        <v>4261.71</v>
      </c>
      <c r="J64" s="75">
        <v>4587.92</v>
      </c>
      <c r="K64" s="75">
        <v>4724.75</v>
      </c>
    </row>
    <row r="65" spans="1:11">
      <c r="A65" s="74" t="s">
        <v>107</v>
      </c>
      <c r="B65" s="75">
        <v>4323.96</v>
      </c>
      <c r="C65" s="75">
        <v>6191.92</v>
      </c>
      <c r="D65" s="75">
        <v>6485.43</v>
      </c>
      <c r="E65" s="75">
        <v>6974.03</v>
      </c>
      <c r="F65" s="75">
        <v>7706.57</v>
      </c>
      <c r="G65" s="75">
        <v>9577.0400000000009</v>
      </c>
      <c r="H65" s="75">
        <v>13765.41</v>
      </c>
      <c r="I65" s="75">
        <v>14727.57</v>
      </c>
      <c r="J65" s="75">
        <v>15467.86</v>
      </c>
      <c r="K65" s="75">
        <v>15155.91</v>
      </c>
    </row>
    <row r="66" spans="1:11" s="73" customFormat="1">
      <c r="A66" s="73" t="s">
        <v>52</v>
      </c>
      <c r="B66" s="75">
        <v>10559.03</v>
      </c>
      <c r="C66" s="75">
        <v>12405.19</v>
      </c>
      <c r="D66" s="75">
        <v>13763.48</v>
      </c>
      <c r="E66" s="75">
        <v>16248.84</v>
      </c>
      <c r="F66" s="75">
        <v>16137.97</v>
      </c>
      <c r="G66" s="75">
        <v>20355.34</v>
      </c>
      <c r="H66" s="75">
        <v>22958.43</v>
      </c>
      <c r="I66" s="75">
        <v>25779.33</v>
      </c>
      <c r="J66" s="75">
        <v>29900.77</v>
      </c>
      <c r="K66" s="75">
        <v>30355.25</v>
      </c>
    </row>
    <row r="67" spans="1:11">
      <c r="A67" s="74" t="s">
        <v>109</v>
      </c>
      <c r="B67" s="75">
        <v>1186.8399999999999</v>
      </c>
      <c r="C67" s="75">
        <v>1446.6</v>
      </c>
      <c r="D67" s="75">
        <v>1730.63</v>
      </c>
      <c r="E67" s="75">
        <v>1907.33</v>
      </c>
      <c r="F67" s="75">
        <v>1795.22</v>
      </c>
      <c r="G67" s="75">
        <v>2602.17</v>
      </c>
      <c r="H67" s="75">
        <v>3871.44</v>
      </c>
      <c r="I67" s="75">
        <v>4636.9399999999996</v>
      </c>
      <c r="J67" s="75">
        <v>4889.05</v>
      </c>
      <c r="K67" s="75">
        <v>4313.6499999999996</v>
      </c>
    </row>
    <row r="68" spans="1:11" ht="15">
      <c r="A68" s="74" t="s">
        <v>110</v>
      </c>
      <c r="B68" s="79">
        <v>1998.24</v>
      </c>
      <c r="C68" s="79">
        <v>2626.94</v>
      </c>
      <c r="D68" s="79">
        <v>2658.31</v>
      </c>
      <c r="E68" s="79">
        <v>3149.86</v>
      </c>
      <c r="F68" s="79">
        <v>3389.81</v>
      </c>
      <c r="G68" s="79">
        <v>3798.6</v>
      </c>
      <c r="H68" s="79">
        <v>6152.98</v>
      </c>
      <c r="I68" s="79">
        <v>6210.64</v>
      </c>
      <c r="J68" s="79">
        <v>5923.41</v>
      </c>
      <c r="K68" s="79">
        <v>6719.27</v>
      </c>
    </row>
    <row r="69" spans="1:11">
      <c r="A69" s="74" t="s">
        <v>111</v>
      </c>
      <c r="B69" s="75">
        <v>424.2</v>
      </c>
      <c r="C69" s="75">
        <v>801.21</v>
      </c>
      <c r="D69" s="75">
        <v>404.65</v>
      </c>
      <c r="E69" s="75">
        <v>444.88</v>
      </c>
      <c r="F69" s="75">
        <v>782.83</v>
      </c>
      <c r="G69" s="75">
        <v>610.75</v>
      </c>
      <c r="H69" s="75">
        <v>864.33</v>
      </c>
      <c r="I69" s="75">
        <v>843.82</v>
      </c>
      <c r="J69" s="75">
        <v>1084.01</v>
      </c>
      <c r="K69" s="75">
        <v>781.98</v>
      </c>
    </row>
    <row r="70" spans="1:11">
      <c r="A70" s="74" t="s">
        <v>147</v>
      </c>
      <c r="B70" s="75">
        <v>959197790</v>
      </c>
      <c r="C70" s="75">
        <v>959197790</v>
      </c>
      <c r="D70" s="75">
        <v>959197790</v>
      </c>
      <c r="E70" s="75">
        <v>959197790</v>
      </c>
      <c r="F70" s="75">
        <v>959197790</v>
      </c>
      <c r="G70" s="75">
        <v>959197790</v>
      </c>
      <c r="H70" s="75">
        <v>959197790</v>
      </c>
      <c r="I70" s="75">
        <v>959197790</v>
      </c>
      <c r="J70" s="75">
        <v>959197790</v>
      </c>
      <c r="K70" s="75">
        <v>959197790</v>
      </c>
    </row>
    <row r="71" spans="1:11" ht="16.5">
      <c r="A71" s="74" t="s">
        <v>148</v>
      </c>
      <c r="B71" s="81"/>
      <c r="C71" s="81"/>
      <c r="G71" s="81"/>
      <c r="H71" s="81"/>
    </row>
    <row r="72" spans="1:11">
      <c r="A72" s="74" t="s">
        <v>149</v>
      </c>
      <c r="B72" s="75">
        <v>1</v>
      </c>
      <c r="C72" s="75">
        <v>1</v>
      </c>
      <c r="D72" s="75">
        <v>1</v>
      </c>
      <c r="E72" s="75">
        <v>1</v>
      </c>
      <c r="F72" s="75">
        <v>1</v>
      </c>
      <c r="G72" s="75">
        <v>1</v>
      </c>
      <c r="H72" s="75">
        <v>1</v>
      </c>
      <c r="I72" s="75">
        <v>1</v>
      </c>
      <c r="J72" s="75">
        <v>1</v>
      </c>
      <c r="K72" s="75">
        <v>1</v>
      </c>
    </row>
    <row r="73" spans="1:11">
      <c r="H73" s="74">
        <f>H62-G62+H45</f>
        <v>-38.360000000000014</v>
      </c>
      <c r="I73" s="74">
        <f t="shared" ref="I73:K73" si="3">I62-H62+I45</f>
        <v>552.26999999999964</v>
      </c>
      <c r="J73" s="74">
        <f t="shared" si="3"/>
        <v>1681.09</v>
      </c>
      <c r="K73" s="74">
        <f t="shared" si="3"/>
        <v>2386.5500000000006</v>
      </c>
    </row>
    <row r="80" spans="1:11">
      <c r="A80" s="73" t="s">
        <v>150</v>
      </c>
    </row>
    <row r="81" spans="1:12" s="78" customFormat="1">
      <c r="A81" s="76" t="s">
        <v>130</v>
      </c>
      <c r="B81" s="77">
        <v>42460</v>
      </c>
      <c r="C81" s="77">
        <v>42825</v>
      </c>
      <c r="D81" s="77">
        <v>43190</v>
      </c>
      <c r="E81" s="77">
        <v>43555</v>
      </c>
      <c r="F81" s="77">
        <v>43921</v>
      </c>
      <c r="G81" s="77">
        <v>44286</v>
      </c>
      <c r="H81" s="77">
        <v>44651</v>
      </c>
      <c r="I81" s="77">
        <v>45016</v>
      </c>
      <c r="J81" s="77">
        <v>45382</v>
      </c>
      <c r="K81" s="77">
        <v>45747</v>
      </c>
      <c r="L81" s="77"/>
    </row>
    <row r="82" spans="1:12" s="73" customFormat="1">
      <c r="A82" s="74" t="s">
        <v>151</v>
      </c>
      <c r="B82" s="75">
        <v>2242.9499999999998</v>
      </c>
      <c r="C82" s="75">
        <v>1527.33</v>
      </c>
      <c r="D82" s="75">
        <v>2113.44</v>
      </c>
      <c r="E82" s="75">
        <v>2469.54</v>
      </c>
      <c r="F82" s="75">
        <v>3038.15</v>
      </c>
      <c r="G82" s="75">
        <v>3683.35</v>
      </c>
      <c r="H82" s="75">
        <v>986.49</v>
      </c>
      <c r="I82" s="75">
        <v>4193.43</v>
      </c>
      <c r="J82" s="75">
        <v>6103.6</v>
      </c>
      <c r="K82" s="75">
        <v>4423.96</v>
      </c>
    </row>
    <row r="83" spans="1:12">
      <c r="A83" s="74" t="s">
        <v>152</v>
      </c>
      <c r="B83" s="75">
        <v>-866.21</v>
      </c>
      <c r="C83" s="75">
        <v>-681.11</v>
      </c>
      <c r="D83" s="75">
        <v>-1556.14</v>
      </c>
      <c r="E83" s="75">
        <v>-917.79</v>
      </c>
      <c r="F83" s="75">
        <v>-517.91</v>
      </c>
      <c r="G83" s="75">
        <v>-540.54</v>
      </c>
      <c r="H83" s="75">
        <v>-316.75</v>
      </c>
      <c r="I83" s="75">
        <v>-1282.3399999999999</v>
      </c>
      <c r="J83" s="75">
        <v>-2548.48</v>
      </c>
      <c r="K83" s="75">
        <v>-940.91</v>
      </c>
    </row>
    <row r="84" spans="1:12">
      <c r="A84" s="74" t="s">
        <v>153</v>
      </c>
      <c r="B84" s="75">
        <v>-848.98</v>
      </c>
      <c r="C84" s="75">
        <v>-756.43</v>
      </c>
      <c r="D84" s="75">
        <v>-1379.14</v>
      </c>
      <c r="E84" s="75">
        <v>-1117.46</v>
      </c>
      <c r="F84" s="75">
        <v>-2871.46</v>
      </c>
      <c r="G84" s="75">
        <v>-650.4</v>
      </c>
      <c r="H84" s="75">
        <v>-1807.61</v>
      </c>
      <c r="I84" s="75">
        <v>-2140.0500000000002</v>
      </c>
      <c r="J84" s="75">
        <v>-2982.5</v>
      </c>
      <c r="K84" s="75">
        <v>-3752.58</v>
      </c>
    </row>
    <row r="85" spans="1:12" s="73" customFormat="1">
      <c r="A85" s="74" t="s">
        <v>119</v>
      </c>
      <c r="B85" s="75">
        <v>527.76</v>
      </c>
      <c r="C85" s="75">
        <v>89.79</v>
      </c>
      <c r="D85" s="75">
        <v>-821.84</v>
      </c>
      <c r="E85" s="75">
        <v>434.29</v>
      </c>
      <c r="F85" s="75">
        <v>-351.22</v>
      </c>
      <c r="G85" s="75">
        <v>2492.41</v>
      </c>
      <c r="H85" s="75">
        <v>-1137.8699999999999</v>
      </c>
      <c r="I85" s="75">
        <v>771.04</v>
      </c>
      <c r="J85" s="75">
        <v>572.62</v>
      </c>
      <c r="K85" s="75">
        <v>-269.52999999999997</v>
      </c>
    </row>
    <row r="90" spans="1:12" s="73" customFormat="1">
      <c r="A90" s="73" t="s">
        <v>154</v>
      </c>
      <c r="B90" s="75">
        <v>868.4</v>
      </c>
      <c r="C90" s="75">
        <v>1073.5</v>
      </c>
      <c r="D90" s="75">
        <v>1120.4000000000001</v>
      </c>
      <c r="E90" s="75">
        <v>1492.7</v>
      </c>
      <c r="F90" s="75">
        <v>1666.5</v>
      </c>
      <c r="G90" s="75">
        <v>2537.4</v>
      </c>
      <c r="H90" s="75">
        <v>3079.95</v>
      </c>
      <c r="I90" s="75">
        <v>2761.65</v>
      </c>
      <c r="J90" s="75">
        <v>2846.75</v>
      </c>
      <c r="K90" s="75">
        <v>2340.65</v>
      </c>
    </row>
    <row r="92" spans="1:12" s="73" customFormat="1">
      <c r="A92" s="73" t="s">
        <v>155</v>
      </c>
    </row>
    <row r="93" spans="1:12">
      <c r="A93" s="74" t="s">
        <v>156</v>
      </c>
      <c r="B93" s="82">
        <v>95.92</v>
      </c>
      <c r="C93" s="82">
        <v>95.92</v>
      </c>
      <c r="D93" s="82">
        <v>95.92</v>
      </c>
      <c r="E93" s="82">
        <v>95.92</v>
      </c>
      <c r="F93" s="82">
        <v>95.92</v>
      </c>
      <c r="G93" s="82">
        <v>95.92</v>
      </c>
      <c r="H93" s="82">
        <v>95.92</v>
      </c>
      <c r="I93" s="82">
        <v>95.92</v>
      </c>
      <c r="J93" s="82">
        <v>95.92</v>
      </c>
      <c r="K93" s="82">
        <v>95.92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C03866C7-AB34-441B-ACAE-C23DCFBCDD3D}"/>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F9C66-16E4-4D0D-A409-337C47FA5FE8}">
  <dimension ref="B1:O35"/>
  <sheetViews>
    <sheetView workbookViewId="0">
      <selection activeCell="D7" sqref="D7"/>
    </sheetView>
  </sheetViews>
  <sheetFormatPr defaultRowHeight="15"/>
  <cols>
    <col min="2" max="2" width="24.85546875" bestFit="1" customWidth="1"/>
    <col min="3" max="3" width="8.42578125" bestFit="1" customWidth="1"/>
  </cols>
  <sheetData>
    <row r="1" spans="2:15">
      <c r="E1" s="234" t="s">
        <v>254</v>
      </c>
      <c r="F1" s="234"/>
      <c r="G1" s="234"/>
      <c r="H1" s="234"/>
      <c r="I1" s="234"/>
      <c r="J1" s="234"/>
      <c r="K1" s="234"/>
    </row>
    <row r="2" spans="2:15">
      <c r="C2" s="107">
        <v>41699</v>
      </c>
      <c r="D2" s="107">
        <v>42064</v>
      </c>
      <c r="E2" s="107">
        <v>42430</v>
      </c>
      <c r="F2" s="107">
        <v>42795</v>
      </c>
      <c r="G2" s="107">
        <v>43160</v>
      </c>
      <c r="H2" s="107">
        <v>43525</v>
      </c>
      <c r="I2" s="107">
        <v>43891</v>
      </c>
      <c r="J2" s="107">
        <v>44256</v>
      </c>
      <c r="K2" s="107">
        <v>44621</v>
      </c>
      <c r="L2" s="107">
        <v>44986</v>
      </c>
      <c r="M2" s="107">
        <v>45352</v>
      </c>
      <c r="N2" s="107">
        <v>45717</v>
      </c>
      <c r="O2" s="107">
        <v>45901</v>
      </c>
    </row>
    <row r="3" spans="2:15">
      <c r="B3" t="s">
        <v>157</v>
      </c>
      <c r="C3">
        <v>96</v>
      </c>
      <c r="D3">
        <v>96</v>
      </c>
      <c r="E3">
        <v>96</v>
      </c>
      <c r="F3">
        <v>96</v>
      </c>
      <c r="G3">
        <v>96</v>
      </c>
      <c r="H3">
        <v>96</v>
      </c>
      <c r="I3">
        <v>96</v>
      </c>
      <c r="J3">
        <v>96</v>
      </c>
      <c r="K3">
        <v>96</v>
      </c>
      <c r="L3">
        <v>96</v>
      </c>
      <c r="M3">
        <v>96</v>
      </c>
      <c r="N3">
        <v>96</v>
      </c>
      <c r="O3">
        <v>96</v>
      </c>
    </row>
    <row r="4" spans="2:15">
      <c r="B4" t="s">
        <v>100</v>
      </c>
      <c r="C4" s="83">
        <v>3943</v>
      </c>
      <c r="D4" s="83">
        <v>4646</v>
      </c>
      <c r="E4" s="83">
        <v>6429</v>
      </c>
      <c r="F4" s="83">
        <v>7508</v>
      </c>
      <c r="G4" s="83">
        <v>8314</v>
      </c>
      <c r="H4" s="83">
        <v>9375</v>
      </c>
      <c r="I4" s="83">
        <v>10034</v>
      </c>
      <c r="J4" s="83">
        <v>12710</v>
      </c>
      <c r="K4" s="83">
        <v>13716</v>
      </c>
      <c r="L4" s="83">
        <v>15896</v>
      </c>
      <c r="M4" s="83">
        <v>18632</v>
      </c>
      <c r="N4" s="83">
        <v>19304</v>
      </c>
      <c r="O4" s="83">
        <v>19483</v>
      </c>
    </row>
    <row r="5" spans="2:15">
      <c r="B5" t="s">
        <v>158</v>
      </c>
      <c r="C5">
        <v>249</v>
      </c>
      <c r="D5">
        <v>418</v>
      </c>
      <c r="E5">
        <v>323</v>
      </c>
      <c r="F5">
        <v>560</v>
      </c>
      <c r="G5">
        <v>533</v>
      </c>
      <c r="H5" s="83">
        <v>1320</v>
      </c>
      <c r="I5" s="83">
        <v>1118</v>
      </c>
      <c r="J5" s="83">
        <v>1093</v>
      </c>
      <c r="K5" s="83">
        <v>1587</v>
      </c>
      <c r="L5" s="83">
        <v>1933</v>
      </c>
      <c r="M5" s="83">
        <v>2474</v>
      </c>
      <c r="N5" s="83">
        <v>2290</v>
      </c>
      <c r="O5" s="83">
        <v>3557</v>
      </c>
    </row>
    <row r="6" spans="2:15">
      <c r="B6" t="s">
        <v>159</v>
      </c>
      <c r="C6">
        <v>41</v>
      </c>
      <c r="D6">
        <v>78</v>
      </c>
      <c r="E6">
        <v>73</v>
      </c>
      <c r="F6">
        <v>41</v>
      </c>
      <c r="G6">
        <v>28</v>
      </c>
      <c r="H6">
        <v>19</v>
      </c>
      <c r="I6">
        <v>19</v>
      </c>
      <c r="J6">
        <v>15</v>
      </c>
      <c r="K6">
        <v>45</v>
      </c>
      <c r="L6">
        <v>76</v>
      </c>
      <c r="M6">
        <v>54</v>
      </c>
      <c r="N6">
        <v>260</v>
      </c>
      <c r="O6">
        <v>911</v>
      </c>
    </row>
    <row r="7" spans="2:15">
      <c r="B7" t="s">
        <v>160</v>
      </c>
      <c r="C7">
        <v>199</v>
      </c>
      <c r="D7">
        <v>332</v>
      </c>
      <c r="E7">
        <v>231</v>
      </c>
      <c r="F7">
        <v>504</v>
      </c>
      <c r="G7">
        <v>492</v>
      </c>
      <c r="H7">
        <v>597</v>
      </c>
      <c r="I7">
        <v>321</v>
      </c>
      <c r="J7">
        <v>334</v>
      </c>
      <c r="K7">
        <v>731</v>
      </c>
      <c r="L7">
        <v>896</v>
      </c>
      <c r="M7" s="83">
        <v>1053</v>
      </c>
      <c r="N7">
        <v>604</v>
      </c>
      <c r="O7" s="83">
        <v>1047</v>
      </c>
    </row>
    <row r="8" spans="2:15">
      <c r="B8" t="s">
        <v>161</v>
      </c>
      <c r="C8">
        <v>0</v>
      </c>
      <c r="D8">
        <v>0</v>
      </c>
      <c r="E8">
        <v>0</v>
      </c>
      <c r="F8">
        <v>0</v>
      </c>
      <c r="G8">
        <v>0</v>
      </c>
      <c r="H8">
        <v>693</v>
      </c>
      <c r="I8">
        <v>764</v>
      </c>
      <c r="J8">
        <v>745</v>
      </c>
      <c r="K8">
        <v>811</v>
      </c>
      <c r="L8">
        <v>960</v>
      </c>
      <c r="M8" s="83">
        <v>1367</v>
      </c>
      <c r="N8" s="83">
        <v>1427</v>
      </c>
      <c r="O8" s="83">
        <v>1600</v>
      </c>
    </row>
    <row r="9" spans="2:15">
      <c r="B9" t="s">
        <v>162</v>
      </c>
      <c r="C9">
        <v>9</v>
      </c>
      <c r="D9">
        <v>8</v>
      </c>
      <c r="E9">
        <v>20</v>
      </c>
      <c r="F9">
        <v>15</v>
      </c>
      <c r="G9">
        <v>13</v>
      </c>
      <c r="H9">
        <v>11</v>
      </c>
      <c r="I9">
        <v>15</v>
      </c>
      <c r="J9">
        <v>0</v>
      </c>
      <c r="K9">
        <v>0</v>
      </c>
      <c r="L9">
        <v>0</v>
      </c>
      <c r="M9">
        <v>0</v>
      </c>
      <c r="N9">
        <v>0</v>
      </c>
    </row>
    <row r="10" spans="2:15">
      <c r="B10" t="s">
        <v>163</v>
      </c>
      <c r="C10" s="83">
        <v>3787</v>
      </c>
      <c r="D10" s="83">
        <v>3754</v>
      </c>
      <c r="E10" s="83">
        <v>3711</v>
      </c>
      <c r="F10" s="83">
        <v>4241</v>
      </c>
      <c r="G10" s="83">
        <v>4820</v>
      </c>
      <c r="H10" s="83">
        <v>5459</v>
      </c>
      <c r="I10" s="83">
        <v>4889</v>
      </c>
      <c r="J10" s="83">
        <v>6456</v>
      </c>
      <c r="K10" s="83">
        <v>7560</v>
      </c>
      <c r="L10" s="83">
        <v>7854</v>
      </c>
      <c r="M10" s="83">
        <v>8698</v>
      </c>
      <c r="N10" s="83">
        <v>8665</v>
      </c>
      <c r="O10" s="83">
        <v>8213</v>
      </c>
    </row>
    <row r="11" spans="2:15">
      <c r="B11" t="s">
        <v>164</v>
      </c>
      <c r="C11">
        <v>246</v>
      </c>
      <c r="D11">
        <v>264</v>
      </c>
      <c r="E11">
        <v>384</v>
      </c>
      <c r="F11">
        <v>375</v>
      </c>
      <c r="G11">
        <v>328</v>
      </c>
      <c r="H11">
        <v>361</v>
      </c>
      <c r="I11">
        <v>404</v>
      </c>
      <c r="J11">
        <v>423</v>
      </c>
      <c r="K11">
        <v>388</v>
      </c>
      <c r="L11">
        <v>454</v>
      </c>
      <c r="M11">
        <v>695</v>
      </c>
      <c r="N11">
        <v>659</v>
      </c>
      <c r="O11">
        <v>622</v>
      </c>
    </row>
    <row r="12" spans="2:15">
      <c r="B12" t="s">
        <v>165</v>
      </c>
      <c r="C12" s="83">
        <v>1746</v>
      </c>
      <c r="D12" s="83">
        <v>1549</v>
      </c>
      <c r="E12" s="83">
        <v>1565</v>
      </c>
      <c r="F12" s="83">
        <v>1923</v>
      </c>
      <c r="G12" s="83">
        <v>2160</v>
      </c>
      <c r="H12" s="83">
        <v>2394</v>
      </c>
      <c r="I12" s="83">
        <v>2137</v>
      </c>
      <c r="J12" s="83">
        <v>3379</v>
      </c>
      <c r="K12" s="83">
        <v>4164</v>
      </c>
      <c r="L12" s="83">
        <v>3635</v>
      </c>
      <c r="M12" s="83">
        <v>3831</v>
      </c>
      <c r="N12" s="83">
        <v>3848</v>
      </c>
      <c r="O12" s="83">
        <v>3375</v>
      </c>
    </row>
    <row r="13" spans="2:15">
      <c r="B13" t="s">
        <v>166</v>
      </c>
      <c r="C13">
        <v>0</v>
      </c>
      <c r="D13">
        <v>5</v>
      </c>
      <c r="E13">
        <v>12</v>
      </c>
      <c r="F13">
        <v>17</v>
      </c>
      <c r="G13">
        <v>16</v>
      </c>
      <c r="H13">
        <v>13</v>
      </c>
      <c r="I13">
        <v>29</v>
      </c>
      <c r="J13">
        <v>41</v>
      </c>
      <c r="K13">
        <v>76</v>
      </c>
      <c r="L13">
        <v>108</v>
      </c>
      <c r="M13">
        <v>154</v>
      </c>
      <c r="N13">
        <v>173</v>
      </c>
    </row>
    <row r="14" spans="2:15">
      <c r="B14" t="s">
        <v>167</v>
      </c>
      <c r="C14" s="83">
        <v>1795</v>
      </c>
      <c r="D14" s="83">
        <v>1937</v>
      </c>
      <c r="E14" s="83">
        <v>1750</v>
      </c>
      <c r="F14" s="83">
        <v>1925</v>
      </c>
      <c r="G14" s="83">
        <v>2316</v>
      </c>
      <c r="H14" s="83">
        <v>2690</v>
      </c>
      <c r="I14" s="83">
        <v>2320</v>
      </c>
      <c r="J14" s="83">
        <v>2613</v>
      </c>
      <c r="K14" s="83">
        <v>2932</v>
      </c>
      <c r="L14" s="83">
        <v>3657</v>
      </c>
      <c r="M14" s="83">
        <v>4017</v>
      </c>
      <c r="N14" s="83">
        <v>3985</v>
      </c>
      <c r="O14" s="83">
        <v>4216</v>
      </c>
    </row>
    <row r="15" spans="2:15">
      <c r="B15" t="s">
        <v>103</v>
      </c>
      <c r="C15" s="83">
        <v>8075</v>
      </c>
      <c r="D15" s="83">
        <v>8914</v>
      </c>
      <c r="E15" s="83">
        <v>10559</v>
      </c>
      <c r="F15" s="83">
        <v>12405</v>
      </c>
      <c r="G15" s="83">
        <v>13763</v>
      </c>
      <c r="H15" s="83">
        <v>16249</v>
      </c>
      <c r="I15" s="83">
        <v>16138</v>
      </c>
      <c r="J15" s="83">
        <v>20355</v>
      </c>
      <c r="K15" s="83">
        <v>22958</v>
      </c>
      <c r="L15" s="83">
        <v>25779</v>
      </c>
      <c r="M15" s="83">
        <v>29901</v>
      </c>
      <c r="N15" s="83">
        <v>30355</v>
      </c>
      <c r="O15" s="83">
        <v>31349</v>
      </c>
    </row>
    <row r="16" spans="2:15">
      <c r="B16" t="s">
        <v>168</v>
      </c>
      <c r="C16" s="83">
        <v>2562</v>
      </c>
      <c r="D16" s="83">
        <v>2660</v>
      </c>
      <c r="E16" s="83">
        <v>3416</v>
      </c>
      <c r="F16" s="83">
        <v>3304</v>
      </c>
      <c r="G16" s="83">
        <v>3732</v>
      </c>
      <c r="H16" s="83">
        <v>6497</v>
      </c>
      <c r="I16" s="83">
        <v>6272</v>
      </c>
      <c r="J16" s="83">
        <v>5859</v>
      </c>
      <c r="K16" s="83">
        <v>5519</v>
      </c>
      <c r="L16" s="83">
        <v>5770</v>
      </c>
      <c r="M16" s="83">
        <v>7147</v>
      </c>
      <c r="N16" s="83">
        <v>9220</v>
      </c>
      <c r="O16" s="83">
        <v>9219</v>
      </c>
    </row>
    <row r="17" spans="2:15">
      <c r="B17" t="s">
        <v>169</v>
      </c>
      <c r="C17">
        <v>247</v>
      </c>
      <c r="D17">
        <v>251</v>
      </c>
      <c r="E17">
        <v>429</v>
      </c>
      <c r="F17">
        <v>408</v>
      </c>
      <c r="G17">
        <v>586</v>
      </c>
      <c r="H17">
        <v>605</v>
      </c>
      <c r="I17">
        <v>640</v>
      </c>
      <c r="J17">
        <v>644</v>
      </c>
      <c r="K17">
        <v>644</v>
      </c>
      <c r="L17">
        <v>804</v>
      </c>
      <c r="M17" s="83">
        <v>1126</v>
      </c>
      <c r="N17" s="83">
        <v>1050</v>
      </c>
    </row>
    <row r="18" spans="2:15">
      <c r="B18" t="s">
        <v>170</v>
      </c>
      <c r="C18">
        <v>931</v>
      </c>
      <c r="D18">
        <v>962</v>
      </c>
      <c r="E18">
        <v>923</v>
      </c>
      <c r="F18">
        <v>931</v>
      </c>
      <c r="G18">
        <v>957</v>
      </c>
      <c r="H18" s="83">
        <v>2402</v>
      </c>
      <c r="I18" s="83">
        <v>2257</v>
      </c>
      <c r="J18" s="83">
        <v>2249</v>
      </c>
      <c r="K18" s="83">
        <v>2325</v>
      </c>
      <c r="L18" s="83">
        <v>2883</v>
      </c>
      <c r="M18" s="83">
        <v>3390</v>
      </c>
      <c r="N18" s="83">
        <v>4136</v>
      </c>
    </row>
    <row r="19" spans="2:15">
      <c r="B19" t="s">
        <v>171</v>
      </c>
      <c r="C19" s="83">
        <v>2054</v>
      </c>
      <c r="D19" s="83">
        <v>2132</v>
      </c>
      <c r="E19" s="83">
        <v>1793</v>
      </c>
      <c r="F19" s="83">
        <v>1980</v>
      </c>
      <c r="G19" s="83">
        <v>2157</v>
      </c>
      <c r="H19" s="83">
        <v>4006</v>
      </c>
      <c r="I19" s="83">
        <v>4208</v>
      </c>
      <c r="J19" s="83">
        <v>4340</v>
      </c>
      <c r="K19" s="83">
        <v>4531</v>
      </c>
      <c r="L19" s="83">
        <v>4825</v>
      </c>
      <c r="M19" s="83">
        <v>5422</v>
      </c>
      <c r="N19" s="83">
        <v>7576</v>
      </c>
    </row>
    <row r="20" spans="2:15">
      <c r="B20" t="s">
        <v>172</v>
      </c>
      <c r="C20">
        <v>155</v>
      </c>
      <c r="D20">
        <v>171</v>
      </c>
      <c r="E20">
        <v>97</v>
      </c>
      <c r="F20">
        <v>119</v>
      </c>
      <c r="G20">
        <v>200</v>
      </c>
      <c r="H20">
        <v>221</v>
      </c>
      <c r="I20">
        <v>241</v>
      </c>
      <c r="J20">
        <v>243</v>
      </c>
      <c r="K20">
        <v>253</v>
      </c>
      <c r="L20">
        <v>270</v>
      </c>
      <c r="M20">
        <v>298</v>
      </c>
      <c r="N20">
        <v>325</v>
      </c>
    </row>
    <row r="21" spans="2:15">
      <c r="B21" t="s">
        <v>173</v>
      </c>
      <c r="C21">
        <v>71</v>
      </c>
      <c r="D21">
        <v>83</v>
      </c>
      <c r="E21">
        <v>49</v>
      </c>
      <c r="F21">
        <v>59</v>
      </c>
      <c r="G21">
        <v>72</v>
      </c>
      <c r="H21">
        <v>88</v>
      </c>
      <c r="I21">
        <v>94</v>
      </c>
      <c r="J21">
        <v>99</v>
      </c>
      <c r="K21">
        <v>113</v>
      </c>
      <c r="L21">
        <v>146</v>
      </c>
      <c r="M21">
        <v>175</v>
      </c>
      <c r="N21">
        <v>203</v>
      </c>
    </row>
    <row r="22" spans="2:15">
      <c r="B22" t="s">
        <v>174</v>
      </c>
      <c r="C22">
        <v>14</v>
      </c>
      <c r="D22">
        <v>18</v>
      </c>
      <c r="E22">
        <v>11</v>
      </c>
      <c r="F22">
        <v>14</v>
      </c>
      <c r="G22">
        <v>27</v>
      </c>
      <c r="H22">
        <v>47</v>
      </c>
      <c r="I22">
        <v>43</v>
      </c>
      <c r="J22">
        <v>38</v>
      </c>
      <c r="K22">
        <v>32</v>
      </c>
      <c r="L22">
        <v>36</v>
      </c>
      <c r="M22">
        <v>40</v>
      </c>
      <c r="N22">
        <v>39</v>
      </c>
    </row>
    <row r="23" spans="2:15">
      <c r="B23" t="s">
        <v>175</v>
      </c>
      <c r="C23">
        <v>203</v>
      </c>
      <c r="D23">
        <v>351</v>
      </c>
      <c r="E23">
        <v>339</v>
      </c>
      <c r="F23">
        <v>276</v>
      </c>
      <c r="G23">
        <v>468</v>
      </c>
      <c r="H23">
        <v>512</v>
      </c>
      <c r="I23">
        <v>505</v>
      </c>
      <c r="J23">
        <v>476</v>
      </c>
      <c r="K23">
        <v>345</v>
      </c>
      <c r="L23">
        <v>422</v>
      </c>
      <c r="M23">
        <v>850</v>
      </c>
      <c r="N23">
        <v>827</v>
      </c>
      <c r="O23">
        <v>574</v>
      </c>
    </row>
    <row r="24" spans="2:15">
      <c r="B24" t="s">
        <v>176</v>
      </c>
      <c r="C24">
        <v>128</v>
      </c>
      <c r="D24">
        <v>145</v>
      </c>
      <c r="E24">
        <v>103</v>
      </c>
      <c r="F24">
        <v>128</v>
      </c>
      <c r="G24">
        <v>238</v>
      </c>
      <c r="H24">
        <v>261</v>
      </c>
      <c r="I24">
        <v>293</v>
      </c>
      <c r="J24">
        <v>302</v>
      </c>
      <c r="K24">
        <v>294</v>
      </c>
      <c r="L24">
        <v>289</v>
      </c>
      <c r="M24">
        <v>321</v>
      </c>
      <c r="N24">
        <v>328</v>
      </c>
    </row>
    <row r="25" spans="2:15">
      <c r="B25" t="s">
        <v>177</v>
      </c>
      <c r="C25" s="83">
        <v>3804</v>
      </c>
      <c r="D25" s="83">
        <v>4112</v>
      </c>
      <c r="E25" s="83">
        <v>3744</v>
      </c>
      <c r="F25" s="83">
        <v>3914</v>
      </c>
      <c r="G25" s="83">
        <v>4705</v>
      </c>
      <c r="H25" s="83">
        <v>8141</v>
      </c>
      <c r="I25" s="83">
        <v>8282</v>
      </c>
      <c r="J25" s="83">
        <v>8392</v>
      </c>
      <c r="K25" s="83">
        <v>8538</v>
      </c>
      <c r="L25" s="83">
        <v>9676</v>
      </c>
      <c r="M25" s="83">
        <v>11622</v>
      </c>
      <c r="N25" s="83">
        <v>14484</v>
      </c>
    </row>
    <row r="26" spans="2:15">
      <c r="B26" t="s">
        <v>178</v>
      </c>
      <c r="C26" s="83">
        <v>1242</v>
      </c>
      <c r="D26" s="83">
        <v>1452</v>
      </c>
      <c r="E26">
        <v>327</v>
      </c>
      <c r="F26">
        <v>610</v>
      </c>
      <c r="G26">
        <v>973</v>
      </c>
      <c r="H26" s="83">
        <v>1644</v>
      </c>
      <c r="I26" s="83">
        <v>2010</v>
      </c>
      <c r="J26" s="83">
        <v>2533</v>
      </c>
      <c r="K26" s="83">
        <v>3019</v>
      </c>
      <c r="L26" s="83">
        <v>3905</v>
      </c>
      <c r="M26" s="83">
        <v>4475</v>
      </c>
      <c r="N26" s="83">
        <v>5264</v>
      </c>
    </row>
    <row r="27" spans="2:15">
      <c r="B27" t="s">
        <v>179</v>
      </c>
      <c r="C27">
        <v>72</v>
      </c>
      <c r="D27">
        <v>196</v>
      </c>
      <c r="E27">
        <v>107</v>
      </c>
      <c r="F27">
        <v>258</v>
      </c>
      <c r="G27" s="83">
        <v>1405</v>
      </c>
      <c r="H27">
        <v>210</v>
      </c>
      <c r="I27">
        <v>140</v>
      </c>
      <c r="J27">
        <v>183</v>
      </c>
      <c r="K27">
        <v>426</v>
      </c>
      <c r="L27" s="83">
        <v>1020</v>
      </c>
      <c r="M27" s="83">
        <v>2698</v>
      </c>
      <c r="N27" s="83">
        <v>1254</v>
      </c>
      <c r="O27" s="83">
        <v>1766</v>
      </c>
    </row>
    <row r="28" spans="2:15">
      <c r="B28" t="s">
        <v>106</v>
      </c>
      <c r="C28" s="83">
        <v>1424</v>
      </c>
      <c r="D28" s="83">
        <v>1588</v>
      </c>
      <c r="E28" s="83">
        <v>2712</v>
      </c>
      <c r="F28" s="83">
        <v>2652</v>
      </c>
      <c r="G28" s="83">
        <v>2141</v>
      </c>
      <c r="H28" s="83">
        <v>2569</v>
      </c>
      <c r="I28" s="83">
        <v>2019</v>
      </c>
      <c r="J28" s="83">
        <v>4737</v>
      </c>
      <c r="K28" s="83">
        <v>3248</v>
      </c>
      <c r="L28" s="83">
        <v>4262</v>
      </c>
      <c r="M28" s="83">
        <v>4588</v>
      </c>
      <c r="N28" s="83">
        <v>4725</v>
      </c>
      <c r="O28" s="83">
        <v>5431</v>
      </c>
    </row>
    <row r="29" spans="2:15">
      <c r="B29" t="s">
        <v>180</v>
      </c>
      <c r="C29" s="83">
        <v>4019</v>
      </c>
      <c r="D29" s="83">
        <v>4471</v>
      </c>
      <c r="E29" s="83">
        <v>4324</v>
      </c>
      <c r="F29" s="83">
        <v>6192</v>
      </c>
      <c r="G29" s="83">
        <v>6485</v>
      </c>
      <c r="H29" s="83">
        <v>6974</v>
      </c>
      <c r="I29" s="83">
        <v>7707</v>
      </c>
      <c r="J29" s="83">
        <v>9577</v>
      </c>
      <c r="K29" s="83">
        <v>13765</v>
      </c>
      <c r="L29" s="83">
        <v>14728</v>
      </c>
      <c r="M29" s="83">
        <v>15468</v>
      </c>
      <c r="N29" s="83">
        <v>15156</v>
      </c>
      <c r="O29" s="83">
        <v>14932</v>
      </c>
    </row>
    <row r="30" spans="2:15">
      <c r="B30" t="s">
        <v>181</v>
      </c>
      <c r="C30" s="83">
        <v>2070</v>
      </c>
      <c r="D30" s="83">
        <v>2259</v>
      </c>
      <c r="E30" s="83">
        <v>1998</v>
      </c>
      <c r="F30" s="83">
        <v>2627</v>
      </c>
      <c r="G30" s="83">
        <v>2658</v>
      </c>
      <c r="H30" s="83">
        <v>3150</v>
      </c>
      <c r="I30" s="83">
        <v>3390</v>
      </c>
      <c r="J30" s="83">
        <v>3799</v>
      </c>
      <c r="K30" s="83">
        <v>6153</v>
      </c>
      <c r="L30" s="83">
        <v>6211</v>
      </c>
      <c r="M30" s="83">
        <v>5923</v>
      </c>
      <c r="N30" s="83">
        <v>6719</v>
      </c>
      <c r="O30" s="83">
        <v>6011</v>
      </c>
    </row>
    <row r="31" spans="2:15">
      <c r="B31" t="s">
        <v>229</v>
      </c>
      <c r="C31" s="83">
        <v>1110</v>
      </c>
      <c r="D31" s="83">
        <v>1182</v>
      </c>
      <c r="E31" s="83">
        <v>1187</v>
      </c>
      <c r="F31" s="83">
        <v>1447</v>
      </c>
      <c r="G31" s="83">
        <v>1731</v>
      </c>
      <c r="H31" s="83">
        <v>1907</v>
      </c>
      <c r="I31" s="83">
        <v>1795</v>
      </c>
      <c r="J31" s="83">
        <v>2602</v>
      </c>
      <c r="K31" s="83">
        <v>3871</v>
      </c>
      <c r="L31" s="83">
        <v>4637</v>
      </c>
      <c r="M31" s="83">
        <v>4889</v>
      </c>
      <c r="N31" s="83">
        <v>4314</v>
      </c>
      <c r="O31" s="83">
        <v>4424</v>
      </c>
    </row>
    <row r="32" spans="2:15">
      <c r="B32" t="s">
        <v>183</v>
      </c>
      <c r="C32">
        <v>229</v>
      </c>
      <c r="D32">
        <v>204</v>
      </c>
      <c r="E32">
        <v>424</v>
      </c>
      <c r="F32">
        <v>801</v>
      </c>
      <c r="G32">
        <v>405</v>
      </c>
      <c r="H32">
        <v>445</v>
      </c>
      <c r="I32">
        <v>783</v>
      </c>
      <c r="J32">
        <v>611</v>
      </c>
      <c r="K32">
        <v>864</v>
      </c>
      <c r="L32">
        <v>844</v>
      </c>
      <c r="M32" s="83">
        <v>1084</v>
      </c>
      <c r="N32">
        <v>782</v>
      </c>
      <c r="O32" s="83">
        <v>1011</v>
      </c>
    </row>
    <row r="33" spans="2:15">
      <c r="B33" t="s">
        <v>184</v>
      </c>
      <c r="C33">
        <v>7</v>
      </c>
      <c r="D33">
        <v>8</v>
      </c>
      <c r="E33">
        <v>9</v>
      </c>
      <c r="F33">
        <v>14</v>
      </c>
      <c r="G33">
        <v>13</v>
      </c>
      <c r="H33">
        <v>16</v>
      </c>
      <c r="I33">
        <v>12</v>
      </c>
      <c r="J33">
        <v>11</v>
      </c>
      <c r="K33">
        <v>8</v>
      </c>
      <c r="L33">
        <v>12</v>
      </c>
      <c r="M33">
        <v>17</v>
      </c>
      <c r="N33">
        <v>22</v>
      </c>
      <c r="O33" s="83">
        <v>1066</v>
      </c>
    </row>
    <row r="34" spans="2:15">
      <c r="B34" t="s">
        <v>185</v>
      </c>
      <c r="C34">
        <v>603</v>
      </c>
      <c r="D34">
        <v>817</v>
      </c>
      <c r="E34">
        <v>705</v>
      </c>
      <c r="F34" s="83">
        <v>1303</v>
      </c>
      <c r="G34" s="83">
        <v>1678</v>
      </c>
      <c r="H34" s="83">
        <v>1456</v>
      </c>
      <c r="I34" s="83">
        <v>1727</v>
      </c>
      <c r="J34" s="83">
        <v>2555</v>
      </c>
      <c r="K34" s="83">
        <v>2869</v>
      </c>
      <c r="L34" s="83">
        <v>3024</v>
      </c>
      <c r="M34" s="83">
        <v>3555</v>
      </c>
      <c r="N34" s="83">
        <v>3319</v>
      </c>
      <c r="O34" s="83">
        <v>2421</v>
      </c>
    </row>
    <row r="35" spans="2:15">
      <c r="B35" t="s">
        <v>113</v>
      </c>
      <c r="C35" s="83">
        <v>8075</v>
      </c>
      <c r="D35" s="83">
        <v>8914</v>
      </c>
      <c r="E35" s="83">
        <v>10559</v>
      </c>
      <c r="F35" s="83">
        <v>12405</v>
      </c>
      <c r="G35" s="83">
        <v>13763</v>
      </c>
      <c r="H35" s="83">
        <v>16249</v>
      </c>
      <c r="I35" s="83">
        <v>16138</v>
      </c>
      <c r="J35" s="83">
        <v>20355</v>
      </c>
      <c r="K35" s="83">
        <v>22958</v>
      </c>
      <c r="L35" s="83">
        <v>25779</v>
      </c>
      <c r="M35" s="83">
        <v>29901</v>
      </c>
      <c r="N35" s="83">
        <v>30355</v>
      </c>
      <c r="O35" s="83">
        <v>31349</v>
      </c>
    </row>
  </sheetData>
  <mergeCells count="1">
    <mergeCell ref="E1:K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74AD-B60D-4E46-909A-C7D152002B92}">
  <dimension ref="B1:S8"/>
  <sheetViews>
    <sheetView workbookViewId="0">
      <selection activeCell="N8" sqref="N8"/>
    </sheetView>
  </sheetViews>
  <sheetFormatPr defaultRowHeight="15"/>
  <cols>
    <col min="2" max="14" width="12.7109375" customWidth="1"/>
  </cols>
  <sheetData>
    <row r="1" spans="2:19">
      <c r="E1" t="s">
        <v>306</v>
      </c>
      <c r="H1" t="s">
        <v>305</v>
      </c>
      <c r="L1" t="s">
        <v>304</v>
      </c>
      <c r="M1" t="s">
        <v>303</v>
      </c>
    </row>
    <row r="2" spans="2:19">
      <c r="B2" t="s">
        <v>41</v>
      </c>
      <c r="C2" t="s">
        <v>3</v>
      </c>
      <c r="D2" t="s">
        <v>42</v>
      </c>
      <c r="E2" t="s">
        <v>300</v>
      </c>
      <c r="F2" t="s">
        <v>293</v>
      </c>
      <c r="G2" t="s">
        <v>43</v>
      </c>
      <c r="H2" t="s">
        <v>301</v>
      </c>
      <c r="I2" t="s">
        <v>280</v>
      </c>
      <c r="J2" t="s">
        <v>296</v>
      </c>
      <c r="K2" t="s">
        <v>294</v>
      </c>
      <c r="L2" t="s">
        <v>80</v>
      </c>
      <c r="M2" t="s">
        <v>302</v>
      </c>
      <c r="O2" t="s">
        <v>286</v>
      </c>
      <c r="P2" t="s">
        <v>45</v>
      </c>
      <c r="Q2" t="s">
        <v>295</v>
      </c>
      <c r="R2" t="s">
        <v>297</v>
      </c>
      <c r="S2" t="s">
        <v>298</v>
      </c>
    </row>
    <row r="3" spans="2:19">
      <c r="B3">
        <v>1</v>
      </c>
      <c r="C3" t="s">
        <v>258</v>
      </c>
      <c r="D3">
        <f>'Data Sheet'!B8</f>
        <v>2605.6</v>
      </c>
      <c r="E3">
        <f>'Data Sheet'!B6</f>
        <v>95.919780472827753</v>
      </c>
      <c r="F3">
        <f>'Data Sheet'!B9</f>
        <v>249928.58</v>
      </c>
      <c r="G3">
        <f>SUM('Raw FS'!N7:N9)</f>
        <v>2291</v>
      </c>
      <c r="H3">
        <f>'Data Sheet'!K69</f>
        <v>781.98</v>
      </c>
      <c r="I3">
        <f>G3-H3</f>
        <v>1509.02</v>
      </c>
      <c r="J3">
        <f>F3+I3</f>
        <v>251437.59999999998</v>
      </c>
      <c r="K3">
        <f>HistoricalFS!L6</f>
        <v>33905.620000000003</v>
      </c>
      <c r="L3">
        <f>'Data Sheet'!K34</f>
        <v>6313.9500000000007</v>
      </c>
      <c r="M3">
        <f>'Data Sheet'!K30</f>
        <v>3667.23</v>
      </c>
      <c r="O3">
        <f>F3/M3</f>
        <v>68.151869394611182</v>
      </c>
      <c r="P3" s="15">
        <f>'Beta - Comps'!G4</f>
        <v>9.1666187196358263E-3</v>
      </c>
      <c r="Q3">
        <f>(('Data Sheet'!K34-'Data Sheet'!K26)/'Data Sheet'!K17)*100</f>
        <v>15.595084236772546</v>
      </c>
      <c r="R3">
        <f>J3/L3</f>
        <v>39.822551651501826</v>
      </c>
      <c r="S3">
        <v>38.25</v>
      </c>
    </row>
    <row r="4" spans="2:19">
      <c r="B4">
        <v>2</v>
      </c>
      <c r="C4" t="s">
        <v>259</v>
      </c>
      <c r="D4">
        <v>545.75</v>
      </c>
      <c r="E4">
        <f t="shared" ref="E4:E8" si="0">F4/D4</f>
        <v>116.60027485112231</v>
      </c>
      <c r="F4">
        <v>63634.6</v>
      </c>
      <c r="G4">
        <v>635.13</v>
      </c>
      <c r="H4">
        <f t="shared" ref="H4:H8" si="1">F4+G4-J4</f>
        <v>305.30999999999767</v>
      </c>
      <c r="I4">
        <f t="shared" ref="I4:I8" si="2">G4-H4</f>
        <v>329.82000000000232</v>
      </c>
      <c r="J4">
        <v>63964.42</v>
      </c>
      <c r="K4">
        <v>11880.25</v>
      </c>
      <c r="L4">
        <f t="shared" ref="L4:L8" si="3">J4/R4</f>
        <v>1990.8004979769682</v>
      </c>
      <c r="M4">
        <f t="shared" ref="M4:M8" si="4">F4/O4</f>
        <v>1165.8959325760352</v>
      </c>
      <c r="O4">
        <v>54.58</v>
      </c>
      <c r="P4">
        <v>0.09</v>
      </c>
      <c r="Q4">
        <v>15.43</v>
      </c>
      <c r="R4">
        <v>32.130000000000003</v>
      </c>
      <c r="S4">
        <v>38.25</v>
      </c>
    </row>
    <row r="5" spans="2:19">
      <c r="B5">
        <v>3</v>
      </c>
      <c r="C5" t="s">
        <v>260</v>
      </c>
      <c r="D5">
        <v>216</v>
      </c>
      <c r="E5">
        <f t="shared" si="0"/>
        <v>80.871435185185177</v>
      </c>
      <c r="F5">
        <v>17468.23</v>
      </c>
      <c r="G5">
        <v>302.73</v>
      </c>
      <c r="H5">
        <f t="shared" si="1"/>
        <v>225.77999999999884</v>
      </c>
      <c r="I5">
        <f t="shared" si="2"/>
        <v>76.950000000001182</v>
      </c>
      <c r="J5">
        <v>17545.18</v>
      </c>
      <c r="K5">
        <v>8051.91</v>
      </c>
      <c r="L5">
        <f t="shared" si="3"/>
        <v>1049.3528708133972</v>
      </c>
      <c r="M5">
        <f t="shared" si="4"/>
        <v>579.18534482758616</v>
      </c>
      <c r="O5">
        <v>30.16</v>
      </c>
      <c r="P5">
        <v>0.05</v>
      </c>
      <c r="Q5">
        <v>12.1</v>
      </c>
      <c r="R5">
        <v>16.72</v>
      </c>
      <c r="S5">
        <v>38.25</v>
      </c>
    </row>
    <row r="6" spans="2:19">
      <c r="B6">
        <v>4</v>
      </c>
      <c r="C6" t="s">
        <v>261</v>
      </c>
      <c r="D6">
        <v>3205.35</v>
      </c>
      <c r="E6">
        <f t="shared" si="0"/>
        <v>4.5540331009094173</v>
      </c>
      <c r="F6">
        <v>14597.27</v>
      </c>
      <c r="G6">
        <v>79.099999999999994</v>
      </c>
      <c r="H6">
        <f t="shared" si="1"/>
        <v>323.70000000000073</v>
      </c>
      <c r="I6">
        <f t="shared" si="2"/>
        <v>-244.60000000000073</v>
      </c>
      <c r="J6">
        <v>14352.67</v>
      </c>
      <c r="K6">
        <v>3599.2</v>
      </c>
      <c r="L6">
        <f t="shared" si="3"/>
        <v>521.15722585330434</v>
      </c>
      <c r="M6">
        <f t="shared" si="4"/>
        <v>361.139782285997</v>
      </c>
      <c r="O6">
        <v>40.42</v>
      </c>
      <c r="P6">
        <v>0.03</v>
      </c>
      <c r="Q6">
        <v>14.15</v>
      </c>
      <c r="R6">
        <v>27.54</v>
      </c>
      <c r="S6">
        <v>38.25</v>
      </c>
    </row>
    <row r="7" spans="2:19">
      <c r="B7">
        <v>5</v>
      </c>
      <c r="C7" t="s">
        <v>262</v>
      </c>
      <c r="D7">
        <v>1060.5</v>
      </c>
      <c r="E7">
        <f t="shared" si="0"/>
        <v>4.7675719000471481</v>
      </c>
      <c r="F7">
        <v>5056.01</v>
      </c>
      <c r="G7">
        <v>18.37</v>
      </c>
      <c r="H7">
        <f t="shared" si="1"/>
        <v>28.550000000000182</v>
      </c>
      <c r="I7">
        <f t="shared" si="2"/>
        <v>-10.180000000000181</v>
      </c>
      <c r="J7">
        <v>5045.83</v>
      </c>
      <c r="K7">
        <v>1330.12</v>
      </c>
      <c r="L7">
        <f t="shared" si="3"/>
        <v>258.89327860441256</v>
      </c>
      <c r="M7">
        <f t="shared" si="4"/>
        <v>149.67465956187093</v>
      </c>
      <c r="O7">
        <v>33.78</v>
      </c>
      <c r="P7">
        <v>0.02</v>
      </c>
      <c r="Q7">
        <v>18.55</v>
      </c>
      <c r="R7">
        <v>19.489999999999998</v>
      </c>
      <c r="S7">
        <v>38.25</v>
      </c>
    </row>
    <row r="8" spans="2:19">
      <c r="B8">
        <v>6</v>
      </c>
      <c r="C8" t="s">
        <v>299</v>
      </c>
      <c r="D8">
        <v>419.7</v>
      </c>
      <c r="E8">
        <f t="shared" si="0"/>
        <v>5.6792709077912802</v>
      </c>
      <c r="F8">
        <v>2383.59</v>
      </c>
      <c r="G8">
        <v>32.32</v>
      </c>
      <c r="H8">
        <f t="shared" si="1"/>
        <v>57.980000000000473</v>
      </c>
      <c r="I8">
        <f t="shared" si="2"/>
        <v>-25.660000000000473</v>
      </c>
      <c r="J8">
        <v>2357.9299999999998</v>
      </c>
      <c r="K8">
        <v>492.48</v>
      </c>
      <c r="L8">
        <f t="shared" si="3"/>
        <v>102.74204793028322</v>
      </c>
      <c r="M8">
        <f t="shared" si="4"/>
        <v>65.018821603928004</v>
      </c>
      <c r="O8">
        <v>36.659999999999997</v>
      </c>
      <c r="P8">
        <v>7.0000000000000007E-2</v>
      </c>
      <c r="Q8">
        <v>20.079999999999998</v>
      </c>
      <c r="R8">
        <v>22.95</v>
      </c>
      <c r="S8">
        <v>38.25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4FAD-9014-4CE1-B80B-40822D7266D7}">
  <dimension ref="B2:E5442"/>
  <sheetViews>
    <sheetView topLeftCell="A2" zoomScale="96" workbookViewId="0">
      <selection activeCell="D14" sqref="D14"/>
    </sheetView>
  </sheetViews>
  <sheetFormatPr defaultRowHeight="15"/>
  <cols>
    <col min="2" max="2" width="58.5703125" customWidth="1"/>
    <col min="3" max="3" width="10" bestFit="1" customWidth="1"/>
    <col min="4" max="4" width="15.5703125" bestFit="1" customWidth="1"/>
    <col min="5" max="5" width="69.7109375" bestFit="1" customWidth="1"/>
  </cols>
  <sheetData>
    <row r="2" spans="2:5">
      <c r="B2" t="s">
        <v>334</v>
      </c>
      <c r="C2" t="s">
        <v>335</v>
      </c>
      <c r="D2" t="s">
        <v>336</v>
      </c>
      <c r="E2" t="s">
        <v>337</v>
      </c>
    </row>
    <row r="3" spans="2:5">
      <c r="B3" t="s">
        <v>338</v>
      </c>
      <c r="C3">
        <v>533022</v>
      </c>
      <c r="D3" t="s">
        <v>339</v>
      </c>
      <c r="E3" t="s">
        <v>340</v>
      </c>
    </row>
    <row r="4" spans="2:5">
      <c r="B4" t="s">
        <v>341</v>
      </c>
      <c r="C4">
        <v>526921</v>
      </c>
      <c r="D4" t="s">
        <v>342</v>
      </c>
      <c r="E4" t="s">
        <v>343</v>
      </c>
    </row>
    <row r="5" spans="2:5">
      <c r="B5" t="s">
        <v>344</v>
      </c>
      <c r="C5">
        <v>532628</v>
      </c>
      <c r="D5" t="s">
        <v>345</v>
      </c>
      <c r="E5" t="s">
        <v>346</v>
      </c>
    </row>
    <row r="6" spans="2:5">
      <c r="B6" t="s">
        <v>347</v>
      </c>
      <c r="C6">
        <v>523395</v>
      </c>
      <c r="D6" t="s">
        <v>348</v>
      </c>
      <c r="E6" t="s">
        <v>349</v>
      </c>
    </row>
    <row r="7" spans="2:5">
      <c r="B7" t="s">
        <v>350</v>
      </c>
      <c r="C7">
        <v>523395</v>
      </c>
      <c r="D7" t="s">
        <v>351</v>
      </c>
      <c r="E7" t="s">
        <v>349</v>
      </c>
    </row>
    <row r="8" spans="2:5">
      <c r="B8" t="s">
        <v>352</v>
      </c>
      <c r="C8">
        <v>516092</v>
      </c>
      <c r="D8" t="s">
        <v>353</v>
      </c>
      <c r="E8" t="s">
        <v>354</v>
      </c>
    </row>
    <row r="9" spans="2:5">
      <c r="B9" t="s">
        <v>355</v>
      </c>
      <c r="C9">
        <v>540776</v>
      </c>
      <c r="D9" t="s">
        <v>356</v>
      </c>
      <c r="E9" t="s">
        <v>343</v>
      </c>
    </row>
    <row r="10" spans="2:5">
      <c r="B10" t="s">
        <v>357</v>
      </c>
      <c r="C10">
        <v>526881</v>
      </c>
      <c r="D10" t="s">
        <v>358</v>
      </c>
      <c r="E10" t="s">
        <v>346</v>
      </c>
    </row>
    <row r="11" spans="2:5">
      <c r="B11" t="s">
        <v>359</v>
      </c>
      <c r="C11">
        <v>540615</v>
      </c>
      <c r="D11" t="s">
        <v>360</v>
      </c>
      <c r="E11" t="s">
        <v>361</v>
      </c>
    </row>
    <row r="12" spans="2:5">
      <c r="B12" t="s">
        <v>362</v>
      </c>
      <c r="C12">
        <v>540874</v>
      </c>
      <c r="D12" t="s">
        <v>360</v>
      </c>
      <c r="E12" t="s">
        <v>363</v>
      </c>
    </row>
    <row r="13" spans="2:5">
      <c r="B13" t="s">
        <v>364</v>
      </c>
      <c r="C13">
        <v>512161</v>
      </c>
      <c r="D13" t="s">
        <v>365</v>
      </c>
      <c r="E13" t="s">
        <v>366</v>
      </c>
    </row>
    <row r="14" spans="2:5">
      <c r="B14" t="s">
        <v>367</v>
      </c>
      <c r="C14">
        <v>540697</v>
      </c>
      <c r="D14" t="s">
        <v>360</v>
      </c>
      <c r="E14" t="s">
        <v>368</v>
      </c>
    </row>
    <row r="15" spans="2:5">
      <c r="B15" t="s">
        <v>369</v>
      </c>
      <c r="C15" t="s">
        <v>360</v>
      </c>
      <c r="D15" t="s">
        <v>370</v>
      </c>
      <c r="E15" t="s">
        <v>371</v>
      </c>
    </row>
    <row r="16" spans="2:5">
      <c r="B16" t="s">
        <v>372</v>
      </c>
      <c r="C16">
        <v>539620</v>
      </c>
      <c r="D16" t="s">
        <v>360</v>
      </c>
      <c r="E16" t="s">
        <v>373</v>
      </c>
    </row>
    <row r="17" spans="2:5">
      <c r="B17" t="s">
        <v>374</v>
      </c>
      <c r="C17">
        <v>539300</v>
      </c>
      <c r="D17" t="s">
        <v>360</v>
      </c>
      <c r="E17" t="s">
        <v>375</v>
      </c>
    </row>
    <row r="18" spans="2:5">
      <c r="B18" t="s">
        <v>376</v>
      </c>
      <c r="C18">
        <v>530499</v>
      </c>
      <c r="D18" t="s">
        <v>360</v>
      </c>
      <c r="E18" t="s">
        <v>377</v>
      </c>
    </row>
    <row r="19" spans="2:5">
      <c r="B19" t="s">
        <v>378</v>
      </c>
      <c r="C19">
        <v>538351</v>
      </c>
      <c r="D19" t="s">
        <v>379</v>
      </c>
      <c r="E19" t="s">
        <v>380</v>
      </c>
    </row>
    <row r="20" spans="2:5">
      <c r="B20" t="s">
        <v>381</v>
      </c>
      <c r="C20">
        <v>542012</v>
      </c>
      <c r="D20" t="s">
        <v>360</v>
      </c>
      <c r="E20" t="s">
        <v>382</v>
      </c>
    </row>
    <row r="21" spans="2:5">
      <c r="B21" t="s">
        <v>383</v>
      </c>
      <c r="C21">
        <v>533292</v>
      </c>
      <c r="D21" t="s">
        <v>384</v>
      </c>
      <c r="E21" t="s">
        <v>385</v>
      </c>
    </row>
    <row r="22" spans="2:5">
      <c r="B22" t="s">
        <v>386</v>
      </c>
      <c r="C22">
        <v>531611</v>
      </c>
      <c r="D22" t="s">
        <v>360</v>
      </c>
      <c r="E22" t="s">
        <v>377</v>
      </c>
    </row>
    <row r="23" spans="2:5">
      <c r="B23" t="s">
        <v>387</v>
      </c>
      <c r="C23">
        <v>531611</v>
      </c>
      <c r="D23" t="s">
        <v>360</v>
      </c>
      <c r="E23" t="s">
        <v>377</v>
      </c>
    </row>
    <row r="24" spans="2:5">
      <c r="B24" t="s">
        <v>388</v>
      </c>
      <c r="C24" t="s">
        <v>360</v>
      </c>
      <c r="D24" t="s">
        <v>389</v>
      </c>
      <c r="E24" t="s">
        <v>371</v>
      </c>
    </row>
    <row r="25" spans="2:5">
      <c r="B25" t="s">
        <v>390</v>
      </c>
      <c r="C25">
        <v>539096</v>
      </c>
      <c r="D25" t="s">
        <v>360</v>
      </c>
      <c r="E25" t="s">
        <v>375</v>
      </c>
    </row>
    <row r="26" spans="2:5">
      <c r="B26" t="s">
        <v>391</v>
      </c>
      <c r="C26">
        <v>538812</v>
      </c>
      <c r="D26" t="s">
        <v>360</v>
      </c>
      <c r="E26" t="s">
        <v>392</v>
      </c>
    </row>
    <row r="27" spans="2:5">
      <c r="B27" t="s">
        <v>393</v>
      </c>
      <c r="C27">
        <v>539632</v>
      </c>
      <c r="D27" t="s">
        <v>360</v>
      </c>
      <c r="E27" t="s">
        <v>394</v>
      </c>
    </row>
    <row r="28" spans="2:5">
      <c r="B28" t="s">
        <v>395</v>
      </c>
      <c r="C28">
        <v>542377</v>
      </c>
      <c r="D28" t="s">
        <v>396</v>
      </c>
      <c r="E28" t="s">
        <v>377</v>
      </c>
    </row>
    <row r="29" spans="2:5">
      <c r="B29" t="s">
        <v>397</v>
      </c>
      <c r="C29">
        <v>524412</v>
      </c>
      <c r="D29" t="s">
        <v>360</v>
      </c>
      <c r="E29" t="s">
        <v>398</v>
      </c>
    </row>
    <row r="30" spans="2:5">
      <c r="B30" t="s">
        <v>399</v>
      </c>
      <c r="C30" t="s">
        <v>360</v>
      </c>
      <c r="D30" t="s">
        <v>400</v>
      </c>
      <c r="E30" t="s">
        <v>371</v>
      </c>
    </row>
    <row r="31" spans="2:5">
      <c r="B31" t="s">
        <v>401</v>
      </c>
      <c r="C31">
        <v>542580</v>
      </c>
      <c r="D31" t="s">
        <v>402</v>
      </c>
      <c r="E31" t="s">
        <v>403</v>
      </c>
    </row>
    <row r="32" spans="2:5">
      <c r="B32" t="s">
        <v>404</v>
      </c>
      <c r="C32">
        <v>524348</v>
      </c>
      <c r="D32" t="s">
        <v>405</v>
      </c>
      <c r="E32" t="s">
        <v>398</v>
      </c>
    </row>
    <row r="33" spans="2:5">
      <c r="B33" t="s">
        <v>406</v>
      </c>
      <c r="C33">
        <v>524208</v>
      </c>
      <c r="D33" t="s">
        <v>407</v>
      </c>
      <c r="E33" t="s">
        <v>408</v>
      </c>
    </row>
    <row r="34" spans="2:5">
      <c r="B34" t="s">
        <v>409</v>
      </c>
      <c r="C34">
        <v>526488</v>
      </c>
      <c r="D34" t="s">
        <v>360</v>
      </c>
      <c r="E34" t="s">
        <v>375</v>
      </c>
    </row>
    <row r="35" spans="2:5">
      <c r="B35" t="s">
        <v>410</v>
      </c>
      <c r="C35">
        <v>514274</v>
      </c>
      <c r="D35" t="s">
        <v>411</v>
      </c>
      <c r="E35" t="s">
        <v>375</v>
      </c>
    </row>
    <row r="36" spans="2:5">
      <c r="B36" t="s">
        <v>412</v>
      </c>
      <c r="C36" t="s">
        <v>360</v>
      </c>
      <c r="D36" t="s">
        <v>413</v>
      </c>
      <c r="E36" t="s">
        <v>371</v>
      </c>
    </row>
    <row r="37" spans="2:5">
      <c r="B37" t="s">
        <v>414</v>
      </c>
      <c r="C37">
        <v>519319</v>
      </c>
      <c r="D37" t="s">
        <v>360</v>
      </c>
      <c r="E37" t="s">
        <v>366</v>
      </c>
    </row>
    <row r="38" spans="2:5">
      <c r="B38" t="s">
        <v>415</v>
      </c>
      <c r="C38">
        <v>512038</v>
      </c>
      <c r="D38" t="s">
        <v>360</v>
      </c>
      <c r="E38" t="s">
        <v>382</v>
      </c>
    </row>
    <row r="39" spans="2:5">
      <c r="B39" t="s">
        <v>416</v>
      </c>
      <c r="C39">
        <v>541988</v>
      </c>
      <c r="D39" t="s">
        <v>417</v>
      </c>
      <c r="E39" t="s">
        <v>418</v>
      </c>
    </row>
    <row r="40" spans="2:5">
      <c r="B40" t="s">
        <v>419</v>
      </c>
      <c r="C40">
        <v>539528</v>
      </c>
      <c r="D40" t="s">
        <v>360</v>
      </c>
      <c r="E40" t="s">
        <v>420</v>
      </c>
    </row>
    <row r="41" spans="2:5">
      <c r="B41" t="s">
        <v>421</v>
      </c>
      <c r="C41">
        <v>523204</v>
      </c>
      <c r="D41" t="s">
        <v>422</v>
      </c>
      <c r="E41" t="s">
        <v>423</v>
      </c>
    </row>
    <row r="42" spans="2:5">
      <c r="B42" t="s">
        <v>424</v>
      </c>
      <c r="C42">
        <v>512165</v>
      </c>
      <c r="D42" t="s">
        <v>360</v>
      </c>
      <c r="E42" t="s">
        <v>382</v>
      </c>
    </row>
    <row r="43" spans="2:5">
      <c r="B43" t="s">
        <v>425</v>
      </c>
      <c r="C43">
        <v>500002</v>
      </c>
      <c r="D43" t="s">
        <v>426</v>
      </c>
      <c r="E43" t="s">
        <v>403</v>
      </c>
    </row>
    <row r="44" spans="2:5">
      <c r="B44" t="s">
        <v>427</v>
      </c>
      <c r="C44">
        <v>500488</v>
      </c>
      <c r="D44" t="s">
        <v>428</v>
      </c>
      <c r="E44" t="s">
        <v>398</v>
      </c>
    </row>
    <row r="45" spans="2:5">
      <c r="B45" t="s">
        <v>429</v>
      </c>
      <c r="C45">
        <v>500488</v>
      </c>
      <c r="D45" t="s">
        <v>430</v>
      </c>
      <c r="E45" t="s">
        <v>398</v>
      </c>
    </row>
    <row r="46" spans="2:5">
      <c r="B46" t="s">
        <v>431</v>
      </c>
      <c r="C46">
        <v>520123</v>
      </c>
      <c r="D46" t="s">
        <v>360</v>
      </c>
      <c r="E46" t="s">
        <v>432</v>
      </c>
    </row>
    <row r="47" spans="2:5">
      <c r="B47" t="s">
        <v>433</v>
      </c>
      <c r="C47">
        <v>513119</v>
      </c>
      <c r="D47" t="s">
        <v>360</v>
      </c>
      <c r="E47" t="s">
        <v>434</v>
      </c>
    </row>
    <row r="48" spans="2:5">
      <c r="B48" t="s">
        <v>435</v>
      </c>
      <c r="C48">
        <v>520123</v>
      </c>
      <c r="D48" t="s">
        <v>360</v>
      </c>
      <c r="E48" t="s">
        <v>432</v>
      </c>
    </row>
    <row r="49" spans="2:5">
      <c r="B49" t="s">
        <v>436</v>
      </c>
      <c r="C49">
        <v>532682</v>
      </c>
      <c r="D49" t="s">
        <v>437</v>
      </c>
      <c r="E49" t="s">
        <v>438</v>
      </c>
    </row>
    <row r="50" spans="2:5">
      <c r="B50" t="s">
        <v>439</v>
      </c>
      <c r="C50">
        <v>539560</v>
      </c>
      <c r="D50" t="s">
        <v>360</v>
      </c>
      <c r="E50" t="s">
        <v>440</v>
      </c>
    </row>
    <row r="51" spans="2:5">
      <c r="B51" t="s">
        <v>441</v>
      </c>
      <c r="C51">
        <v>532057</v>
      </c>
      <c r="D51" t="s">
        <v>360</v>
      </c>
      <c r="E51" t="s">
        <v>377</v>
      </c>
    </row>
    <row r="52" spans="2:5">
      <c r="B52" t="s">
        <v>442</v>
      </c>
      <c r="C52">
        <v>538952</v>
      </c>
      <c r="D52" t="s">
        <v>360</v>
      </c>
      <c r="E52" t="s">
        <v>377</v>
      </c>
    </row>
    <row r="53" spans="2:5">
      <c r="B53" t="s">
        <v>443</v>
      </c>
      <c r="C53">
        <v>538935</v>
      </c>
      <c r="D53" t="s">
        <v>360</v>
      </c>
      <c r="E53" t="s">
        <v>444</v>
      </c>
    </row>
    <row r="54" spans="2:5">
      <c r="B54" t="s">
        <v>445</v>
      </c>
      <c r="C54">
        <v>539544</v>
      </c>
      <c r="D54" t="s">
        <v>360</v>
      </c>
      <c r="E54" t="s">
        <v>446</v>
      </c>
    </row>
    <row r="55" spans="2:5">
      <c r="B55" t="s">
        <v>447</v>
      </c>
      <c r="C55">
        <v>511756</v>
      </c>
      <c r="D55" t="s">
        <v>360</v>
      </c>
      <c r="E55" t="s">
        <v>377</v>
      </c>
    </row>
    <row r="56" spans="2:5">
      <c r="B56" t="s">
        <v>448</v>
      </c>
      <c r="C56">
        <v>511756</v>
      </c>
      <c r="D56" t="s">
        <v>360</v>
      </c>
      <c r="E56" t="s">
        <v>377</v>
      </c>
    </row>
    <row r="57" spans="2:5">
      <c r="B57" t="s">
        <v>449</v>
      </c>
      <c r="C57" t="s">
        <v>360</v>
      </c>
      <c r="D57" t="s">
        <v>450</v>
      </c>
      <c r="E57" t="s">
        <v>451</v>
      </c>
    </row>
    <row r="58" spans="2:5">
      <c r="B58" t="s">
        <v>452</v>
      </c>
      <c r="C58">
        <v>531161</v>
      </c>
      <c r="D58" t="s">
        <v>360</v>
      </c>
      <c r="E58" t="s">
        <v>453</v>
      </c>
    </row>
    <row r="59" spans="2:5">
      <c r="B59" t="s">
        <v>454</v>
      </c>
      <c r="C59">
        <v>500410</v>
      </c>
      <c r="D59" t="s">
        <v>455</v>
      </c>
      <c r="E59" t="s">
        <v>373</v>
      </c>
    </row>
    <row r="60" spans="2:5">
      <c r="B60" t="s">
        <v>456</v>
      </c>
      <c r="C60">
        <v>517494</v>
      </c>
      <c r="D60" t="s">
        <v>360</v>
      </c>
      <c r="E60" t="s">
        <v>457</v>
      </c>
    </row>
    <row r="61" spans="2:5">
      <c r="B61" t="s">
        <v>458</v>
      </c>
      <c r="C61">
        <v>532268</v>
      </c>
      <c r="D61" t="s">
        <v>459</v>
      </c>
      <c r="E61" t="s">
        <v>346</v>
      </c>
    </row>
    <row r="62" spans="2:5">
      <c r="B62" t="s">
        <v>460</v>
      </c>
      <c r="C62" t="s">
        <v>360</v>
      </c>
      <c r="D62" t="s">
        <v>461</v>
      </c>
      <c r="E62" t="s">
        <v>371</v>
      </c>
    </row>
    <row r="63" spans="2:5">
      <c r="B63" t="s">
        <v>462</v>
      </c>
      <c r="C63" t="s">
        <v>360</v>
      </c>
      <c r="D63" t="s">
        <v>463</v>
      </c>
      <c r="E63" t="s">
        <v>371</v>
      </c>
    </row>
    <row r="64" spans="2:5">
      <c r="B64" t="s">
        <v>464</v>
      </c>
      <c r="C64">
        <v>530093</v>
      </c>
      <c r="D64" t="s">
        <v>360</v>
      </c>
      <c r="E64" t="s">
        <v>465</v>
      </c>
    </row>
    <row r="65" spans="2:5">
      <c r="B65" t="s">
        <v>466</v>
      </c>
      <c r="C65" t="s">
        <v>360</v>
      </c>
      <c r="D65" t="s">
        <v>467</v>
      </c>
      <c r="E65" t="s">
        <v>371</v>
      </c>
    </row>
    <row r="66" spans="2:5">
      <c r="B66" t="s">
        <v>468</v>
      </c>
      <c r="C66">
        <v>539661</v>
      </c>
      <c r="D66" t="s">
        <v>360</v>
      </c>
      <c r="E66" t="s">
        <v>394</v>
      </c>
    </row>
    <row r="67" spans="2:5">
      <c r="B67" t="s">
        <v>469</v>
      </c>
      <c r="C67">
        <v>531525</v>
      </c>
      <c r="D67" t="s">
        <v>360</v>
      </c>
      <c r="E67" t="s">
        <v>453</v>
      </c>
    </row>
    <row r="68" spans="2:5">
      <c r="B68" t="s">
        <v>470</v>
      </c>
      <c r="C68">
        <v>538570</v>
      </c>
      <c r="D68" t="s">
        <v>471</v>
      </c>
      <c r="E68" t="s">
        <v>343</v>
      </c>
    </row>
    <row r="69" spans="2:5">
      <c r="B69" t="s">
        <v>472</v>
      </c>
      <c r="C69">
        <v>517356</v>
      </c>
      <c r="D69" t="s">
        <v>360</v>
      </c>
      <c r="E69" t="s">
        <v>457</v>
      </c>
    </row>
    <row r="70" spans="2:5">
      <c r="B70" t="s">
        <v>473</v>
      </c>
      <c r="C70">
        <v>530043</v>
      </c>
      <c r="D70" t="s">
        <v>360</v>
      </c>
      <c r="E70" t="s">
        <v>474</v>
      </c>
    </row>
    <row r="71" spans="2:5">
      <c r="B71" t="s">
        <v>475</v>
      </c>
      <c r="C71">
        <v>539391</v>
      </c>
      <c r="D71" t="s">
        <v>360</v>
      </c>
      <c r="E71" t="s">
        <v>377</v>
      </c>
    </row>
    <row r="72" spans="2:5">
      <c r="B72" t="s">
        <v>476</v>
      </c>
      <c r="C72">
        <v>513149</v>
      </c>
      <c r="D72" t="s">
        <v>477</v>
      </c>
      <c r="E72" t="s">
        <v>478</v>
      </c>
    </row>
    <row r="73" spans="2:5">
      <c r="B73" t="s">
        <v>479</v>
      </c>
      <c r="C73">
        <v>524091</v>
      </c>
      <c r="D73" t="s">
        <v>360</v>
      </c>
      <c r="E73" t="s">
        <v>480</v>
      </c>
    </row>
    <row r="74" spans="2:5">
      <c r="B74" t="s">
        <v>481</v>
      </c>
      <c r="C74">
        <v>532762</v>
      </c>
      <c r="D74" t="s">
        <v>482</v>
      </c>
      <c r="E74" t="s">
        <v>483</v>
      </c>
    </row>
    <row r="75" spans="2:5">
      <c r="B75" t="s">
        <v>484</v>
      </c>
      <c r="C75">
        <v>511706</v>
      </c>
      <c r="D75" t="s">
        <v>360</v>
      </c>
      <c r="E75" t="s">
        <v>343</v>
      </c>
    </row>
    <row r="76" spans="2:5">
      <c r="B76" t="s">
        <v>485</v>
      </c>
      <c r="C76">
        <v>511706</v>
      </c>
      <c r="D76" t="s">
        <v>360</v>
      </c>
      <c r="E76" t="s">
        <v>343</v>
      </c>
    </row>
    <row r="77" spans="2:5">
      <c r="B77" t="s">
        <v>486</v>
      </c>
      <c r="C77">
        <v>541144</v>
      </c>
      <c r="D77" t="s">
        <v>360</v>
      </c>
      <c r="E77" t="s">
        <v>474</v>
      </c>
    </row>
    <row r="78" spans="2:5">
      <c r="B78" t="s">
        <v>487</v>
      </c>
      <c r="C78">
        <v>512599</v>
      </c>
      <c r="D78" t="s">
        <v>488</v>
      </c>
      <c r="E78" t="s">
        <v>382</v>
      </c>
    </row>
    <row r="79" spans="2:5">
      <c r="B79" t="s">
        <v>489</v>
      </c>
      <c r="C79">
        <v>542066</v>
      </c>
      <c r="D79" t="s">
        <v>490</v>
      </c>
      <c r="E79" t="s">
        <v>491</v>
      </c>
    </row>
    <row r="80" spans="2:5">
      <c r="B80" t="s">
        <v>492</v>
      </c>
      <c r="C80">
        <v>541450</v>
      </c>
      <c r="D80" t="s">
        <v>493</v>
      </c>
      <c r="E80" t="s">
        <v>403</v>
      </c>
    </row>
    <row r="81" spans="2:5">
      <c r="B81" t="s">
        <v>494</v>
      </c>
      <c r="C81">
        <v>532921</v>
      </c>
      <c r="D81" t="s">
        <v>495</v>
      </c>
      <c r="E81" t="s">
        <v>496</v>
      </c>
    </row>
    <row r="82" spans="2:5">
      <c r="B82" t="s">
        <v>497</v>
      </c>
      <c r="C82">
        <v>533096</v>
      </c>
      <c r="D82" t="s">
        <v>498</v>
      </c>
      <c r="E82" t="s">
        <v>499</v>
      </c>
    </row>
    <row r="83" spans="2:5">
      <c r="B83" t="s">
        <v>500</v>
      </c>
      <c r="C83">
        <v>539254</v>
      </c>
      <c r="D83" t="s">
        <v>501</v>
      </c>
      <c r="E83" t="s">
        <v>499</v>
      </c>
    </row>
    <row r="84" spans="2:5">
      <c r="B84" t="s">
        <v>502</v>
      </c>
      <c r="C84">
        <v>538563</v>
      </c>
      <c r="D84" t="s">
        <v>360</v>
      </c>
      <c r="E84" t="s">
        <v>382</v>
      </c>
    </row>
    <row r="85" spans="2:5">
      <c r="B85" t="s">
        <v>503</v>
      </c>
      <c r="C85">
        <v>526711</v>
      </c>
      <c r="D85" t="s">
        <v>360</v>
      </c>
      <c r="E85" t="s">
        <v>504</v>
      </c>
    </row>
    <row r="86" spans="2:5">
      <c r="B86" t="s">
        <v>505</v>
      </c>
      <c r="C86">
        <v>523411</v>
      </c>
      <c r="D86" t="s">
        <v>360</v>
      </c>
      <c r="E86" t="s">
        <v>506</v>
      </c>
    </row>
    <row r="87" spans="2:5">
      <c r="B87" t="s">
        <v>507</v>
      </c>
      <c r="C87">
        <v>539506</v>
      </c>
      <c r="D87" t="s">
        <v>360</v>
      </c>
      <c r="E87" t="s">
        <v>377</v>
      </c>
    </row>
    <row r="88" spans="2:5">
      <c r="B88" t="s">
        <v>508</v>
      </c>
      <c r="C88">
        <v>507852</v>
      </c>
      <c r="D88" t="s">
        <v>360</v>
      </c>
      <c r="E88" t="s">
        <v>474</v>
      </c>
    </row>
    <row r="89" spans="2:5">
      <c r="B89" t="s">
        <v>509</v>
      </c>
      <c r="C89">
        <v>541865</v>
      </c>
      <c r="D89" t="s">
        <v>360</v>
      </c>
      <c r="E89" t="s">
        <v>394</v>
      </c>
    </row>
    <row r="90" spans="2:5">
      <c r="B90" t="s">
        <v>510</v>
      </c>
      <c r="C90">
        <v>519183</v>
      </c>
      <c r="D90" t="s">
        <v>511</v>
      </c>
      <c r="E90" t="s">
        <v>420</v>
      </c>
    </row>
    <row r="91" spans="2:5">
      <c r="B91" t="s">
        <v>512</v>
      </c>
      <c r="C91">
        <v>539493</v>
      </c>
      <c r="D91" t="s">
        <v>360</v>
      </c>
      <c r="E91" t="s">
        <v>377</v>
      </c>
    </row>
    <row r="92" spans="2:5">
      <c r="B92" t="s">
        <v>513</v>
      </c>
      <c r="C92">
        <v>539189</v>
      </c>
      <c r="D92" t="s">
        <v>360</v>
      </c>
      <c r="E92" t="s">
        <v>446</v>
      </c>
    </row>
    <row r="93" spans="2:5">
      <c r="B93" t="s">
        <v>514</v>
      </c>
      <c r="C93">
        <v>780018</v>
      </c>
      <c r="D93" t="s">
        <v>360</v>
      </c>
      <c r="E93" t="s">
        <v>451</v>
      </c>
    </row>
    <row r="94" spans="2:5">
      <c r="B94" t="s">
        <v>515</v>
      </c>
      <c r="C94">
        <v>538365</v>
      </c>
      <c r="D94" t="s">
        <v>516</v>
      </c>
      <c r="E94" t="s">
        <v>392</v>
      </c>
    </row>
    <row r="95" spans="2:5">
      <c r="B95" t="s">
        <v>517</v>
      </c>
      <c r="C95">
        <v>532727</v>
      </c>
      <c r="D95" t="s">
        <v>518</v>
      </c>
      <c r="E95" t="s">
        <v>392</v>
      </c>
    </row>
    <row r="96" spans="2:5">
      <c r="B96" t="s">
        <v>519</v>
      </c>
      <c r="C96">
        <v>531592</v>
      </c>
      <c r="D96" t="s">
        <v>360</v>
      </c>
      <c r="E96" t="s">
        <v>520</v>
      </c>
    </row>
    <row r="97" spans="2:5">
      <c r="B97" t="s">
        <v>521</v>
      </c>
      <c r="C97">
        <v>532056</v>
      </c>
      <c r="D97" t="s">
        <v>360</v>
      </c>
      <c r="E97" t="s">
        <v>380</v>
      </c>
    </row>
    <row r="98" spans="2:5">
      <c r="B98" t="s">
        <v>522</v>
      </c>
      <c r="C98">
        <v>514113</v>
      </c>
      <c r="D98" t="s">
        <v>360</v>
      </c>
      <c r="E98" t="s">
        <v>375</v>
      </c>
    </row>
    <row r="99" spans="2:5">
      <c r="B99" t="s">
        <v>523</v>
      </c>
      <c r="C99">
        <v>534707</v>
      </c>
      <c r="D99" t="s">
        <v>360</v>
      </c>
      <c r="E99" t="s">
        <v>474</v>
      </c>
    </row>
    <row r="100" spans="2:5">
      <c r="B100" t="s">
        <v>524</v>
      </c>
      <c r="C100">
        <v>540691</v>
      </c>
      <c r="D100" t="s">
        <v>525</v>
      </c>
      <c r="E100" t="s">
        <v>526</v>
      </c>
    </row>
    <row r="101" spans="2:5">
      <c r="B101" t="s">
        <v>527</v>
      </c>
      <c r="C101">
        <v>535755</v>
      </c>
      <c r="D101" t="s">
        <v>528</v>
      </c>
      <c r="E101" t="s">
        <v>529</v>
      </c>
    </row>
    <row r="102" spans="2:5">
      <c r="B102" t="s">
        <v>530</v>
      </c>
      <c r="C102">
        <v>532974</v>
      </c>
      <c r="D102" t="s">
        <v>531</v>
      </c>
      <c r="E102" t="s">
        <v>343</v>
      </c>
    </row>
    <row r="103" spans="2:5">
      <c r="B103" t="s">
        <v>532</v>
      </c>
      <c r="C103">
        <v>540146</v>
      </c>
      <c r="D103" t="s">
        <v>360</v>
      </c>
      <c r="E103" t="s">
        <v>394</v>
      </c>
    </row>
    <row r="104" spans="2:5">
      <c r="B104" t="s">
        <v>533</v>
      </c>
      <c r="C104">
        <v>513513</v>
      </c>
      <c r="D104" t="s">
        <v>360</v>
      </c>
      <c r="E104" t="s">
        <v>392</v>
      </c>
    </row>
    <row r="105" spans="2:5">
      <c r="B105" t="s">
        <v>534</v>
      </c>
      <c r="C105">
        <v>521141</v>
      </c>
      <c r="D105" t="s">
        <v>360</v>
      </c>
      <c r="E105" t="s">
        <v>375</v>
      </c>
    </row>
    <row r="106" spans="2:5">
      <c r="B106" t="s">
        <v>535</v>
      </c>
      <c r="C106">
        <v>540205</v>
      </c>
      <c r="D106" t="s">
        <v>360</v>
      </c>
      <c r="E106" t="s">
        <v>382</v>
      </c>
    </row>
    <row r="107" spans="2:5">
      <c r="B107" t="s">
        <v>536</v>
      </c>
      <c r="C107">
        <v>539056</v>
      </c>
      <c r="D107" t="s">
        <v>537</v>
      </c>
      <c r="E107" t="s">
        <v>538</v>
      </c>
    </row>
    <row r="108" spans="2:5">
      <c r="B108" t="s">
        <v>539</v>
      </c>
      <c r="C108">
        <v>511359</v>
      </c>
      <c r="D108" t="s">
        <v>360</v>
      </c>
      <c r="E108" t="s">
        <v>377</v>
      </c>
    </row>
    <row r="109" spans="2:5">
      <c r="B109" t="s">
        <v>540</v>
      </c>
      <c r="C109">
        <v>530431</v>
      </c>
      <c r="D109" t="s">
        <v>360</v>
      </c>
      <c r="E109" t="s">
        <v>382</v>
      </c>
    </row>
    <row r="110" spans="2:5">
      <c r="B110" t="s">
        <v>541</v>
      </c>
      <c r="C110">
        <v>523120</v>
      </c>
      <c r="D110" t="s">
        <v>360</v>
      </c>
      <c r="E110" t="s">
        <v>542</v>
      </c>
    </row>
    <row r="111" spans="2:5">
      <c r="B111" t="s">
        <v>543</v>
      </c>
      <c r="C111">
        <v>517041</v>
      </c>
      <c r="D111" t="s">
        <v>544</v>
      </c>
      <c r="E111" t="s">
        <v>545</v>
      </c>
    </row>
    <row r="112" spans="2:5">
      <c r="B112" t="s">
        <v>546</v>
      </c>
      <c r="C112">
        <v>532172</v>
      </c>
      <c r="D112" t="s">
        <v>547</v>
      </c>
      <c r="E112" t="s">
        <v>346</v>
      </c>
    </row>
    <row r="113" spans="2:5">
      <c r="B113" t="s">
        <v>548</v>
      </c>
      <c r="C113">
        <v>523031</v>
      </c>
      <c r="D113" t="s">
        <v>360</v>
      </c>
      <c r="E113" t="s">
        <v>549</v>
      </c>
    </row>
    <row r="114" spans="2:5">
      <c r="B114" t="s">
        <v>550</v>
      </c>
      <c r="C114">
        <v>521048</v>
      </c>
      <c r="D114" t="s">
        <v>360</v>
      </c>
      <c r="E114" t="s">
        <v>375</v>
      </c>
    </row>
    <row r="115" spans="2:5">
      <c r="B115" t="s">
        <v>551</v>
      </c>
      <c r="C115">
        <v>534612</v>
      </c>
      <c r="D115" t="s">
        <v>360</v>
      </c>
      <c r="E115" t="s">
        <v>499</v>
      </c>
    </row>
    <row r="116" spans="2:5">
      <c r="B116" t="s">
        <v>552</v>
      </c>
      <c r="C116">
        <v>506947</v>
      </c>
      <c r="D116" t="s">
        <v>360</v>
      </c>
      <c r="E116" t="s">
        <v>408</v>
      </c>
    </row>
    <row r="117" spans="2:5">
      <c r="B117" t="s">
        <v>553</v>
      </c>
      <c r="C117">
        <v>531047</v>
      </c>
      <c r="D117" t="s">
        <v>360</v>
      </c>
      <c r="E117" t="s">
        <v>377</v>
      </c>
    </row>
    <row r="118" spans="2:5">
      <c r="B118" t="s">
        <v>554</v>
      </c>
      <c r="C118">
        <v>539982</v>
      </c>
      <c r="D118" t="s">
        <v>360</v>
      </c>
      <c r="E118" t="s">
        <v>555</v>
      </c>
    </row>
    <row r="119" spans="2:5">
      <c r="B119" t="s">
        <v>556</v>
      </c>
      <c r="C119">
        <v>540025</v>
      </c>
      <c r="D119" t="s">
        <v>557</v>
      </c>
      <c r="E119" t="s">
        <v>558</v>
      </c>
    </row>
    <row r="120" spans="2:5">
      <c r="B120" t="s">
        <v>559</v>
      </c>
      <c r="C120">
        <v>523269</v>
      </c>
      <c r="D120" t="s">
        <v>560</v>
      </c>
      <c r="E120" t="s">
        <v>561</v>
      </c>
    </row>
    <row r="121" spans="2:5">
      <c r="B121" t="s">
        <v>562</v>
      </c>
      <c r="C121">
        <v>523269</v>
      </c>
      <c r="D121" t="s">
        <v>560</v>
      </c>
      <c r="E121" t="s">
        <v>561</v>
      </c>
    </row>
    <row r="122" spans="2:5">
      <c r="B122" t="s">
        <v>563</v>
      </c>
      <c r="C122">
        <v>531429</v>
      </c>
      <c r="D122" t="s">
        <v>360</v>
      </c>
      <c r="E122" t="s">
        <v>453</v>
      </c>
    </row>
    <row r="123" spans="2:5">
      <c r="B123" t="s">
        <v>564</v>
      </c>
      <c r="C123">
        <v>539773</v>
      </c>
      <c r="D123" t="s">
        <v>360</v>
      </c>
      <c r="E123" t="s">
        <v>377</v>
      </c>
    </row>
    <row r="124" spans="2:5">
      <c r="B124" t="s">
        <v>565</v>
      </c>
      <c r="C124">
        <v>531686</v>
      </c>
      <c r="D124" t="s">
        <v>360</v>
      </c>
      <c r="E124" t="s">
        <v>398</v>
      </c>
    </row>
    <row r="125" spans="2:5">
      <c r="B125" t="s">
        <v>566</v>
      </c>
      <c r="C125">
        <v>541152</v>
      </c>
      <c r="D125" t="s">
        <v>360</v>
      </c>
      <c r="E125" t="s">
        <v>382</v>
      </c>
    </row>
    <row r="126" spans="2:5">
      <c r="B126" t="s">
        <v>567</v>
      </c>
      <c r="C126">
        <v>541152</v>
      </c>
      <c r="D126" t="s">
        <v>360</v>
      </c>
      <c r="E126" t="s">
        <v>382</v>
      </c>
    </row>
    <row r="127" spans="2:5">
      <c r="B127" t="s">
        <v>568</v>
      </c>
      <c r="C127">
        <v>500003</v>
      </c>
      <c r="D127" t="s">
        <v>569</v>
      </c>
      <c r="E127" t="s">
        <v>570</v>
      </c>
    </row>
    <row r="128" spans="2:5">
      <c r="B128" t="s">
        <v>571</v>
      </c>
      <c r="C128">
        <v>541402</v>
      </c>
      <c r="D128" t="s">
        <v>360</v>
      </c>
      <c r="E128" t="s">
        <v>368</v>
      </c>
    </row>
    <row r="129" spans="2:5">
      <c r="B129" t="s">
        <v>572</v>
      </c>
      <c r="C129">
        <v>531921</v>
      </c>
      <c r="D129" t="s">
        <v>573</v>
      </c>
      <c r="E129" t="s">
        <v>574</v>
      </c>
    </row>
    <row r="130" spans="2:5">
      <c r="B130" t="s">
        <v>575</v>
      </c>
      <c r="C130">
        <v>500463</v>
      </c>
      <c r="D130" t="s">
        <v>576</v>
      </c>
      <c r="E130" t="s">
        <v>346</v>
      </c>
    </row>
    <row r="131" spans="2:5">
      <c r="B131" t="s">
        <v>577</v>
      </c>
      <c r="C131">
        <v>539042</v>
      </c>
      <c r="D131" t="s">
        <v>360</v>
      </c>
      <c r="E131" t="s">
        <v>446</v>
      </c>
    </row>
    <row r="132" spans="2:5">
      <c r="B132" t="s">
        <v>578</v>
      </c>
      <c r="C132">
        <v>516020</v>
      </c>
      <c r="D132" t="s">
        <v>360</v>
      </c>
      <c r="E132" t="s">
        <v>354</v>
      </c>
    </row>
    <row r="133" spans="2:5">
      <c r="B133" t="s">
        <v>579</v>
      </c>
      <c r="C133">
        <v>537492</v>
      </c>
      <c r="D133" t="s">
        <v>360</v>
      </c>
      <c r="E133" t="s">
        <v>382</v>
      </c>
    </row>
    <row r="134" spans="2:5">
      <c r="B134" t="s">
        <v>580</v>
      </c>
      <c r="C134">
        <v>537292</v>
      </c>
      <c r="D134" t="s">
        <v>581</v>
      </c>
      <c r="E134" t="s">
        <v>558</v>
      </c>
    </row>
    <row r="135" spans="2:5">
      <c r="B135" t="s">
        <v>582</v>
      </c>
      <c r="C135">
        <v>537292</v>
      </c>
      <c r="D135" t="s">
        <v>581</v>
      </c>
      <c r="E135" t="s">
        <v>558</v>
      </c>
    </row>
    <row r="136" spans="2:5">
      <c r="B136" t="s">
        <v>583</v>
      </c>
      <c r="C136" t="s">
        <v>360</v>
      </c>
      <c r="D136" t="s">
        <v>584</v>
      </c>
      <c r="E136" t="s">
        <v>371</v>
      </c>
    </row>
    <row r="137" spans="2:5">
      <c r="B137" t="s">
        <v>585</v>
      </c>
      <c r="C137" t="s">
        <v>360</v>
      </c>
      <c r="D137" t="s">
        <v>584</v>
      </c>
      <c r="E137" t="s">
        <v>371</v>
      </c>
    </row>
    <row r="138" spans="2:5">
      <c r="B138" t="s">
        <v>586</v>
      </c>
      <c r="C138">
        <v>500215</v>
      </c>
      <c r="D138" t="s">
        <v>587</v>
      </c>
      <c r="E138" t="s">
        <v>558</v>
      </c>
    </row>
    <row r="139" spans="2:5">
      <c r="B139" t="s">
        <v>588</v>
      </c>
      <c r="C139" t="s">
        <v>360</v>
      </c>
      <c r="D139" t="s">
        <v>589</v>
      </c>
      <c r="E139" t="s">
        <v>371</v>
      </c>
    </row>
    <row r="140" spans="2:5">
      <c r="B140" t="s">
        <v>590</v>
      </c>
      <c r="C140" t="s">
        <v>360</v>
      </c>
      <c r="D140" t="s">
        <v>591</v>
      </c>
      <c r="E140" t="s">
        <v>371</v>
      </c>
    </row>
    <row r="141" spans="2:5">
      <c r="B141" t="s">
        <v>592</v>
      </c>
      <c r="C141">
        <v>532811</v>
      </c>
      <c r="D141" t="s">
        <v>593</v>
      </c>
      <c r="E141" t="s">
        <v>446</v>
      </c>
    </row>
    <row r="142" spans="2:5">
      <c r="B142" t="s">
        <v>594</v>
      </c>
      <c r="C142">
        <v>532811</v>
      </c>
      <c r="D142" t="s">
        <v>593</v>
      </c>
      <c r="E142" t="s">
        <v>446</v>
      </c>
    </row>
    <row r="143" spans="2:5">
      <c r="B143" t="s">
        <v>595</v>
      </c>
      <c r="C143">
        <v>522273</v>
      </c>
      <c r="D143" t="s">
        <v>360</v>
      </c>
      <c r="E143" t="s">
        <v>392</v>
      </c>
    </row>
    <row r="144" spans="2:5">
      <c r="B144" t="s">
        <v>596</v>
      </c>
      <c r="C144">
        <v>532806</v>
      </c>
      <c r="D144" t="s">
        <v>360</v>
      </c>
      <c r="E144" t="s">
        <v>597</v>
      </c>
    </row>
    <row r="145" spans="2:5">
      <c r="B145" t="s">
        <v>598</v>
      </c>
      <c r="C145">
        <v>532683</v>
      </c>
      <c r="D145" t="s">
        <v>599</v>
      </c>
      <c r="E145" t="s">
        <v>545</v>
      </c>
    </row>
    <row r="146" spans="2:5">
      <c r="B146" t="s">
        <v>600</v>
      </c>
      <c r="C146">
        <v>524288</v>
      </c>
      <c r="D146" t="s">
        <v>360</v>
      </c>
      <c r="E146" t="s">
        <v>504</v>
      </c>
    </row>
    <row r="147" spans="2:5">
      <c r="B147" t="s">
        <v>601</v>
      </c>
      <c r="C147" t="s">
        <v>360</v>
      </c>
      <c r="D147" t="s">
        <v>602</v>
      </c>
      <c r="E147" t="s">
        <v>371</v>
      </c>
    </row>
    <row r="148" spans="2:5">
      <c r="B148" t="s">
        <v>603</v>
      </c>
      <c r="C148" t="s">
        <v>360</v>
      </c>
      <c r="D148" t="s">
        <v>604</v>
      </c>
      <c r="E148" t="s">
        <v>371</v>
      </c>
    </row>
    <row r="149" spans="2:5">
      <c r="B149" t="s">
        <v>605</v>
      </c>
      <c r="C149">
        <v>532975</v>
      </c>
      <c r="D149" t="s">
        <v>360</v>
      </c>
      <c r="E149" t="s">
        <v>506</v>
      </c>
    </row>
    <row r="150" spans="2:5">
      <c r="B150" t="s">
        <v>606</v>
      </c>
      <c r="C150">
        <v>532331</v>
      </c>
      <c r="D150" t="s">
        <v>607</v>
      </c>
      <c r="E150" t="s">
        <v>398</v>
      </c>
    </row>
    <row r="151" spans="2:5">
      <c r="B151" t="s">
        <v>608</v>
      </c>
      <c r="C151">
        <v>519216</v>
      </c>
      <c r="D151" t="s">
        <v>360</v>
      </c>
      <c r="E151" t="s">
        <v>609</v>
      </c>
    </row>
    <row r="152" spans="2:5">
      <c r="B152" t="s">
        <v>610</v>
      </c>
      <c r="C152">
        <v>511692</v>
      </c>
      <c r="D152" t="s">
        <v>360</v>
      </c>
      <c r="E152" t="s">
        <v>343</v>
      </c>
    </row>
    <row r="153" spans="2:5">
      <c r="B153" t="s">
        <v>611</v>
      </c>
      <c r="C153">
        <v>530713</v>
      </c>
      <c r="D153" t="s">
        <v>360</v>
      </c>
      <c r="E153" t="s">
        <v>346</v>
      </c>
    </row>
    <row r="154" spans="2:5">
      <c r="B154" t="s">
        <v>612</v>
      </c>
      <c r="C154">
        <v>513349</v>
      </c>
      <c r="D154" t="s">
        <v>613</v>
      </c>
      <c r="E154" t="s">
        <v>446</v>
      </c>
    </row>
    <row r="155" spans="2:5">
      <c r="B155" t="s">
        <v>614</v>
      </c>
      <c r="C155">
        <v>513349</v>
      </c>
      <c r="D155" t="s">
        <v>613</v>
      </c>
      <c r="E155" t="s">
        <v>446</v>
      </c>
    </row>
    <row r="156" spans="2:5">
      <c r="B156" t="s">
        <v>615</v>
      </c>
      <c r="C156" t="s">
        <v>360</v>
      </c>
      <c r="D156" t="s">
        <v>616</v>
      </c>
      <c r="E156" t="s">
        <v>371</v>
      </c>
    </row>
    <row r="157" spans="2:5">
      <c r="B157" t="s">
        <v>617</v>
      </c>
      <c r="C157">
        <v>526628</v>
      </c>
      <c r="D157" t="s">
        <v>360</v>
      </c>
      <c r="E157" t="s">
        <v>538</v>
      </c>
    </row>
    <row r="158" spans="2:5">
      <c r="B158" t="s">
        <v>618</v>
      </c>
      <c r="C158">
        <v>530621</v>
      </c>
      <c r="D158" t="s">
        <v>360</v>
      </c>
      <c r="E158" t="s">
        <v>368</v>
      </c>
    </row>
    <row r="159" spans="2:5">
      <c r="B159" t="s">
        <v>619</v>
      </c>
      <c r="C159" t="s">
        <v>360</v>
      </c>
      <c r="D159" t="s">
        <v>620</v>
      </c>
      <c r="E159" t="s">
        <v>371</v>
      </c>
    </row>
    <row r="160" spans="2:5">
      <c r="B160" t="s">
        <v>621</v>
      </c>
      <c r="C160">
        <v>538778</v>
      </c>
      <c r="D160" t="s">
        <v>360</v>
      </c>
      <c r="E160" t="s">
        <v>377</v>
      </c>
    </row>
    <row r="161" spans="2:5">
      <c r="B161" t="s">
        <v>622</v>
      </c>
      <c r="C161" t="s">
        <v>360</v>
      </c>
      <c r="D161" t="s">
        <v>623</v>
      </c>
      <c r="E161" t="s">
        <v>371</v>
      </c>
    </row>
    <row r="162" spans="2:5">
      <c r="B162" t="s">
        <v>624</v>
      </c>
      <c r="C162">
        <v>542020</v>
      </c>
      <c r="D162" t="s">
        <v>360</v>
      </c>
      <c r="E162" t="s">
        <v>474</v>
      </c>
    </row>
    <row r="163" spans="2:5">
      <c r="B163" t="s">
        <v>625</v>
      </c>
      <c r="C163">
        <v>542020</v>
      </c>
      <c r="D163" t="s">
        <v>360</v>
      </c>
      <c r="E163" t="s">
        <v>474</v>
      </c>
    </row>
    <row r="164" spans="2:5">
      <c r="B164" t="s">
        <v>626</v>
      </c>
      <c r="C164">
        <v>540718</v>
      </c>
      <c r="D164" t="s">
        <v>360</v>
      </c>
      <c r="E164" t="s">
        <v>375</v>
      </c>
    </row>
    <row r="165" spans="2:5">
      <c r="B165" t="s">
        <v>627</v>
      </c>
      <c r="C165">
        <v>539017</v>
      </c>
      <c r="D165" t="s">
        <v>360</v>
      </c>
      <c r="E165" t="s">
        <v>418</v>
      </c>
    </row>
    <row r="166" spans="2:5">
      <c r="B166" t="s">
        <v>628</v>
      </c>
      <c r="C166">
        <v>532351</v>
      </c>
      <c r="D166" t="s">
        <v>629</v>
      </c>
      <c r="E166" t="s">
        <v>630</v>
      </c>
    </row>
    <row r="167" spans="2:5">
      <c r="B167" t="s">
        <v>631</v>
      </c>
      <c r="C167">
        <v>541303</v>
      </c>
      <c r="D167" t="s">
        <v>360</v>
      </c>
      <c r="E167" t="s">
        <v>375</v>
      </c>
    </row>
    <row r="168" spans="2:5">
      <c r="B168" t="s">
        <v>632</v>
      </c>
      <c r="C168">
        <v>524598</v>
      </c>
      <c r="D168" t="s">
        <v>633</v>
      </c>
      <c r="E168" t="s">
        <v>520</v>
      </c>
    </row>
    <row r="169" spans="2:5">
      <c r="B169" t="s">
        <v>634</v>
      </c>
      <c r="C169">
        <v>524598</v>
      </c>
      <c r="D169" t="s">
        <v>633</v>
      </c>
      <c r="E169" t="s">
        <v>520</v>
      </c>
    </row>
    <row r="170" spans="2:5">
      <c r="B170" t="s">
        <v>635</v>
      </c>
      <c r="C170">
        <v>500710</v>
      </c>
      <c r="D170" t="s">
        <v>636</v>
      </c>
      <c r="E170" t="s">
        <v>637</v>
      </c>
    </row>
    <row r="171" spans="2:5">
      <c r="B171" t="s">
        <v>638</v>
      </c>
      <c r="C171">
        <v>500710</v>
      </c>
      <c r="D171" t="s">
        <v>639</v>
      </c>
      <c r="E171" t="s">
        <v>637</v>
      </c>
    </row>
    <row r="172" spans="2:5">
      <c r="B172" t="s">
        <v>640</v>
      </c>
      <c r="C172">
        <v>535916</v>
      </c>
      <c r="D172" t="s">
        <v>360</v>
      </c>
      <c r="E172" t="s">
        <v>343</v>
      </c>
    </row>
    <row r="173" spans="2:5">
      <c r="B173" t="s">
        <v>641</v>
      </c>
      <c r="C173">
        <v>539115</v>
      </c>
      <c r="D173" t="s">
        <v>360</v>
      </c>
      <c r="E173" t="s">
        <v>363</v>
      </c>
    </row>
    <row r="174" spans="2:5">
      <c r="B174" t="s">
        <v>642</v>
      </c>
      <c r="C174">
        <v>531082</v>
      </c>
      <c r="D174" t="s">
        <v>643</v>
      </c>
      <c r="E174" t="s">
        <v>343</v>
      </c>
    </row>
    <row r="175" spans="2:5">
      <c r="B175" t="s">
        <v>644</v>
      </c>
      <c r="C175">
        <v>524075</v>
      </c>
      <c r="D175" t="s">
        <v>645</v>
      </c>
      <c r="E175" t="s">
        <v>398</v>
      </c>
    </row>
    <row r="176" spans="2:5">
      <c r="B176" t="s">
        <v>646</v>
      </c>
      <c r="C176">
        <v>531409</v>
      </c>
      <c r="D176" t="s">
        <v>360</v>
      </c>
      <c r="E176" t="s">
        <v>408</v>
      </c>
    </row>
    <row r="177" spans="2:5">
      <c r="B177" t="s">
        <v>647</v>
      </c>
      <c r="C177">
        <v>526707</v>
      </c>
      <c r="D177" t="s">
        <v>648</v>
      </c>
      <c r="E177" t="s">
        <v>382</v>
      </c>
    </row>
    <row r="178" spans="2:5">
      <c r="B178" t="s">
        <v>649</v>
      </c>
      <c r="C178">
        <v>532114</v>
      </c>
      <c r="D178" t="s">
        <v>360</v>
      </c>
      <c r="E178" t="s">
        <v>446</v>
      </c>
    </row>
    <row r="179" spans="2:5">
      <c r="B179" t="s">
        <v>650</v>
      </c>
      <c r="C179">
        <v>506235</v>
      </c>
      <c r="D179" t="s">
        <v>651</v>
      </c>
      <c r="E179" t="s">
        <v>398</v>
      </c>
    </row>
    <row r="180" spans="2:5">
      <c r="B180" t="s">
        <v>652</v>
      </c>
      <c r="C180">
        <v>533573</v>
      </c>
      <c r="D180" t="s">
        <v>653</v>
      </c>
      <c r="E180" t="s">
        <v>398</v>
      </c>
    </row>
    <row r="181" spans="2:5">
      <c r="B181" t="s">
        <v>654</v>
      </c>
      <c r="C181">
        <v>511463</v>
      </c>
      <c r="D181" t="s">
        <v>360</v>
      </c>
      <c r="E181" t="s">
        <v>349</v>
      </c>
    </row>
    <row r="182" spans="2:5">
      <c r="B182" t="s">
        <v>655</v>
      </c>
      <c r="C182">
        <v>530973</v>
      </c>
      <c r="D182" t="s">
        <v>360</v>
      </c>
      <c r="E182" t="s">
        <v>480</v>
      </c>
    </row>
    <row r="183" spans="2:5">
      <c r="B183" t="s">
        <v>656</v>
      </c>
      <c r="C183">
        <v>530973</v>
      </c>
      <c r="D183" t="s">
        <v>360</v>
      </c>
      <c r="E183" t="s">
        <v>480</v>
      </c>
    </row>
    <row r="184" spans="2:5">
      <c r="B184" t="s">
        <v>657</v>
      </c>
      <c r="C184">
        <v>517546</v>
      </c>
      <c r="D184" t="s">
        <v>360</v>
      </c>
      <c r="E184" t="s">
        <v>658</v>
      </c>
    </row>
    <row r="185" spans="2:5">
      <c r="B185" t="s">
        <v>659</v>
      </c>
      <c r="C185">
        <v>531156</v>
      </c>
      <c r="D185" t="s">
        <v>360</v>
      </c>
      <c r="E185" t="s">
        <v>377</v>
      </c>
    </row>
    <row r="186" spans="2:5">
      <c r="B186" t="s">
        <v>660</v>
      </c>
      <c r="C186">
        <v>531156</v>
      </c>
      <c r="D186" t="s">
        <v>360</v>
      </c>
      <c r="E186" t="s">
        <v>377</v>
      </c>
    </row>
    <row r="187" spans="2:5">
      <c r="B187" t="s">
        <v>661</v>
      </c>
      <c r="C187">
        <v>505216</v>
      </c>
      <c r="D187" t="s">
        <v>360</v>
      </c>
      <c r="E187" t="s">
        <v>377</v>
      </c>
    </row>
    <row r="188" spans="2:5">
      <c r="B188" t="s">
        <v>662</v>
      </c>
      <c r="C188">
        <v>505216</v>
      </c>
      <c r="D188" t="s">
        <v>360</v>
      </c>
      <c r="E188" t="s">
        <v>377</v>
      </c>
    </row>
    <row r="189" spans="2:5">
      <c r="B189" t="s">
        <v>663</v>
      </c>
      <c r="C189">
        <v>531147</v>
      </c>
      <c r="D189" t="s">
        <v>664</v>
      </c>
      <c r="E189" t="s">
        <v>665</v>
      </c>
    </row>
    <row r="190" spans="2:5">
      <c r="B190" t="s">
        <v>666</v>
      </c>
      <c r="C190">
        <v>530889</v>
      </c>
      <c r="D190" t="s">
        <v>360</v>
      </c>
      <c r="E190" t="s">
        <v>375</v>
      </c>
    </row>
    <row r="191" spans="2:5">
      <c r="B191" t="s">
        <v>667</v>
      </c>
      <c r="C191">
        <v>531581</v>
      </c>
      <c r="D191" t="s">
        <v>360</v>
      </c>
      <c r="E191" t="s">
        <v>474</v>
      </c>
    </row>
    <row r="192" spans="2:5">
      <c r="B192" t="s">
        <v>668</v>
      </c>
      <c r="C192">
        <v>530889</v>
      </c>
      <c r="D192" t="s">
        <v>360</v>
      </c>
      <c r="E192" t="s">
        <v>375</v>
      </c>
    </row>
    <row r="193" spans="2:5">
      <c r="B193" t="s">
        <v>669</v>
      </c>
      <c r="C193">
        <v>532166</v>
      </c>
      <c r="D193" t="s">
        <v>360</v>
      </c>
      <c r="E193" t="s">
        <v>377</v>
      </c>
    </row>
    <row r="194" spans="2:5">
      <c r="B194" t="s">
        <v>670</v>
      </c>
      <c r="C194">
        <v>533029</v>
      </c>
      <c r="D194" t="s">
        <v>671</v>
      </c>
      <c r="E194" t="s">
        <v>520</v>
      </c>
    </row>
    <row r="195" spans="2:5">
      <c r="B195" t="s">
        <v>672</v>
      </c>
      <c r="C195">
        <v>539523</v>
      </c>
      <c r="D195" t="s">
        <v>673</v>
      </c>
      <c r="E195" t="s">
        <v>398</v>
      </c>
    </row>
    <row r="196" spans="2:5">
      <c r="B196" t="s">
        <v>674</v>
      </c>
      <c r="C196">
        <v>506767</v>
      </c>
      <c r="D196" t="s">
        <v>675</v>
      </c>
      <c r="E196" t="s">
        <v>520</v>
      </c>
    </row>
    <row r="197" spans="2:5">
      <c r="B197" t="s">
        <v>676</v>
      </c>
      <c r="C197">
        <v>532480</v>
      </c>
      <c r="D197" t="s">
        <v>677</v>
      </c>
      <c r="E197" t="s">
        <v>678</v>
      </c>
    </row>
    <row r="198" spans="2:5">
      <c r="B198" t="s">
        <v>679</v>
      </c>
      <c r="C198">
        <v>532749</v>
      </c>
      <c r="D198" t="s">
        <v>680</v>
      </c>
      <c r="E198" t="s">
        <v>681</v>
      </c>
    </row>
    <row r="199" spans="2:5">
      <c r="B199" t="s">
        <v>682</v>
      </c>
      <c r="C199">
        <v>534064</v>
      </c>
      <c r="D199" t="s">
        <v>360</v>
      </c>
      <c r="E199" t="s">
        <v>683</v>
      </c>
    </row>
    <row r="200" spans="2:5">
      <c r="B200" t="s">
        <v>684</v>
      </c>
      <c r="C200">
        <v>532919</v>
      </c>
      <c r="D200" t="s">
        <v>360</v>
      </c>
      <c r="E200" t="s">
        <v>685</v>
      </c>
    </row>
    <row r="201" spans="2:5">
      <c r="B201" t="s">
        <v>686</v>
      </c>
      <c r="C201">
        <v>532875</v>
      </c>
      <c r="D201" t="s">
        <v>687</v>
      </c>
      <c r="E201" t="s">
        <v>346</v>
      </c>
    </row>
    <row r="202" spans="2:5">
      <c r="B202" t="s">
        <v>688</v>
      </c>
      <c r="C202">
        <v>532633</v>
      </c>
      <c r="D202" t="s">
        <v>689</v>
      </c>
      <c r="E202" t="s">
        <v>690</v>
      </c>
    </row>
    <row r="203" spans="2:5">
      <c r="B203" t="s">
        <v>691</v>
      </c>
      <c r="C203">
        <v>531400</v>
      </c>
      <c r="D203" t="s">
        <v>692</v>
      </c>
      <c r="E203" t="s">
        <v>343</v>
      </c>
    </row>
    <row r="204" spans="2:5">
      <c r="B204" t="s">
        <v>693</v>
      </c>
      <c r="C204">
        <v>506120</v>
      </c>
      <c r="D204" t="s">
        <v>360</v>
      </c>
      <c r="E204" t="s">
        <v>382</v>
      </c>
    </row>
    <row r="205" spans="2:5">
      <c r="B205" t="s">
        <v>694</v>
      </c>
      <c r="C205">
        <v>521070</v>
      </c>
      <c r="D205" t="s">
        <v>695</v>
      </c>
      <c r="E205" t="s">
        <v>375</v>
      </c>
    </row>
    <row r="206" spans="2:5">
      <c r="B206" t="s">
        <v>696</v>
      </c>
      <c r="C206">
        <v>532878</v>
      </c>
      <c r="D206" t="s">
        <v>697</v>
      </c>
      <c r="E206" t="s">
        <v>698</v>
      </c>
    </row>
    <row r="207" spans="2:5">
      <c r="B207" t="s">
        <v>699</v>
      </c>
      <c r="C207">
        <v>526397</v>
      </c>
      <c r="D207" t="s">
        <v>700</v>
      </c>
      <c r="E207" t="s">
        <v>701</v>
      </c>
    </row>
    <row r="208" spans="2:5">
      <c r="B208" t="s">
        <v>702</v>
      </c>
      <c r="C208">
        <v>526397</v>
      </c>
      <c r="D208" t="s">
        <v>700</v>
      </c>
      <c r="E208" t="s">
        <v>701</v>
      </c>
    </row>
    <row r="209" spans="2:5">
      <c r="B209" t="s">
        <v>703</v>
      </c>
      <c r="C209">
        <v>526519</v>
      </c>
      <c r="D209" t="s">
        <v>360</v>
      </c>
      <c r="E209" t="s">
        <v>446</v>
      </c>
    </row>
    <row r="210" spans="2:5">
      <c r="B210" t="s">
        <v>704</v>
      </c>
      <c r="C210">
        <v>530715</v>
      </c>
      <c r="D210" t="s">
        <v>705</v>
      </c>
      <c r="E210" t="s">
        <v>375</v>
      </c>
    </row>
    <row r="211" spans="2:5">
      <c r="B211" t="s">
        <v>706</v>
      </c>
      <c r="C211">
        <v>538423</v>
      </c>
      <c r="D211" t="s">
        <v>707</v>
      </c>
      <c r="E211" t="s">
        <v>343</v>
      </c>
    </row>
    <row r="212" spans="2:5">
      <c r="B212" t="s">
        <v>708</v>
      </c>
      <c r="C212">
        <v>539277</v>
      </c>
      <c r="D212" t="s">
        <v>360</v>
      </c>
      <c r="E212" t="s">
        <v>394</v>
      </c>
    </row>
    <row r="213" spans="2:5">
      <c r="B213" t="s">
        <v>709</v>
      </c>
      <c r="C213">
        <v>539277</v>
      </c>
      <c r="D213" t="s">
        <v>360</v>
      </c>
      <c r="E213" t="s">
        <v>394</v>
      </c>
    </row>
    <row r="214" spans="2:5">
      <c r="B214" t="s">
        <v>710</v>
      </c>
      <c r="C214">
        <v>524634</v>
      </c>
      <c r="D214" t="s">
        <v>360</v>
      </c>
      <c r="E214" t="s">
        <v>408</v>
      </c>
    </row>
    <row r="215" spans="2:5">
      <c r="B215" t="s">
        <v>711</v>
      </c>
      <c r="C215">
        <v>506597</v>
      </c>
      <c r="D215" t="s">
        <v>360</v>
      </c>
      <c r="E215" t="s">
        <v>520</v>
      </c>
    </row>
    <row r="216" spans="2:5">
      <c r="B216" t="s">
        <v>712</v>
      </c>
      <c r="C216">
        <v>512008</v>
      </c>
      <c r="D216" t="s">
        <v>360</v>
      </c>
      <c r="E216" t="s">
        <v>382</v>
      </c>
    </row>
    <row r="217" spans="2:5">
      <c r="B217" t="s">
        <v>713</v>
      </c>
      <c r="C217">
        <v>500008</v>
      </c>
      <c r="D217" t="s">
        <v>714</v>
      </c>
      <c r="E217" t="s">
        <v>715</v>
      </c>
    </row>
    <row r="218" spans="2:5">
      <c r="B218" t="s">
        <v>716</v>
      </c>
      <c r="C218">
        <v>521097</v>
      </c>
      <c r="D218" t="s">
        <v>360</v>
      </c>
      <c r="E218" t="s">
        <v>375</v>
      </c>
    </row>
    <row r="219" spans="2:5">
      <c r="B219" t="s">
        <v>717</v>
      </c>
      <c r="C219">
        <v>538465</v>
      </c>
      <c r="D219" t="s">
        <v>360</v>
      </c>
      <c r="E219" t="s">
        <v>377</v>
      </c>
    </row>
    <row r="220" spans="2:5">
      <c r="B220" t="s">
        <v>718</v>
      </c>
      <c r="C220">
        <v>531112</v>
      </c>
      <c r="D220" t="s">
        <v>360</v>
      </c>
      <c r="E220" t="s">
        <v>368</v>
      </c>
    </row>
    <row r="221" spans="2:5">
      <c r="B221" t="s">
        <v>719</v>
      </c>
      <c r="C221">
        <v>539196</v>
      </c>
      <c r="D221" t="s">
        <v>360</v>
      </c>
      <c r="E221" t="s">
        <v>658</v>
      </c>
    </row>
    <row r="222" spans="2:5">
      <c r="B222" t="s">
        <v>720</v>
      </c>
      <c r="C222">
        <v>500009</v>
      </c>
      <c r="D222" t="s">
        <v>360</v>
      </c>
      <c r="E222" t="s">
        <v>398</v>
      </c>
    </row>
    <row r="223" spans="2:5">
      <c r="B223" t="s">
        <v>721</v>
      </c>
      <c r="C223" t="s">
        <v>360</v>
      </c>
      <c r="D223" t="s">
        <v>722</v>
      </c>
      <c r="E223" t="s">
        <v>371</v>
      </c>
    </row>
    <row r="224" spans="2:5">
      <c r="B224" t="s">
        <v>723</v>
      </c>
      <c r="C224">
        <v>519471</v>
      </c>
      <c r="D224" t="s">
        <v>360</v>
      </c>
      <c r="E224" t="s">
        <v>609</v>
      </c>
    </row>
    <row r="225" spans="2:5">
      <c r="B225" t="s">
        <v>724</v>
      </c>
      <c r="C225">
        <v>542524</v>
      </c>
      <c r="D225" t="s">
        <v>725</v>
      </c>
      <c r="E225" t="s">
        <v>726</v>
      </c>
    </row>
    <row r="226" spans="2:5">
      <c r="B226" t="s">
        <v>727</v>
      </c>
      <c r="C226">
        <v>540902</v>
      </c>
      <c r="D226" t="s">
        <v>728</v>
      </c>
      <c r="E226" t="s">
        <v>729</v>
      </c>
    </row>
    <row r="227" spans="2:5">
      <c r="B227" t="s">
        <v>730</v>
      </c>
      <c r="C227">
        <v>540902</v>
      </c>
      <c r="D227" t="s">
        <v>728</v>
      </c>
      <c r="E227" t="s">
        <v>729</v>
      </c>
    </row>
    <row r="228" spans="2:5">
      <c r="B228" t="s">
        <v>731</v>
      </c>
      <c r="C228">
        <v>531978</v>
      </c>
      <c r="D228" t="s">
        <v>732</v>
      </c>
      <c r="E228" t="s">
        <v>375</v>
      </c>
    </row>
    <row r="229" spans="2:5">
      <c r="B229" t="s">
        <v>733</v>
      </c>
      <c r="C229">
        <v>539223</v>
      </c>
      <c r="D229" t="s">
        <v>360</v>
      </c>
      <c r="E229" t="s">
        <v>354</v>
      </c>
    </row>
    <row r="230" spans="2:5">
      <c r="B230" t="s">
        <v>734</v>
      </c>
      <c r="C230">
        <v>500425</v>
      </c>
      <c r="D230" t="s">
        <v>735</v>
      </c>
      <c r="E230" t="s">
        <v>373</v>
      </c>
    </row>
    <row r="231" spans="2:5">
      <c r="B231" t="s">
        <v>736</v>
      </c>
      <c r="C231">
        <v>530133</v>
      </c>
      <c r="D231" t="s">
        <v>360</v>
      </c>
      <c r="E231" t="s">
        <v>737</v>
      </c>
    </row>
    <row r="232" spans="2:5">
      <c r="B232" t="s">
        <v>738</v>
      </c>
      <c r="C232">
        <v>530133</v>
      </c>
      <c r="D232" t="s">
        <v>360</v>
      </c>
      <c r="E232" t="s">
        <v>737</v>
      </c>
    </row>
    <row r="233" spans="2:5">
      <c r="B233" t="s">
        <v>739</v>
      </c>
      <c r="C233">
        <v>532828</v>
      </c>
      <c r="D233" t="s">
        <v>740</v>
      </c>
      <c r="E233" t="s">
        <v>545</v>
      </c>
    </row>
    <row r="234" spans="2:5">
      <c r="B234" t="s">
        <v>741</v>
      </c>
      <c r="C234">
        <v>513117</v>
      </c>
      <c r="D234" t="s">
        <v>360</v>
      </c>
      <c r="E234" t="s">
        <v>715</v>
      </c>
    </row>
    <row r="235" spans="2:5">
      <c r="B235" t="s">
        <v>742</v>
      </c>
      <c r="C235">
        <v>541771</v>
      </c>
      <c r="D235" t="s">
        <v>360</v>
      </c>
      <c r="E235" t="s">
        <v>474</v>
      </c>
    </row>
    <row r="236" spans="2:5">
      <c r="B236" t="s">
        <v>743</v>
      </c>
      <c r="C236">
        <v>506248</v>
      </c>
      <c r="D236" t="s">
        <v>360</v>
      </c>
      <c r="E236" t="s">
        <v>408</v>
      </c>
    </row>
    <row r="237" spans="2:5">
      <c r="B237" t="s">
        <v>744</v>
      </c>
      <c r="C237">
        <v>531300</v>
      </c>
      <c r="D237" t="s">
        <v>360</v>
      </c>
      <c r="E237" t="s">
        <v>375</v>
      </c>
    </row>
    <row r="238" spans="2:5">
      <c r="B238" t="s">
        <v>745</v>
      </c>
      <c r="C238">
        <v>531557</v>
      </c>
      <c r="D238" t="s">
        <v>360</v>
      </c>
      <c r="E238" t="s">
        <v>377</v>
      </c>
    </row>
    <row r="239" spans="2:5">
      <c r="B239" t="s">
        <v>746</v>
      </c>
      <c r="C239">
        <v>500343</v>
      </c>
      <c r="D239" t="s">
        <v>747</v>
      </c>
      <c r="E239" t="s">
        <v>446</v>
      </c>
    </row>
    <row r="240" spans="2:5">
      <c r="B240" t="s">
        <v>748</v>
      </c>
      <c r="C240">
        <v>531681</v>
      </c>
      <c r="D240" t="s">
        <v>360</v>
      </c>
      <c r="E240" t="s">
        <v>480</v>
      </c>
    </row>
    <row r="241" spans="2:5">
      <c r="B241" t="s">
        <v>749</v>
      </c>
      <c r="C241">
        <v>536737</v>
      </c>
      <c r="D241" t="s">
        <v>360</v>
      </c>
      <c r="E241" t="s">
        <v>377</v>
      </c>
    </row>
    <row r="242" spans="2:5">
      <c r="B242" t="s">
        <v>750</v>
      </c>
      <c r="C242">
        <v>539265</v>
      </c>
      <c r="D242" t="s">
        <v>360</v>
      </c>
      <c r="E242" t="s">
        <v>377</v>
      </c>
    </row>
    <row r="243" spans="2:5">
      <c r="B243" t="s">
        <v>751</v>
      </c>
      <c r="C243">
        <v>526241</v>
      </c>
      <c r="D243" t="s">
        <v>360</v>
      </c>
      <c r="E243" t="s">
        <v>382</v>
      </c>
    </row>
    <row r="244" spans="2:5">
      <c r="B244" t="s">
        <v>752</v>
      </c>
      <c r="C244">
        <v>531991</v>
      </c>
      <c r="D244" t="s">
        <v>360</v>
      </c>
      <c r="E244" t="s">
        <v>375</v>
      </c>
    </row>
    <row r="245" spans="2:5">
      <c r="B245" t="s">
        <v>753</v>
      </c>
      <c r="C245">
        <v>507525</v>
      </c>
      <c r="D245" t="s">
        <v>360</v>
      </c>
      <c r="E245" t="s">
        <v>420</v>
      </c>
    </row>
    <row r="246" spans="2:5">
      <c r="B246" t="s">
        <v>754</v>
      </c>
      <c r="C246">
        <v>590006</v>
      </c>
      <c r="D246" t="s">
        <v>755</v>
      </c>
      <c r="E246" t="s">
        <v>398</v>
      </c>
    </row>
    <row r="247" spans="2:5">
      <c r="B247" t="s">
        <v>756</v>
      </c>
      <c r="C247">
        <v>538861</v>
      </c>
      <c r="D247" t="s">
        <v>360</v>
      </c>
      <c r="E247" t="s">
        <v>382</v>
      </c>
    </row>
    <row r="248" spans="2:5">
      <c r="B248" t="s">
        <v>757</v>
      </c>
      <c r="C248">
        <v>501630</v>
      </c>
      <c r="D248" t="s">
        <v>360</v>
      </c>
      <c r="E248" t="s">
        <v>758</v>
      </c>
    </row>
    <row r="249" spans="2:5">
      <c r="B249" t="s">
        <v>759</v>
      </c>
      <c r="C249">
        <v>515055</v>
      </c>
      <c r="D249" t="s">
        <v>760</v>
      </c>
      <c r="E249" t="s">
        <v>446</v>
      </c>
    </row>
    <row r="250" spans="2:5">
      <c r="B250" t="s">
        <v>761</v>
      </c>
      <c r="C250">
        <v>532418</v>
      </c>
      <c r="D250" t="s">
        <v>762</v>
      </c>
      <c r="E250" t="s">
        <v>678</v>
      </c>
    </row>
    <row r="251" spans="2:5">
      <c r="B251" t="s">
        <v>763</v>
      </c>
      <c r="C251">
        <v>532141</v>
      </c>
      <c r="D251" t="s">
        <v>764</v>
      </c>
      <c r="E251" t="s">
        <v>373</v>
      </c>
    </row>
    <row r="252" spans="2:5">
      <c r="B252" t="s">
        <v>765</v>
      </c>
      <c r="C252">
        <v>500012</v>
      </c>
      <c r="D252" t="s">
        <v>360</v>
      </c>
      <c r="E252" t="s">
        <v>408</v>
      </c>
    </row>
    <row r="253" spans="2:5">
      <c r="B253" t="s">
        <v>766</v>
      </c>
      <c r="C253">
        <v>526173</v>
      </c>
      <c r="D253" t="s">
        <v>360</v>
      </c>
      <c r="E253" t="s">
        <v>767</v>
      </c>
    </row>
    <row r="254" spans="2:5">
      <c r="B254" t="s">
        <v>768</v>
      </c>
      <c r="C254">
        <v>531252</v>
      </c>
      <c r="D254" t="s">
        <v>360</v>
      </c>
      <c r="E254" t="s">
        <v>377</v>
      </c>
    </row>
    <row r="255" spans="2:5">
      <c r="B255" t="s">
        <v>769</v>
      </c>
      <c r="C255">
        <v>530721</v>
      </c>
      <c r="D255" t="s">
        <v>770</v>
      </c>
      <c r="E255" t="s">
        <v>715</v>
      </c>
    </row>
    <row r="256" spans="2:5">
      <c r="B256" t="s">
        <v>771</v>
      </c>
      <c r="C256">
        <v>540694</v>
      </c>
      <c r="D256" t="s">
        <v>360</v>
      </c>
      <c r="E256" t="s">
        <v>549</v>
      </c>
    </row>
    <row r="257" spans="2:5">
      <c r="B257" t="s">
        <v>772</v>
      </c>
      <c r="C257">
        <v>540694</v>
      </c>
      <c r="D257" t="s">
        <v>360</v>
      </c>
      <c r="E257" t="s">
        <v>549</v>
      </c>
    </row>
    <row r="258" spans="2:5">
      <c r="B258" t="s">
        <v>773</v>
      </c>
      <c r="C258">
        <v>541006</v>
      </c>
      <c r="D258" t="s">
        <v>360</v>
      </c>
      <c r="E258" t="s">
        <v>375</v>
      </c>
    </row>
    <row r="259" spans="2:5">
      <c r="B259" t="s">
        <v>774</v>
      </c>
      <c r="C259" t="s">
        <v>360</v>
      </c>
      <c r="D259" t="s">
        <v>775</v>
      </c>
      <c r="E259" t="s">
        <v>371</v>
      </c>
    </row>
    <row r="260" spans="2:5">
      <c r="B260" t="s">
        <v>776</v>
      </c>
      <c r="C260">
        <v>519383</v>
      </c>
      <c r="D260" t="s">
        <v>777</v>
      </c>
      <c r="E260" t="s">
        <v>558</v>
      </c>
    </row>
    <row r="261" spans="2:5">
      <c r="B261" t="s">
        <v>778</v>
      </c>
      <c r="C261">
        <v>537785</v>
      </c>
      <c r="D261" t="s">
        <v>360</v>
      </c>
      <c r="E261" t="s">
        <v>394</v>
      </c>
    </row>
    <row r="262" spans="2:5">
      <c r="B262" t="s">
        <v>779</v>
      </c>
      <c r="C262">
        <v>531878</v>
      </c>
      <c r="D262" t="s">
        <v>360</v>
      </c>
      <c r="E262" t="s">
        <v>377</v>
      </c>
    </row>
    <row r="263" spans="2:5">
      <c r="B263" t="s">
        <v>780</v>
      </c>
      <c r="C263">
        <v>511153</v>
      </c>
      <c r="D263" t="s">
        <v>360</v>
      </c>
      <c r="E263" t="s">
        <v>781</v>
      </c>
    </row>
    <row r="264" spans="2:5">
      <c r="B264" t="s">
        <v>782</v>
      </c>
      <c r="C264">
        <v>518091</v>
      </c>
      <c r="D264" t="s">
        <v>783</v>
      </c>
      <c r="E264" t="s">
        <v>373</v>
      </c>
    </row>
    <row r="265" spans="2:5">
      <c r="B265" t="s">
        <v>784</v>
      </c>
      <c r="C265">
        <v>531223</v>
      </c>
      <c r="D265" t="s">
        <v>360</v>
      </c>
      <c r="E265" t="s">
        <v>375</v>
      </c>
    </row>
    <row r="266" spans="2:5">
      <c r="B266" t="s">
        <v>785</v>
      </c>
      <c r="C266">
        <v>531673</v>
      </c>
      <c r="D266" t="s">
        <v>360</v>
      </c>
      <c r="E266" t="s">
        <v>786</v>
      </c>
    </row>
    <row r="267" spans="2:5">
      <c r="B267" t="s">
        <v>787</v>
      </c>
      <c r="C267">
        <v>531673</v>
      </c>
      <c r="D267" t="s">
        <v>360</v>
      </c>
      <c r="E267" t="s">
        <v>786</v>
      </c>
    </row>
    <row r="268" spans="2:5">
      <c r="B268" t="s">
        <v>788</v>
      </c>
      <c r="C268">
        <v>532870</v>
      </c>
      <c r="D268" t="s">
        <v>789</v>
      </c>
      <c r="E268" t="s">
        <v>392</v>
      </c>
    </row>
    <row r="269" spans="2:5">
      <c r="B269" t="s">
        <v>790</v>
      </c>
      <c r="C269">
        <v>531519</v>
      </c>
      <c r="D269" t="s">
        <v>360</v>
      </c>
      <c r="E269" t="s">
        <v>343</v>
      </c>
    </row>
    <row r="270" spans="2:5">
      <c r="B270" t="s">
        <v>791</v>
      </c>
      <c r="C270">
        <v>542437</v>
      </c>
      <c r="D270" t="s">
        <v>792</v>
      </c>
      <c r="E270" t="s">
        <v>394</v>
      </c>
    </row>
    <row r="271" spans="2:5">
      <c r="B271" t="s">
        <v>793</v>
      </c>
      <c r="C271">
        <v>530799</v>
      </c>
      <c r="D271" t="s">
        <v>360</v>
      </c>
      <c r="E271" t="s">
        <v>377</v>
      </c>
    </row>
    <row r="272" spans="2:5">
      <c r="B272" t="s">
        <v>794</v>
      </c>
      <c r="C272">
        <v>531406</v>
      </c>
      <c r="D272" t="s">
        <v>360</v>
      </c>
      <c r="E272" t="s">
        <v>795</v>
      </c>
    </row>
    <row r="273" spans="2:5">
      <c r="B273" t="s">
        <v>796</v>
      </c>
      <c r="C273">
        <v>523007</v>
      </c>
      <c r="D273" t="s">
        <v>360</v>
      </c>
      <c r="E273" t="s">
        <v>446</v>
      </c>
    </row>
    <row r="274" spans="2:5">
      <c r="B274" t="s">
        <v>797</v>
      </c>
      <c r="C274">
        <v>507828</v>
      </c>
      <c r="D274" t="s">
        <v>798</v>
      </c>
      <c r="E274" t="s">
        <v>446</v>
      </c>
    </row>
    <row r="275" spans="2:5">
      <c r="B275" t="s">
        <v>799</v>
      </c>
      <c r="C275">
        <v>500013</v>
      </c>
      <c r="D275" t="s">
        <v>800</v>
      </c>
      <c r="E275" t="s">
        <v>446</v>
      </c>
    </row>
    <row r="276" spans="2:5">
      <c r="B276" t="s">
        <v>801</v>
      </c>
      <c r="C276">
        <v>512091</v>
      </c>
      <c r="D276" t="s">
        <v>360</v>
      </c>
      <c r="E276" t="s">
        <v>474</v>
      </c>
    </row>
    <row r="277" spans="2:5">
      <c r="B277" t="s">
        <v>802</v>
      </c>
      <c r="C277" t="s">
        <v>360</v>
      </c>
      <c r="D277" t="s">
        <v>803</v>
      </c>
      <c r="E277" t="s">
        <v>451</v>
      </c>
    </row>
    <row r="278" spans="2:5">
      <c r="B278" t="s">
        <v>804</v>
      </c>
      <c r="C278">
        <v>501270</v>
      </c>
      <c r="D278" t="s">
        <v>360</v>
      </c>
      <c r="E278" t="s">
        <v>446</v>
      </c>
    </row>
    <row r="279" spans="2:5">
      <c r="B279" t="s">
        <v>805</v>
      </c>
      <c r="C279">
        <v>539697</v>
      </c>
      <c r="D279" t="s">
        <v>360</v>
      </c>
      <c r="E279" t="s">
        <v>806</v>
      </c>
    </row>
    <row r="280" spans="2:5">
      <c r="B280" t="s">
        <v>807</v>
      </c>
      <c r="C280">
        <v>538833</v>
      </c>
      <c r="D280" t="s">
        <v>360</v>
      </c>
      <c r="E280" t="s">
        <v>758</v>
      </c>
    </row>
    <row r="281" spans="2:5">
      <c r="B281" t="s">
        <v>808</v>
      </c>
      <c r="C281">
        <v>506260</v>
      </c>
      <c r="D281" t="s">
        <v>360</v>
      </c>
      <c r="E281" t="s">
        <v>398</v>
      </c>
    </row>
    <row r="282" spans="2:5">
      <c r="B282" t="s">
        <v>809</v>
      </c>
      <c r="C282">
        <v>506087</v>
      </c>
      <c r="D282" t="s">
        <v>360</v>
      </c>
      <c r="E282" t="s">
        <v>683</v>
      </c>
    </row>
    <row r="283" spans="2:5">
      <c r="B283" t="s">
        <v>810</v>
      </c>
      <c r="C283">
        <v>530109</v>
      </c>
      <c r="D283" t="s">
        <v>360</v>
      </c>
      <c r="E283" t="s">
        <v>377</v>
      </c>
    </row>
    <row r="284" spans="2:5">
      <c r="B284" t="s">
        <v>811</v>
      </c>
      <c r="C284">
        <v>532259</v>
      </c>
      <c r="D284" t="s">
        <v>812</v>
      </c>
      <c r="E284" t="s">
        <v>658</v>
      </c>
    </row>
    <row r="285" spans="2:5">
      <c r="B285" t="s">
        <v>813</v>
      </c>
      <c r="C285">
        <v>523694</v>
      </c>
      <c r="D285" t="s">
        <v>814</v>
      </c>
      <c r="E285" t="s">
        <v>545</v>
      </c>
    </row>
    <row r="286" spans="2:5">
      <c r="B286" t="s">
        <v>815</v>
      </c>
      <c r="C286">
        <v>540692</v>
      </c>
      <c r="D286" t="s">
        <v>816</v>
      </c>
      <c r="E286" t="s">
        <v>420</v>
      </c>
    </row>
    <row r="287" spans="2:5">
      <c r="B287" t="s">
        <v>817</v>
      </c>
      <c r="C287">
        <v>541133</v>
      </c>
      <c r="D287" t="s">
        <v>360</v>
      </c>
      <c r="E287" t="s">
        <v>377</v>
      </c>
    </row>
    <row r="288" spans="2:5">
      <c r="B288" t="s">
        <v>818</v>
      </c>
      <c r="C288">
        <v>506166</v>
      </c>
      <c r="D288" t="s">
        <v>360</v>
      </c>
      <c r="E288" t="s">
        <v>440</v>
      </c>
    </row>
    <row r="289" spans="2:5">
      <c r="B289" t="s">
        <v>819</v>
      </c>
      <c r="C289">
        <v>506166</v>
      </c>
      <c r="D289" t="s">
        <v>360</v>
      </c>
      <c r="E289" t="s">
        <v>440</v>
      </c>
    </row>
    <row r="290" spans="2:5">
      <c r="B290" t="s">
        <v>820</v>
      </c>
      <c r="C290">
        <v>533758</v>
      </c>
      <c r="D290" t="s">
        <v>821</v>
      </c>
      <c r="E290" t="s">
        <v>683</v>
      </c>
    </row>
    <row r="291" spans="2:5">
      <c r="B291" t="s">
        <v>822</v>
      </c>
      <c r="C291">
        <v>517096</v>
      </c>
      <c r="D291" t="s">
        <v>360</v>
      </c>
      <c r="E291" t="s">
        <v>658</v>
      </c>
    </row>
    <row r="292" spans="2:5">
      <c r="B292" t="s">
        <v>823</v>
      </c>
      <c r="C292">
        <v>511064</v>
      </c>
      <c r="D292" t="s">
        <v>824</v>
      </c>
      <c r="E292" t="s">
        <v>726</v>
      </c>
    </row>
    <row r="293" spans="2:5">
      <c r="B293" t="s">
        <v>825</v>
      </c>
      <c r="C293">
        <v>523537</v>
      </c>
      <c r="D293" t="s">
        <v>360</v>
      </c>
      <c r="E293" t="s">
        <v>375</v>
      </c>
    </row>
    <row r="294" spans="2:5">
      <c r="B294" t="s">
        <v>826</v>
      </c>
      <c r="C294">
        <v>512437</v>
      </c>
      <c r="D294" t="s">
        <v>360</v>
      </c>
      <c r="E294" t="s">
        <v>343</v>
      </c>
    </row>
    <row r="295" spans="2:5">
      <c r="B295" t="s">
        <v>827</v>
      </c>
      <c r="C295">
        <v>512437</v>
      </c>
      <c r="D295" t="s">
        <v>360</v>
      </c>
      <c r="E295" t="s">
        <v>343</v>
      </c>
    </row>
    <row r="296" spans="2:5">
      <c r="B296" t="s">
        <v>828</v>
      </c>
      <c r="C296">
        <v>508869</v>
      </c>
      <c r="D296" t="s">
        <v>829</v>
      </c>
      <c r="E296" t="s">
        <v>830</v>
      </c>
    </row>
    <row r="297" spans="2:5">
      <c r="B297" t="s">
        <v>831</v>
      </c>
      <c r="C297">
        <v>540879</v>
      </c>
      <c r="D297" t="s">
        <v>832</v>
      </c>
      <c r="E297" t="s">
        <v>833</v>
      </c>
    </row>
    <row r="298" spans="2:5">
      <c r="B298" t="s">
        <v>834</v>
      </c>
      <c r="C298">
        <v>531761</v>
      </c>
      <c r="D298" t="s">
        <v>360</v>
      </c>
      <c r="E298" t="s">
        <v>480</v>
      </c>
    </row>
    <row r="299" spans="2:5">
      <c r="B299" t="s">
        <v>835</v>
      </c>
      <c r="C299" t="s">
        <v>360</v>
      </c>
      <c r="D299" t="s">
        <v>836</v>
      </c>
      <c r="E299" t="s">
        <v>451</v>
      </c>
    </row>
    <row r="300" spans="2:5">
      <c r="B300" t="s">
        <v>837</v>
      </c>
      <c r="C300">
        <v>538566</v>
      </c>
      <c r="D300" t="s">
        <v>360</v>
      </c>
      <c r="E300" t="s">
        <v>382</v>
      </c>
    </row>
    <row r="301" spans="2:5">
      <c r="B301" t="s">
        <v>838</v>
      </c>
      <c r="C301">
        <v>500877</v>
      </c>
      <c r="D301" t="s">
        <v>839</v>
      </c>
      <c r="E301" t="s">
        <v>840</v>
      </c>
    </row>
    <row r="302" spans="2:5">
      <c r="B302" t="s">
        <v>841</v>
      </c>
      <c r="C302">
        <v>539545</v>
      </c>
      <c r="D302" t="s">
        <v>360</v>
      </c>
      <c r="E302" t="s">
        <v>380</v>
      </c>
    </row>
    <row r="303" spans="2:5">
      <c r="B303" t="s">
        <v>842</v>
      </c>
      <c r="C303">
        <v>500014</v>
      </c>
      <c r="D303" t="s">
        <v>360</v>
      </c>
      <c r="E303" t="s">
        <v>377</v>
      </c>
    </row>
    <row r="304" spans="2:5">
      <c r="B304" t="s">
        <v>843</v>
      </c>
      <c r="C304">
        <v>532475</v>
      </c>
      <c r="D304" t="s">
        <v>844</v>
      </c>
      <c r="E304" t="s">
        <v>845</v>
      </c>
    </row>
    <row r="305" spans="2:5">
      <c r="B305" t="s">
        <v>846</v>
      </c>
      <c r="C305">
        <v>539469</v>
      </c>
      <c r="D305" t="s">
        <v>360</v>
      </c>
      <c r="E305" t="s">
        <v>382</v>
      </c>
    </row>
    <row r="306" spans="2:5">
      <c r="B306" t="s">
        <v>847</v>
      </c>
      <c r="C306">
        <v>531364</v>
      </c>
      <c r="D306" t="s">
        <v>360</v>
      </c>
      <c r="E306" t="s">
        <v>758</v>
      </c>
    </row>
    <row r="307" spans="2:5">
      <c r="B307" t="s">
        <v>848</v>
      </c>
      <c r="C307">
        <v>539403</v>
      </c>
      <c r="D307" t="s">
        <v>360</v>
      </c>
      <c r="E307" t="s">
        <v>849</v>
      </c>
    </row>
    <row r="308" spans="2:5">
      <c r="B308" t="s">
        <v>850</v>
      </c>
      <c r="C308">
        <v>540135</v>
      </c>
      <c r="D308" t="s">
        <v>360</v>
      </c>
      <c r="E308" t="s">
        <v>343</v>
      </c>
    </row>
    <row r="309" spans="2:5">
      <c r="B309" t="s">
        <v>851</v>
      </c>
      <c r="C309">
        <v>520121</v>
      </c>
      <c r="D309" t="s">
        <v>360</v>
      </c>
      <c r="E309" t="s">
        <v>480</v>
      </c>
    </row>
    <row r="310" spans="2:5">
      <c r="B310" t="s">
        <v>852</v>
      </c>
      <c r="C310">
        <v>530565</v>
      </c>
      <c r="D310" t="s">
        <v>360</v>
      </c>
      <c r="E310" t="s">
        <v>453</v>
      </c>
    </row>
    <row r="311" spans="2:5">
      <c r="B311" t="s">
        <v>853</v>
      </c>
      <c r="C311">
        <v>532994</v>
      </c>
      <c r="D311" t="s">
        <v>854</v>
      </c>
      <c r="E311" t="s">
        <v>855</v>
      </c>
    </row>
    <row r="312" spans="2:5">
      <c r="B312" t="s">
        <v>856</v>
      </c>
      <c r="C312">
        <v>532212</v>
      </c>
      <c r="D312" t="s">
        <v>857</v>
      </c>
      <c r="E312" t="s">
        <v>858</v>
      </c>
    </row>
    <row r="313" spans="2:5">
      <c r="B313" t="s">
        <v>859</v>
      </c>
      <c r="C313">
        <v>524640</v>
      </c>
      <c r="D313" t="s">
        <v>360</v>
      </c>
      <c r="E313" t="s">
        <v>408</v>
      </c>
    </row>
    <row r="314" spans="2:5">
      <c r="B314" t="s">
        <v>860</v>
      </c>
      <c r="C314">
        <v>532914</v>
      </c>
      <c r="D314" t="s">
        <v>861</v>
      </c>
      <c r="E314" t="s">
        <v>434</v>
      </c>
    </row>
    <row r="315" spans="2:5">
      <c r="B315" t="s">
        <v>862</v>
      </c>
      <c r="C315">
        <v>504370</v>
      </c>
      <c r="D315" t="s">
        <v>360</v>
      </c>
      <c r="E315" t="s">
        <v>781</v>
      </c>
    </row>
    <row r="316" spans="2:5">
      <c r="B316" t="s">
        <v>863</v>
      </c>
      <c r="C316">
        <v>526851</v>
      </c>
      <c r="D316" t="s">
        <v>360</v>
      </c>
      <c r="E316" t="s">
        <v>375</v>
      </c>
    </row>
    <row r="317" spans="2:5">
      <c r="B317" t="s">
        <v>864</v>
      </c>
      <c r="C317">
        <v>539151</v>
      </c>
      <c r="D317" t="s">
        <v>360</v>
      </c>
      <c r="E317" t="s">
        <v>665</v>
      </c>
    </row>
    <row r="318" spans="2:5">
      <c r="B318" t="s">
        <v>865</v>
      </c>
      <c r="C318">
        <v>539151</v>
      </c>
      <c r="D318" t="s">
        <v>360</v>
      </c>
      <c r="E318" t="s">
        <v>665</v>
      </c>
    </row>
    <row r="319" spans="2:5">
      <c r="B319" t="s">
        <v>866</v>
      </c>
      <c r="C319">
        <v>532935</v>
      </c>
      <c r="D319" t="s">
        <v>867</v>
      </c>
      <c r="E319" t="s">
        <v>868</v>
      </c>
    </row>
    <row r="320" spans="2:5">
      <c r="B320" t="s">
        <v>869</v>
      </c>
      <c r="C320">
        <v>511605</v>
      </c>
      <c r="D320" t="s">
        <v>360</v>
      </c>
      <c r="E320" t="s">
        <v>343</v>
      </c>
    </row>
    <row r="321" spans="2:5">
      <c r="B321" t="s">
        <v>870</v>
      </c>
      <c r="C321">
        <v>531381</v>
      </c>
      <c r="D321" t="s">
        <v>871</v>
      </c>
      <c r="E321" t="s">
        <v>446</v>
      </c>
    </row>
    <row r="322" spans="2:5">
      <c r="B322" t="s">
        <v>872</v>
      </c>
      <c r="C322">
        <v>541401</v>
      </c>
      <c r="D322" t="s">
        <v>360</v>
      </c>
      <c r="E322" t="s">
        <v>465</v>
      </c>
    </row>
    <row r="323" spans="2:5">
      <c r="B323" t="s">
        <v>873</v>
      </c>
      <c r="C323">
        <v>506194</v>
      </c>
      <c r="D323" t="s">
        <v>874</v>
      </c>
      <c r="E323" t="s">
        <v>446</v>
      </c>
    </row>
    <row r="324" spans="2:5">
      <c r="B324" t="s">
        <v>875</v>
      </c>
      <c r="C324">
        <v>526125</v>
      </c>
      <c r="D324" t="s">
        <v>360</v>
      </c>
      <c r="E324" t="s">
        <v>382</v>
      </c>
    </row>
    <row r="325" spans="2:5">
      <c r="B325" t="s">
        <v>876</v>
      </c>
      <c r="C325">
        <v>531017</v>
      </c>
      <c r="D325" t="s">
        <v>360</v>
      </c>
      <c r="E325" t="s">
        <v>781</v>
      </c>
    </row>
    <row r="326" spans="2:5">
      <c r="B326" t="s">
        <v>877</v>
      </c>
      <c r="C326">
        <v>531677</v>
      </c>
      <c r="D326" t="s">
        <v>360</v>
      </c>
      <c r="E326" t="s">
        <v>346</v>
      </c>
    </row>
    <row r="327" spans="2:5">
      <c r="B327" t="s">
        <v>878</v>
      </c>
      <c r="C327">
        <v>531179</v>
      </c>
      <c r="D327" t="s">
        <v>879</v>
      </c>
      <c r="E327" t="s">
        <v>377</v>
      </c>
    </row>
    <row r="328" spans="2:5">
      <c r="B328" t="s">
        <v>880</v>
      </c>
      <c r="C328">
        <v>538556</v>
      </c>
      <c r="D328" t="s">
        <v>881</v>
      </c>
      <c r="E328" t="s">
        <v>380</v>
      </c>
    </row>
    <row r="329" spans="2:5">
      <c r="B329" t="s">
        <v>882</v>
      </c>
      <c r="C329">
        <v>532397</v>
      </c>
      <c r="D329" t="s">
        <v>360</v>
      </c>
      <c r="E329" t="s">
        <v>354</v>
      </c>
    </row>
    <row r="330" spans="2:5">
      <c r="B330" t="s">
        <v>883</v>
      </c>
      <c r="C330">
        <v>531467</v>
      </c>
      <c r="D330" t="s">
        <v>360</v>
      </c>
      <c r="E330" t="s">
        <v>884</v>
      </c>
    </row>
    <row r="331" spans="2:5">
      <c r="B331" t="s">
        <v>885</v>
      </c>
      <c r="C331">
        <v>537069</v>
      </c>
      <c r="D331" t="s">
        <v>360</v>
      </c>
      <c r="E331" t="s">
        <v>377</v>
      </c>
    </row>
    <row r="332" spans="2:5">
      <c r="B332" t="s">
        <v>886</v>
      </c>
      <c r="C332">
        <v>513729</v>
      </c>
      <c r="D332" t="s">
        <v>887</v>
      </c>
      <c r="E332" t="s">
        <v>888</v>
      </c>
    </row>
    <row r="333" spans="2:5">
      <c r="B333" t="s">
        <v>889</v>
      </c>
      <c r="C333">
        <v>531560</v>
      </c>
      <c r="D333" t="s">
        <v>360</v>
      </c>
      <c r="E333" t="s">
        <v>781</v>
      </c>
    </row>
    <row r="334" spans="2:5">
      <c r="B334" t="s">
        <v>890</v>
      </c>
      <c r="C334">
        <v>531560</v>
      </c>
      <c r="D334" t="s">
        <v>360</v>
      </c>
      <c r="E334" t="s">
        <v>781</v>
      </c>
    </row>
    <row r="335" spans="2:5">
      <c r="B335" t="s">
        <v>891</v>
      </c>
      <c r="C335">
        <v>516064</v>
      </c>
      <c r="D335" t="s">
        <v>892</v>
      </c>
      <c r="E335" t="s">
        <v>480</v>
      </c>
    </row>
    <row r="336" spans="2:5">
      <c r="B336" t="s">
        <v>893</v>
      </c>
      <c r="C336">
        <v>533068</v>
      </c>
      <c r="D336" t="s">
        <v>894</v>
      </c>
      <c r="E336" t="s">
        <v>474</v>
      </c>
    </row>
    <row r="337" spans="2:5">
      <c r="B337" t="s">
        <v>895</v>
      </c>
      <c r="C337">
        <v>506074</v>
      </c>
      <c r="D337" t="s">
        <v>896</v>
      </c>
      <c r="E337" t="s">
        <v>681</v>
      </c>
    </row>
    <row r="338" spans="2:5">
      <c r="B338" t="s">
        <v>897</v>
      </c>
      <c r="C338">
        <v>533163</v>
      </c>
      <c r="D338" t="s">
        <v>898</v>
      </c>
      <c r="E338" t="s">
        <v>758</v>
      </c>
    </row>
    <row r="339" spans="2:5">
      <c r="B339" t="s">
        <v>899</v>
      </c>
      <c r="C339" t="s">
        <v>360</v>
      </c>
      <c r="D339" t="s">
        <v>900</v>
      </c>
      <c r="E339" t="s">
        <v>371</v>
      </c>
    </row>
    <row r="340" spans="2:5">
      <c r="B340" t="s">
        <v>901</v>
      </c>
      <c r="C340">
        <v>517481</v>
      </c>
      <c r="D340" t="s">
        <v>360</v>
      </c>
      <c r="E340" t="s">
        <v>902</v>
      </c>
    </row>
    <row r="341" spans="2:5">
      <c r="B341" t="s">
        <v>903</v>
      </c>
      <c r="C341">
        <v>531297</v>
      </c>
      <c r="D341" t="s">
        <v>360</v>
      </c>
      <c r="E341" t="s">
        <v>444</v>
      </c>
    </row>
    <row r="342" spans="2:5">
      <c r="B342" t="s">
        <v>904</v>
      </c>
      <c r="C342">
        <v>542670</v>
      </c>
      <c r="D342" t="s">
        <v>905</v>
      </c>
      <c r="E342" t="s">
        <v>906</v>
      </c>
    </row>
    <row r="343" spans="2:5">
      <c r="B343" t="s">
        <v>907</v>
      </c>
      <c r="C343">
        <v>540616</v>
      </c>
      <c r="D343" t="s">
        <v>908</v>
      </c>
      <c r="E343" t="s">
        <v>830</v>
      </c>
    </row>
    <row r="344" spans="2:5">
      <c r="B344" t="s">
        <v>909</v>
      </c>
      <c r="C344">
        <v>522134</v>
      </c>
      <c r="D344" t="s">
        <v>360</v>
      </c>
      <c r="E344" t="s">
        <v>368</v>
      </c>
    </row>
    <row r="345" spans="2:5">
      <c r="B345" t="s">
        <v>910</v>
      </c>
      <c r="C345">
        <v>500016</v>
      </c>
      <c r="D345" t="s">
        <v>360</v>
      </c>
      <c r="E345" t="s">
        <v>561</v>
      </c>
    </row>
    <row r="346" spans="2:5">
      <c r="B346" t="s">
        <v>911</v>
      </c>
      <c r="C346" t="s">
        <v>360</v>
      </c>
      <c r="D346" t="s">
        <v>912</v>
      </c>
      <c r="E346" t="s">
        <v>371</v>
      </c>
    </row>
    <row r="347" spans="2:5">
      <c r="B347" t="s">
        <v>913</v>
      </c>
      <c r="C347" t="s">
        <v>360</v>
      </c>
      <c r="D347" t="s">
        <v>912</v>
      </c>
      <c r="E347" t="s">
        <v>371</v>
      </c>
    </row>
    <row r="348" spans="2:5">
      <c r="B348" t="s">
        <v>914</v>
      </c>
      <c r="C348">
        <v>542484</v>
      </c>
      <c r="D348" t="s">
        <v>915</v>
      </c>
      <c r="E348" t="s">
        <v>916</v>
      </c>
    </row>
    <row r="349" spans="2:5">
      <c r="B349" t="s">
        <v>917</v>
      </c>
      <c r="C349">
        <v>500101</v>
      </c>
      <c r="D349" t="s">
        <v>918</v>
      </c>
      <c r="E349" t="s">
        <v>375</v>
      </c>
    </row>
    <row r="350" spans="2:5">
      <c r="B350" t="s">
        <v>919</v>
      </c>
      <c r="C350">
        <v>539301</v>
      </c>
      <c r="D350" t="s">
        <v>920</v>
      </c>
      <c r="E350" t="s">
        <v>446</v>
      </c>
    </row>
    <row r="351" spans="2:5">
      <c r="B351" t="s">
        <v>921</v>
      </c>
      <c r="C351">
        <v>538716</v>
      </c>
      <c r="D351" t="s">
        <v>360</v>
      </c>
      <c r="E351" t="s">
        <v>343</v>
      </c>
    </row>
    <row r="352" spans="2:5">
      <c r="B352" t="s">
        <v>922</v>
      </c>
      <c r="C352">
        <v>530245</v>
      </c>
      <c r="D352" t="s">
        <v>360</v>
      </c>
      <c r="E352" t="s">
        <v>377</v>
      </c>
    </row>
    <row r="353" spans="2:5">
      <c r="B353" t="s">
        <v>923</v>
      </c>
      <c r="C353">
        <v>542176</v>
      </c>
      <c r="D353" t="s">
        <v>924</v>
      </c>
      <c r="E353" t="s">
        <v>343</v>
      </c>
    </row>
    <row r="354" spans="2:5">
      <c r="B354" t="s">
        <v>925</v>
      </c>
      <c r="C354">
        <v>515030</v>
      </c>
      <c r="D354" t="s">
        <v>926</v>
      </c>
      <c r="E354" t="s">
        <v>715</v>
      </c>
    </row>
    <row r="355" spans="2:5">
      <c r="B355" t="s">
        <v>927</v>
      </c>
      <c r="C355">
        <v>514482</v>
      </c>
      <c r="D355" t="s">
        <v>360</v>
      </c>
      <c r="E355" t="s">
        <v>375</v>
      </c>
    </row>
    <row r="356" spans="2:5">
      <c r="B356" t="s">
        <v>928</v>
      </c>
      <c r="C356">
        <v>532853</v>
      </c>
      <c r="D356" t="s">
        <v>929</v>
      </c>
      <c r="E356" t="s">
        <v>520</v>
      </c>
    </row>
    <row r="357" spans="2:5">
      <c r="B357" t="s">
        <v>930</v>
      </c>
      <c r="C357">
        <v>535467</v>
      </c>
      <c r="D357" t="s">
        <v>931</v>
      </c>
      <c r="E357" t="s">
        <v>474</v>
      </c>
    </row>
    <row r="358" spans="2:5">
      <c r="B358" t="s">
        <v>932</v>
      </c>
      <c r="C358">
        <v>527001</v>
      </c>
      <c r="D358" t="s">
        <v>933</v>
      </c>
      <c r="E358" t="s">
        <v>340</v>
      </c>
    </row>
    <row r="359" spans="2:5">
      <c r="B359" t="s">
        <v>934</v>
      </c>
      <c r="C359">
        <v>542579</v>
      </c>
      <c r="D359" t="s">
        <v>935</v>
      </c>
      <c r="E359" t="s">
        <v>916</v>
      </c>
    </row>
    <row r="360" spans="2:5">
      <c r="B360" t="s">
        <v>936</v>
      </c>
      <c r="C360">
        <v>540024</v>
      </c>
      <c r="D360" t="s">
        <v>360</v>
      </c>
      <c r="E360" t="s">
        <v>343</v>
      </c>
    </row>
    <row r="361" spans="2:5">
      <c r="B361" t="s">
        <v>937</v>
      </c>
      <c r="C361">
        <v>519174</v>
      </c>
      <c r="D361" t="s">
        <v>360</v>
      </c>
      <c r="E361" t="s">
        <v>609</v>
      </c>
    </row>
    <row r="362" spans="2:5">
      <c r="B362" t="s">
        <v>938</v>
      </c>
      <c r="C362">
        <v>523716</v>
      </c>
      <c r="D362" t="s">
        <v>939</v>
      </c>
      <c r="E362" t="s">
        <v>446</v>
      </c>
    </row>
    <row r="363" spans="2:5">
      <c r="B363" t="s">
        <v>940</v>
      </c>
      <c r="C363">
        <v>513401</v>
      </c>
      <c r="D363" t="s">
        <v>360</v>
      </c>
      <c r="E363" t="s">
        <v>392</v>
      </c>
    </row>
    <row r="364" spans="2:5">
      <c r="B364" t="s">
        <v>941</v>
      </c>
      <c r="C364">
        <v>590122</v>
      </c>
      <c r="D364" t="s">
        <v>942</v>
      </c>
      <c r="E364" t="s">
        <v>377</v>
      </c>
    </row>
    <row r="365" spans="2:5">
      <c r="B365" t="s">
        <v>943</v>
      </c>
      <c r="C365">
        <v>514286</v>
      </c>
      <c r="D365" t="s">
        <v>944</v>
      </c>
      <c r="E365" t="s">
        <v>375</v>
      </c>
    </row>
    <row r="366" spans="2:5">
      <c r="B366" t="s">
        <v>945</v>
      </c>
      <c r="C366">
        <v>512247</v>
      </c>
      <c r="D366" t="s">
        <v>360</v>
      </c>
      <c r="E366" t="s">
        <v>343</v>
      </c>
    </row>
    <row r="367" spans="2:5">
      <c r="B367" t="s">
        <v>946</v>
      </c>
      <c r="C367">
        <v>526847</v>
      </c>
      <c r="D367" t="s">
        <v>360</v>
      </c>
      <c r="E367" t="s">
        <v>392</v>
      </c>
    </row>
    <row r="368" spans="2:5">
      <c r="B368" t="s">
        <v>947</v>
      </c>
      <c r="C368">
        <v>530429</v>
      </c>
      <c r="D368" t="s">
        <v>360</v>
      </c>
      <c r="E368" t="s">
        <v>480</v>
      </c>
    </row>
    <row r="369" spans="2:5">
      <c r="B369" t="s">
        <v>948</v>
      </c>
      <c r="C369">
        <v>541702</v>
      </c>
      <c r="D369" t="s">
        <v>360</v>
      </c>
      <c r="E369" t="s">
        <v>382</v>
      </c>
    </row>
    <row r="370" spans="2:5">
      <c r="B370" t="s">
        <v>949</v>
      </c>
      <c r="C370">
        <v>507872</v>
      </c>
      <c r="D370" t="s">
        <v>360</v>
      </c>
      <c r="E370" t="s">
        <v>375</v>
      </c>
    </row>
    <row r="371" spans="2:5">
      <c r="B371" t="s">
        <v>950</v>
      </c>
      <c r="C371">
        <v>524594</v>
      </c>
      <c r="D371" t="s">
        <v>360</v>
      </c>
      <c r="E371" t="s">
        <v>408</v>
      </c>
    </row>
    <row r="372" spans="2:5">
      <c r="B372" t="s">
        <v>951</v>
      </c>
      <c r="C372">
        <v>500477</v>
      </c>
      <c r="D372" t="s">
        <v>952</v>
      </c>
      <c r="E372" t="s">
        <v>438</v>
      </c>
    </row>
    <row r="373" spans="2:5">
      <c r="B373" t="s">
        <v>953</v>
      </c>
      <c r="C373">
        <v>533271</v>
      </c>
      <c r="D373" t="s">
        <v>954</v>
      </c>
      <c r="E373" t="s">
        <v>955</v>
      </c>
    </row>
    <row r="374" spans="2:5">
      <c r="B374" t="s">
        <v>956</v>
      </c>
      <c r="C374">
        <v>540923</v>
      </c>
      <c r="D374" t="s">
        <v>360</v>
      </c>
      <c r="E374" t="s">
        <v>758</v>
      </c>
    </row>
    <row r="375" spans="2:5">
      <c r="B375" t="s">
        <v>957</v>
      </c>
      <c r="C375">
        <v>526983</v>
      </c>
      <c r="D375" t="s">
        <v>360</v>
      </c>
      <c r="E375" t="s">
        <v>558</v>
      </c>
    </row>
    <row r="376" spans="2:5">
      <c r="B376" t="s">
        <v>958</v>
      </c>
      <c r="C376">
        <v>526187</v>
      </c>
      <c r="D376" t="s">
        <v>360</v>
      </c>
      <c r="E376" t="s">
        <v>549</v>
      </c>
    </row>
    <row r="377" spans="2:5">
      <c r="B377" t="s">
        <v>959</v>
      </c>
      <c r="C377">
        <v>531568</v>
      </c>
      <c r="D377" t="s">
        <v>360</v>
      </c>
      <c r="E377" t="s">
        <v>354</v>
      </c>
    </row>
    <row r="378" spans="2:5">
      <c r="B378" t="s">
        <v>960</v>
      </c>
      <c r="C378">
        <v>502015</v>
      </c>
      <c r="D378" t="s">
        <v>360</v>
      </c>
      <c r="E378" t="s">
        <v>340</v>
      </c>
    </row>
    <row r="379" spans="2:5">
      <c r="B379" t="s">
        <v>961</v>
      </c>
      <c r="C379">
        <v>538777</v>
      </c>
      <c r="D379" t="s">
        <v>360</v>
      </c>
      <c r="E379" t="s">
        <v>377</v>
      </c>
    </row>
    <row r="380" spans="2:5">
      <c r="B380" t="s">
        <v>962</v>
      </c>
      <c r="C380">
        <v>530899</v>
      </c>
      <c r="D380" t="s">
        <v>360</v>
      </c>
      <c r="E380" t="s">
        <v>375</v>
      </c>
    </row>
    <row r="381" spans="2:5">
      <c r="B381" t="s">
        <v>963</v>
      </c>
      <c r="C381">
        <v>531392</v>
      </c>
      <c r="D381" t="s">
        <v>360</v>
      </c>
      <c r="E381" t="s">
        <v>558</v>
      </c>
    </row>
    <row r="382" spans="2:5">
      <c r="B382" t="s">
        <v>964</v>
      </c>
      <c r="C382">
        <v>532888</v>
      </c>
      <c r="D382" t="s">
        <v>965</v>
      </c>
      <c r="E382" t="s">
        <v>637</v>
      </c>
    </row>
    <row r="383" spans="2:5">
      <c r="B383" t="s">
        <v>966</v>
      </c>
      <c r="C383">
        <v>532888</v>
      </c>
      <c r="D383" t="s">
        <v>965</v>
      </c>
      <c r="E383" t="s">
        <v>637</v>
      </c>
    </row>
    <row r="384" spans="2:5">
      <c r="B384" t="s">
        <v>967</v>
      </c>
      <c r="C384">
        <v>533227</v>
      </c>
      <c r="D384" t="s">
        <v>968</v>
      </c>
      <c r="E384" t="s">
        <v>561</v>
      </c>
    </row>
    <row r="385" spans="2:5">
      <c r="B385" t="s">
        <v>969</v>
      </c>
      <c r="C385">
        <v>500023</v>
      </c>
      <c r="D385" t="s">
        <v>970</v>
      </c>
      <c r="E385" t="s">
        <v>561</v>
      </c>
    </row>
    <row r="386" spans="2:5">
      <c r="B386" t="s">
        <v>971</v>
      </c>
      <c r="C386">
        <v>533221</v>
      </c>
      <c r="D386" t="s">
        <v>972</v>
      </c>
      <c r="E386" t="s">
        <v>561</v>
      </c>
    </row>
    <row r="387" spans="2:5">
      <c r="B387" t="s">
        <v>973</v>
      </c>
      <c r="C387">
        <v>530355</v>
      </c>
      <c r="D387" t="s">
        <v>360</v>
      </c>
      <c r="E387" t="s">
        <v>701</v>
      </c>
    </row>
    <row r="388" spans="2:5">
      <c r="B388" t="s">
        <v>121</v>
      </c>
      <c r="C388">
        <v>500820</v>
      </c>
      <c r="D388" t="s">
        <v>974</v>
      </c>
      <c r="E388" t="s">
        <v>637</v>
      </c>
    </row>
    <row r="389" spans="2:5">
      <c r="B389" t="s">
        <v>975</v>
      </c>
      <c r="C389">
        <v>524434</v>
      </c>
      <c r="D389" t="s">
        <v>360</v>
      </c>
      <c r="E389" t="s">
        <v>408</v>
      </c>
    </row>
    <row r="390" spans="2:5">
      <c r="B390" t="s">
        <v>976</v>
      </c>
      <c r="C390">
        <v>531847</v>
      </c>
      <c r="D390" t="s">
        <v>360</v>
      </c>
      <c r="E390" t="s">
        <v>474</v>
      </c>
    </row>
    <row r="391" spans="2:5">
      <c r="B391" t="s">
        <v>977</v>
      </c>
      <c r="C391">
        <v>519532</v>
      </c>
      <c r="D391" t="s">
        <v>360</v>
      </c>
      <c r="E391" t="s">
        <v>382</v>
      </c>
    </row>
    <row r="392" spans="2:5">
      <c r="B392" t="s">
        <v>978</v>
      </c>
      <c r="C392">
        <v>506159</v>
      </c>
      <c r="D392" t="s">
        <v>979</v>
      </c>
      <c r="E392" t="s">
        <v>681</v>
      </c>
    </row>
    <row r="393" spans="2:5">
      <c r="B393" t="s">
        <v>980</v>
      </c>
      <c r="C393">
        <v>530723</v>
      </c>
      <c r="D393" t="s">
        <v>360</v>
      </c>
      <c r="E393" t="s">
        <v>343</v>
      </c>
    </row>
    <row r="394" spans="2:5">
      <c r="B394" t="s">
        <v>981</v>
      </c>
      <c r="C394" t="s">
        <v>360</v>
      </c>
      <c r="D394" t="s">
        <v>982</v>
      </c>
      <c r="E394" t="s">
        <v>371</v>
      </c>
    </row>
    <row r="395" spans="2:5">
      <c r="B395" t="s">
        <v>983</v>
      </c>
      <c r="C395">
        <v>526433</v>
      </c>
      <c r="D395" t="s">
        <v>360</v>
      </c>
      <c r="E395" t="s">
        <v>346</v>
      </c>
    </row>
    <row r="396" spans="2:5">
      <c r="B396" t="s">
        <v>984</v>
      </c>
      <c r="C396" t="s">
        <v>360</v>
      </c>
      <c r="D396" t="s">
        <v>985</v>
      </c>
      <c r="E396" t="s">
        <v>451</v>
      </c>
    </row>
    <row r="397" spans="2:5">
      <c r="B397" t="s">
        <v>986</v>
      </c>
      <c r="C397">
        <v>540788</v>
      </c>
      <c r="D397" t="s">
        <v>360</v>
      </c>
      <c r="E397" t="s">
        <v>549</v>
      </c>
    </row>
    <row r="398" spans="2:5">
      <c r="B398" t="s">
        <v>987</v>
      </c>
      <c r="C398">
        <v>500024</v>
      </c>
      <c r="D398" t="s">
        <v>988</v>
      </c>
      <c r="E398" t="s">
        <v>767</v>
      </c>
    </row>
    <row r="399" spans="2:5">
      <c r="B399" t="s">
        <v>989</v>
      </c>
      <c r="C399">
        <v>500024</v>
      </c>
      <c r="D399" t="s">
        <v>988</v>
      </c>
      <c r="E399" t="s">
        <v>767</v>
      </c>
    </row>
    <row r="400" spans="2:5">
      <c r="B400" t="s">
        <v>990</v>
      </c>
      <c r="C400">
        <v>507526</v>
      </c>
      <c r="D400" t="s">
        <v>360</v>
      </c>
      <c r="E400" t="s">
        <v>991</v>
      </c>
    </row>
    <row r="401" spans="2:5">
      <c r="B401" t="s">
        <v>992</v>
      </c>
      <c r="C401">
        <v>533138</v>
      </c>
      <c r="D401" t="s">
        <v>993</v>
      </c>
      <c r="E401" t="s">
        <v>504</v>
      </c>
    </row>
    <row r="402" spans="2:5">
      <c r="B402" t="s">
        <v>994</v>
      </c>
      <c r="C402">
        <v>540975</v>
      </c>
      <c r="D402" t="s">
        <v>995</v>
      </c>
      <c r="E402" t="s">
        <v>549</v>
      </c>
    </row>
    <row r="403" spans="2:5">
      <c r="B403" t="s">
        <v>996</v>
      </c>
      <c r="C403">
        <v>532493</v>
      </c>
      <c r="D403" t="s">
        <v>997</v>
      </c>
      <c r="E403" t="s">
        <v>833</v>
      </c>
    </row>
    <row r="404" spans="2:5">
      <c r="B404" t="s">
        <v>998</v>
      </c>
      <c r="C404">
        <v>532830</v>
      </c>
      <c r="D404" t="s">
        <v>999</v>
      </c>
      <c r="E404" t="s">
        <v>480</v>
      </c>
    </row>
    <row r="405" spans="2:5">
      <c r="B405" t="s">
        <v>1000</v>
      </c>
      <c r="C405">
        <v>506820</v>
      </c>
      <c r="D405" t="s">
        <v>1001</v>
      </c>
      <c r="E405" t="s">
        <v>398</v>
      </c>
    </row>
    <row r="406" spans="2:5">
      <c r="B406" t="s">
        <v>1002</v>
      </c>
      <c r="C406">
        <v>506820</v>
      </c>
      <c r="D406" t="s">
        <v>1001</v>
      </c>
      <c r="E406" t="s">
        <v>398</v>
      </c>
    </row>
    <row r="407" spans="2:5">
      <c r="B407" t="s">
        <v>1003</v>
      </c>
      <c r="C407">
        <v>540824</v>
      </c>
      <c r="D407" t="s">
        <v>1004</v>
      </c>
      <c r="E407" t="s">
        <v>354</v>
      </c>
    </row>
    <row r="408" spans="2:5">
      <c r="B408" t="s">
        <v>1005</v>
      </c>
      <c r="C408">
        <v>512433</v>
      </c>
      <c r="D408" t="s">
        <v>360</v>
      </c>
      <c r="E408" t="s">
        <v>382</v>
      </c>
    </row>
    <row r="409" spans="2:5">
      <c r="B409" t="s">
        <v>1006</v>
      </c>
      <c r="C409">
        <v>511144</v>
      </c>
      <c r="D409" t="s">
        <v>360</v>
      </c>
      <c r="E409" t="s">
        <v>346</v>
      </c>
    </row>
    <row r="410" spans="2:5">
      <c r="B410" t="s">
        <v>1007</v>
      </c>
      <c r="C410">
        <v>530187</v>
      </c>
      <c r="D410" t="s">
        <v>360</v>
      </c>
      <c r="E410" t="s">
        <v>377</v>
      </c>
    </row>
    <row r="411" spans="2:5">
      <c r="B411" t="s">
        <v>1008</v>
      </c>
      <c r="C411">
        <v>539099</v>
      </c>
      <c r="D411" t="s">
        <v>360</v>
      </c>
      <c r="E411" t="s">
        <v>446</v>
      </c>
    </row>
    <row r="412" spans="2:5">
      <c r="B412" t="s">
        <v>1009</v>
      </c>
      <c r="C412">
        <v>517429</v>
      </c>
      <c r="D412" t="s">
        <v>1010</v>
      </c>
      <c r="E412" t="s">
        <v>453</v>
      </c>
    </row>
    <row r="413" spans="2:5">
      <c r="B413" t="s">
        <v>1011</v>
      </c>
      <c r="C413">
        <v>538713</v>
      </c>
      <c r="D413" t="s">
        <v>360</v>
      </c>
      <c r="E413" t="s">
        <v>453</v>
      </c>
    </row>
    <row r="414" spans="2:5">
      <c r="B414" t="s">
        <v>1012</v>
      </c>
      <c r="C414">
        <v>526843</v>
      </c>
      <c r="D414" t="s">
        <v>360</v>
      </c>
      <c r="E414" t="s">
        <v>382</v>
      </c>
    </row>
    <row r="415" spans="2:5">
      <c r="B415" t="s">
        <v>1013</v>
      </c>
      <c r="C415">
        <v>532759</v>
      </c>
      <c r="D415" t="s">
        <v>1014</v>
      </c>
      <c r="E415" t="s">
        <v>758</v>
      </c>
    </row>
    <row r="416" spans="2:5">
      <c r="B416" t="s">
        <v>1015</v>
      </c>
      <c r="C416">
        <v>505029</v>
      </c>
      <c r="D416" t="s">
        <v>1016</v>
      </c>
      <c r="E416" t="s">
        <v>1017</v>
      </c>
    </row>
    <row r="417" spans="2:5">
      <c r="B417" t="s">
        <v>1018</v>
      </c>
      <c r="C417">
        <v>514394</v>
      </c>
      <c r="D417" t="s">
        <v>360</v>
      </c>
      <c r="E417" t="s">
        <v>474</v>
      </c>
    </row>
    <row r="418" spans="2:5">
      <c r="B418" t="s">
        <v>1019</v>
      </c>
      <c r="C418">
        <v>514394</v>
      </c>
      <c r="D418" t="s">
        <v>360</v>
      </c>
      <c r="E418" t="s">
        <v>474</v>
      </c>
    </row>
    <row r="419" spans="2:5">
      <c r="B419" t="s">
        <v>1020</v>
      </c>
      <c r="C419">
        <v>531795</v>
      </c>
      <c r="D419" t="s">
        <v>1021</v>
      </c>
      <c r="E419" t="s">
        <v>1017</v>
      </c>
    </row>
    <row r="420" spans="2:5">
      <c r="B420" t="s">
        <v>1022</v>
      </c>
      <c r="C420">
        <v>500027</v>
      </c>
      <c r="D420" t="s">
        <v>1023</v>
      </c>
      <c r="E420" t="s">
        <v>504</v>
      </c>
    </row>
    <row r="421" spans="2:5">
      <c r="B421" t="s">
        <v>1024</v>
      </c>
      <c r="C421">
        <v>500028</v>
      </c>
      <c r="D421" t="s">
        <v>360</v>
      </c>
      <c r="E421" t="s">
        <v>758</v>
      </c>
    </row>
    <row r="422" spans="2:5">
      <c r="B422" t="s">
        <v>1025</v>
      </c>
      <c r="C422">
        <v>500028</v>
      </c>
      <c r="D422" t="s">
        <v>360</v>
      </c>
      <c r="E422" t="s">
        <v>758</v>
      </c>
    </row>
    <row r="423" spans="2:5">
      <c r="B423" t="s">
        <v>1026</v>
      </c>
      <c r="C423">
        <v>540611</v>
      </c>
      <c r="D423" t="s">
        <v>1027</v>
      </c>
      <c r="E423" t="s">
        <v>678</v>
      </c>
    </row>
    <row r="424" spans="2:5">
      <c r="B424" t="s">
        <v>1028</v>
      </c>
      <c r="C424">
        <v>532459</v>
      </c>
      <c r="D424" t="s">
        <v>360</v>
      </c>
      <c r="E424" t="s">
        <v>375</v>
      </c>
    </row>
    <row r="425" spans="2:5">
      <c r="B425" t="s">
        <v>1029</v>
      </c>
      <c r="C425" t="s">
        <v>360</v>
      </c>
      <c r="D425" t="s">
        <v>1030</v>
      </c>
      <c r="E425" t="s">
        <v>371</v>
      </c>
    </row>
    <row r="426" spans="2:5">
      <c r="B426" t="s">
        <v>1031</v>
      </c>
      <c r="C426">
        <v>532668</v>
      </c>
      <c r="D426" t="s">
        <v>1032</v>
      </c>
      <c r="E426" t="s">
        <v>453</v>
      </c>
    </row>
    <row r="427" spans="2:5">
      <c r="B427" t="s">
        <v>1033</v>
      </c>
      <c r="C427">
        <v>530233</v>
      </c>
      <c r="D427" t="s">
        <v>360</v>
      </c>
      <c r="E427" t="s">
        <v>398</v>
      </c>
    </row>
    <row r="428" spans="2:5">
      <c r="B428" t="s">
        <v>1034</v>
      </c>
      <c r="C428">
        <v>524804</v>
      </c>
      <c r="D428" t="s">
        <v>1035</v>
      </c>
      <c r="E428" t="s">
        <v>398</v>
      </c>
    </row>
    <row r="429" spans="2:5">
      <c r="B429" t="s">
        <v>1036</v>
      </c>
      <c r="C429">
        <v>531336</v>
      </c>
      <c r="D429" t="s">
        <v>360</v>
      </c>
      <c r="E429" t="s">
        <v>1037</v>
      </c>
    </row>
    <row r="430" spans="2:5">
      <c r="B430" t="s">
        <v>1038</v>
      </c>
      <c r="C430">
        <v>509009</v>
      </c>
      <c r="D430" t="s">
        <v>1039</v>
      </c>
      <c r="E430" t="s">
        <v>382</v>
      </c>
    </row>
    <row r="431" spans="2:5">
      <c r="B431" t="s">
        <v>1040</v>
      </c>
      <c r="C431">
        <v>522005</v>
      </c>
      <c r="D431" t="s">
        <v>360</v>
      </c>
      <c r="E431" t="s">
        <v>368</v>
      </c>
    </row>
    <row r="432" spans="2:5">
      <c r="B432" t="s">
        <v>1041</v>
      </c>
      <c r="C432">
        <v>539177</v>
      </c>
      <c r="D432" t="s">
        <v>360</v>
      </c>
      <c r="E432" t="s">
        <v>377</v>
      </c>
    </row>
    <row r="433" spans="2:5">
      <c r="B433" t="s">
        <v>1042</v>
      </c>
      <c r="C433">
        <v>531994</v>
      </c>
      <c r="D433" t="s">
        <v>360</v>
      </c>
      <c r="E433" t="s">
        <v>715</v>
      </c>
    </row>
    <row r="434" spans="2:5">
      <c r="B434" t="s">
        <v>1043</v>
      </c>
      <c r="C434">
        <v>531994</v>
      </c>
      <c r="D434" t="s">
        <v>360</v>
      </c>
      <c r="E434" t="s">
        <v>715</v>
      </c>
    </row>
    <row r="435" spans="2:5">
      <c r="B435" t="s">
        <v>1044</v>
      </c>
      <c r="C435">
        <v>532797</v>
      </c>
      <c r="D435" t="s">
        <v>1045</v>
      </c>
      <c r="E435" t="s">
        <v>715</v>
      </c>
    </row>
    <row r="436" spans="2:5">
      <c r="B436" t="s">
        <v>1046</v>
      </c>
      <c r="C436">
        <v>500029</v>
      </c>
      <c r="D436" t="s">
        <v>1047</v>
      </c>
      <c r="E436" t="s">
        <v>715</v>
      </c>
    </row>
    <row r="437" spans="2:5">
      <c r="B437" t="s">
        <v>1048</v>
      </c>
      <c r="C437">
        <v>500029</v>
      </c>
      <c r="D437" t="s">
        <v>1047</v>
      </c>
      <c r="E437" t="s">
        <v>715</v>
      </c>
    </row>
    <row r="438" spans="2:5">
      <c r="B438" t="s">
        <v>1049</v>
      </c>
      <c r="C438">
        <v>505036</v>
      </c>
      <c r="D438" t="s">
        <v>360</v>
      </c>
      <c r="E438" t="s">
        <v>715</v>
      </c>
    </row>
    <row r="439" spans="2:5">
      <c r="B439" t="s">
        <v>1050</v>
      </c>
      <c r="C439">
        <v>505010</v>
      </c>
      <c r="D439" t="s">
        <v>1051</v>
      </c>
      <c r="E439" t="s">
        <v>715</v>
      </c>
    </row>
    <row r="440" spans="2:5">
      <c r="B440" t="s">
        <v>1052</v>
      </c>
      <c r="C440">
        <v>520119</v>
      </c>
      <c r="D440" t="s">
        <v>1053</v>
      </c>
      <c r="E440" t="s">
        <v>715</v>
      </c>
    </row>
    <row r="441" spans="2:5">
      <c r="B441" t="s">
        <v>1054</v>
      </c>
      <c r="C441">
        <v>512277</v>
      </c>
      <c r="D441" t="s">
        <v>360</v>
      </c>
      <c r="E441" t="s">
        <v>681</v>
      </c>
    </row>
    <row r="442" spans="2:5">
      <c r="B442" t="s">
        <v>1055</v>
      </c>
      <c r="C442">
        <v>780004</v>
      </c>
      <c r="D442" t="s">
        <v>360</v>
      </c>
      <c r="E442" t="s">
        <v>451</v>
      </c>
    </row>
    <row r="443" spans="2:5">
      <c r="B443" t="s">
        <v>1056</v>
      </c>
      <c r="C443">
        <v>540649</v>
      </c>
      <c r="D443" t="s">
        <v>1057</v>
      </c>
      <c r="E443" t="s">
        <v>1058</v>
      </c>
    </row>
    <row r="444" spans="2:5">
      <c r="B444" t="s">
        <v>1059</v>
      </c>
      <c r="C444">
        <v>531310</v>
      </c>
      <c r="D444" t="s">
        <v>360</v>
      </c>
      <c r="E444" t="s">
        <v>343</v>
      </c>
    </row>
    <row r="445" spans="2:5">
      <c r="B445" t="s">
        <v>1060</v>
      </c>
      <c r="C445">
        <v>512149</v>
      </c>
      <c r="D445" t="s">
        <v>360</v>
      </c>
      <c r="E445" t="s">
        <v>453</v>
      </c>
    </row>
    <row r="446" spans="2:5">
      <c r="B446" t="s">
        <v>1061</v>
      </c>
      <c r="C446">
        <v>532406</v>
      </c>
      <c r="D446" t="s">
        <v>360</v>
      </c>
      <c r="E446" t="s">
        <v>506</v>
      </c>
    </row>
    <row r="447" spans="2:5">
      <c r="B447" t="s">
        <v>1062</v>
      </c>
      <c r="C447">
        <v>512573</v>
      </c>
      <c r="D447" t="s">
        <v>1063</v>
      </c>
      <c r="E447" t="s">
        <v>440</v>
      </c>
    </row>
    <row r="448" spans="2:5">
      <c r="B448" t="s">
        <v>1064</v>
      </c>
      <c r="C448">
        <v>540376</v>
      </c>
      <c r="D448" t="s">
        <v>1065</v>
      </c>
      <c r="E448" t="s">
        <v>529</v>
      </c>
    </row>
    <row r="449" spans="2:5">
      <c r="B449" t="s">
        <v>1066</v>
      </c>
      <c r="C449" t="s">
        <v>360</v>
      </c>
      <c r="D449" t="s">
        <v>1067</v>
      </c>
      <c r="E449" t="s">
        <v>371</v>
      </c>
    </row>
    <row r="450" spans="2:5">
      <c r="B450" t="s">
        <v>1068</v>
      </c>
      <c r="C450">
        <v>539288</v>
      </c>
      <c r="D450" t="s">
        <v>360</v>
      </c>
      <c r="E450" t="s">
        <v>520</v>
      </c>
    </row>
    <row r="451" spans="2:5">
      <c r="B451" t="s">
        <v>1069</v>
      </c>
      <c r="C451">
        <v>523896</v>
      </c>
      <c r="D451" t="s">
        <v>360</v>
      </c>
      <c r="E451" t="s">
        <v>382</v>
      </c>
    </row>
    <row r="452" spans="2:5">
      <c r="B452" t="s">
        <v>1070</v>
      </c>
      <c r="C452">
        <v>523896</v>
      </c>
      <c r="D452" t="s">
        <v>360</v>
      </c>
      <c r="E452" t="s">
        <v>382</v>
      </c>
    </row>
    <row r="453" spans="2:5">
      <c r="B453" t="s">
        <v>1071</v>
      </c>
      <c r="C453">
        <v>512109</v>
      </c>
      <c r="D453" t="s">
        <v>360</v>
      </c>
      <c r="E453" t="s">
        <v>382</v>
      </c>
    </row>
    <row r="454" spans="2:5">
      <c r="B454" t="s">
        <v>1072</v>
      </c>
      <c r="C454">
        <v>531541</v>
      </c>
      <c r="D454" t="s">
        <v>360</v>
      </c>
      <c r="E454" t="s">
        <v>408</v>
      </c>
    </row>
    <row r="455" spans="2:5">
      <c r="B455" t="s">
        <v>1073</v>
      </c>
      <c r="C455" t="s">
        <v>360</v>
      </c>
      <c r="D455" t="s">
        <v>1074</v>
      </c>
      <c r="E455" t="s">
        <v>371</v>
      </c>
    </row>
    <row r="456" spans="2:5">
      <c r="B456" t="s">
        <v>1075</v>
      </c>
      <c r="C456">
        <v>511589</v>
      </c>
      <c r="D456" t="s">
        <v>360</v>
      </c>
      <c r="E456" t="s">
        <v>377</v>
      </c>
    </row>
    <row r="457" spans="2:5">
      <c r="B457" t="s">
        <v>1076</v>
      </c>
      <c r="C457" t="s">
        <v>360</v>
      </c>
      <c r="D457" t="s">
        <v>1077</v>
      </c>
      <c r="E457" t="s">
        <v>371</v>
      </c>
    </row>
    <row r="458" spans="2:5">
      <c r="B458" t="s">
        <v>1078</v>
      </c>
      <c r="C458">
        <v>519105</v>
      </c>
      <c r="D458" t="s">
        <v>1079</v>
      </c>
      <c r="E458" t="s">
        <v>558</v>
      </c>
    </row>
    <row r="459" spans="2:5">
      <c r="B459" t="s">
        <v>1080</v>
      </c>
      <c r="C459">
        <v>504390</v>
      </c>
      <c r="D459" t="s">
        <v>360</v>
      </c>
      <c r="E459" t="s">
        <v>343</v>
      </c>
    </row>
    <row r="460" spans="2:5">
      <c r="B460" t="s">
        <v>1081</v>
      </c>
      <c r="C460">
        <v>513642</v>
      </c>
      <c r="D460" t="s">
        <v>360</v>
      </c>
      <c r="E460" t="s">
        <v>480</v>
      </c>
    </row>
    <row r="461" spans="2:5">
      <c r="B461" t="s">
        <v>1082</v>
      </c>
      <c r="C461">
        <v>532215</v>
      </c>
      <c r="D461" t="s">
        <v>1083</v>
      </c>
      <c r="E461" t="s">
        <v>678</v>
      </c>
    </row>
    <row r="462" spans="2:5">
      <c r="B462" t="s">
        <v>1084</v>
      </c>
      <c r="C462">
        <v>532395</v>
      </c>
      <c r="D462" t="s">
        <v>1085</v>
      </c>
      <c r="E462" t="s">
        <v>690</v>
      </c>
    </row>
    <row r="463" spans="2:5">
      <c r="B463" t="s">
        <v>1086</v>
      </c>
      <c r="C463">
        <v>542285</v>
      </c>
      <c r="D463" t="s">
        <v>1087</v>
      </c>
      <c r="E463" t="s">
        <v>375</v>
      </c>
    </row>
    <row r="464" spans="2:5">
      <c r="B464" t="s">
        <v>1088</v>
      </c>
      <c r="C464">
        <v>505506</v>
      </c>
      <c r="D464" t="s">
        <v>360</v>
      </c>
      <c r="E464" t="s">
        <v>453</v>
      </c>
    </row>
    <row r="465" spans="2:5">
      <c r="B465" t="s">
        <v>1089</v>
      </c>
      <c r="C465">
        <v>523850</v>
      </c>
      <c r="D465" t="s">
        <v>360</v>
      </c>
      <c r="E465" t="s">
        <v>368</v>
      </c>
    </row>
    <row r="466" spans="2:5">
      <c r="B466" t="s">
        <v>1090</v>
      </c>
      <c r="C466">
        <v>523168</v>
      </c>
      <c r="D466" t="s">
        <v>360</v>
      </c>
      <c r="E466" t="s">
        <v>574</v>
      </c>
    </row>
    <row r="467" spans="2:5">
      <c r="B467" t="s">
        <v>1091</v>
      </c>
      <c r="C467">
        <v>508933</v>
      </c>
      <c r="D467" t="s">
        <v>1092</v>
      </c>
      <c r="E467" t="s">
        <v>375</v>
      </c>
    </row>
    <row r="468" spans="2:5">
      <c r="B468" t="s">
        <v>1093</v>
      </c>
      <c r="C468">
        <v>512063</v>
      </c>
      <c r="D468" t="s">
        <v>360</v>
      </c>
      <c r="E468" t="s">
        <v>382</v>
      </c>
    </row>
    <row r="469" spans="2:5">
      <c r="B469" t="s">
        <v>1094</v>
      </c>
      <c r="C469">
        <v>536965</v>
      </c>
      <c r="D469" t="s">
        <v>360</v>
      </c>
      <c r="E469" t="s">
        <v>377</v>
      </c>
    </row>
    <row r="470" spans="2:5">
      <c r="B470" t="s">
        <v>1095</v>
      </c>
      <c r="C470">
        <v>508136</v>
      </c>
      <c r="D470" t="s">
        <v>360</v>
      </c>
      <c r="E470" t="s">
        <v>767</v>
      </c>
    </row>
    <row r="471" spans="2:5">
      <c r="B471" t="s">
        <v>1096</v>
      </c>
      <c r="C471">
        <v>532507</v>
      </c>
      <c r="D471" t="s">
        <v>1097</v>
      </c>
      <c r="E471" t="s">
        <v>1098</v>
      </c>
    </row>
    <row r="472" spans="2:5">
      <c r="B472" t="s">
        <v>1099</v>
      </c>
      <c r="C472">
        <v>537766</v>
      </c>
      <c r="D472" t="s">
        <v>360</v>
      </c>
      <c r="E472" t="s">
        <v>658</v>
      </c>
    </row>
    <row r="473" spans="2:5">
      <c r="B473" t="s">
        <v>1100</v>
      </c>
      <c r="C473">
        <v>532719</v>
      </c>
      <c r="D473" t="s">
        <v>1101</v>
      </c>
      <c r="E473" t="s">
        <v>446</v>
      </c>
    </row>
    <row r="474" spans="2:5">
      <c r="B474" t="s">
        <v>1102</v>
      </c>
      <c r="C474">
        <v>523019</v>
      </c>
      <c r="D474" t="s">
        <v>360</v>
      </c>
      <c r="E474" t="s">
        <v>343</v>
      </c>
    </row>
    <row r="475" spans="2:5">
      <c r="B475" t="s">
        <v>1103</v>
      </c>
      <c r="C475">
        <v>523186</v>
      </c>
      <c r="D475" t="s">
        <v>360</v>
      </c>
      <c r="E475" t="s">
        <v>354</v>
      </c>
    </row>
    <row r="476" spans="2:5">
      <c r="B476" t="s">
        <v>1104</v>
      </c>
      <c r="C476">
        <v>523186</v>
      </c>
      <c r="D476" t="s">
        <v>360</v>
      </c>
      <c r="E476" t="s">
        <v>354</v>
      </c>
    </row>
    <row r="477" spans="2:5">
      <c r="B477" t="s">
        <v>1105</v>
      </c>
      <c r="C477" t="s">
        <v>360</v>
      </c>
      <c r="D477" t="s">
        <v>1106</v>
      </c>
      <c r="E477" t="s">
        <v>371</v>
      </c>
    </row>
    <row r="478" spans="2:5">
      <c r="B478" t="s">
        <v>1107</v>
      </c>
      <c r="C478">
        <v>542206</v>
      </c>
      <c r="D478" t="s">
        <v>1108</v>
      </c>
      <c r="E478" t="s">
        <v>726</v>
      </c>
    </row>
    <row r="479" spans="2:5">
      <c r="B479" t="s">
        <v>1109</v>
      </c>
      <c r="C479">
        <v>531268</v>
      </c>
      <c r="D479" t="s">
        <v>360</v>
      </c>
      <c r="E479" t="s">
        <v>453</v>
      </c>
    </row>
    <row r="480" spans="2:5">
      <c r="B480" t="s">
        <v>1110</v>
      </c>
      <c r="C480">
        <v>532380</v>
      </c>
      <c r="D480" t="s">
        <v>360</v>
      </c>
      <c r="E480" t="s">
        <v>363</v>
      </c>
    </row>
    <row r="481" spans="2:5">
      <c r="B481" t="s">
        <v>1111</v>
      </c>
      <c r="C481">
        <v>524516</v>
      </c>
      <c r="D481" t="s">
        <v>360</v>
      </c>
      <c r="E481" t="s">
        <v>398</v>
      </c>
    </row>
    <row r="482" spans="2:5">
      <c r="B482" t="s">
        <v>1112</v>
      </c>
      <c r="C482">
        <v>532989</v>
      </c>
      <c r="D482" t="s">
        <v>1113</v>
      </c>
      <c r="E482" t="s">
        <v>398</v>
      </c>
    </row>
    <row r="483" spans="2:5">
      <c r="B483" t="s">
        <v>1114</v>
      </c>
      <c r="C483">
        <v>530197</v>
      </c>
      <c r="D483" t="s">
        <v>360</v>
      </c>
      <c r="E483" t="s">
        <v>520</v>
      </c>
    </row>
    <row r="484" spans="2:5">
      <c r="B484" t="s">
        <v>1115</v>
      </c>
      <c r="C484">
        <v>511724</v>
      </c>
      <c r="D484" t="s">
        <v>360</v>
      </c>
      <c r="E484" t="s">
        <v>377</v>
      </c>
    </row>
    <row r="485" spans="2:5">
      <c r="B485" t="s">
        <v>1116</v>
      </c>
      <c r="C485">
        <v>532977</v>
      </c>
      <c r="D485" t="s">
        <v>1117</v>
      </c>
      <c r="E485" t="s">
        <v>1017</v>
      </c>
    </row>
    <row r="486" spans="2:5">
      <c r="B486" t="s">
        <v>1118</v>
      </c>
      <c r="C486" t="s">
        <v>360</v>
      </c>
      <c r="D486" t="s">
        <v>1119</v>
      </c>
      <c r="E486" t="s">
        <v>542</v>
      </c>
    </row>
    <row r="487" spans="2:5">
      <c r="B487" t="s">
        <v>1120</v>
      </c>
      <c r="C487">
        <v>533229</v>
      </c>
      <c r="D487" t="s">
        <v>1121</v>
      </c>
      <c r="E487" t="s">
        <v>542</v>
      </c>
    </row>
    <row r="488" spans="2:5">
      <c r="B488" t="s">
        <v>1122</v>
      </c>
      <c r="C488">
        <v>500031</v>
      </c>
      <c r="D488" t="s">
        <v>1123</v>
      </c>
      <c r="E488" t="s">
        <v>1124</v>
      </c>
    </row>
    <row r="489" spans="2:5">
      <c r="B489" t="s">
        <v>1125</v>
      </c>
      <c r="C489">
        <v>500034</v>
      </c>
      <c r="D489" t="s">
        <v>1126</v>
      </c>
      <c r="E489" t="s">
        <v>377</v>
      </c>
    </row>
    <row r="490" spans="2:5">
      <c r="B490" t="s">
        <v>1127</v>
      </c>
      <c r="C490">
        <v>532978</v>
      </c>
      <c r="D490" t="s">
        <v>1128</v>
      </c>
      <c r="E490" t="s">
        <v>526</v>
      </c>
    </row>
    <row r="491" spans="2:5">
      <c r="B491" t="s">
        <v>1129</v>
      </c>
      <c r="C491">
        <v>512261</v>
      </c>
      <c r="D491" t="s">
        <v>360</v>
      </c>
      <c r="E491" t="s">
        <v>382</v>
      </c>
    </row>
    <row r="492" spans="2:5">
      <c r="B492" t="s">
        <v>1130</v>
      </c>
      <c r="C492">
        <v>539872</v>
      </c>
      <c r="D492" t="s">
        <v>360</v>
      </c>
      <c r="E492" t="s">
        <v>398</v>
      </c>
    </row>
    <row r="493" spans="2:5">
      <c r="B493" t="s">
        <v>1131</v>
      </c>
      <c r="C493">
        <v>500032</v>
      </c>
      <c r="D493" t="s">
        <v>1132</v>
      </c>
      <c r="E493" t="s">
        <v>1058</v>
      </c>
    </row>
    <row r="494" spans="2:5">
      <c r="B494" t="s">
        <v>1133</v>
      </c>
      <c r="C494">
        <v>500490</v>
      </c>
      <c r="D494" t="s">
        <v>1134</v>
      </c>
      <c r="E494" t="s">
        <v>526</v>
      </c>
    </row>
    <row r="495" spans="2:5">
      <c r="B495" t="s">
        <v>1135</v>
      </c>
      <c r="C495">
        <v>507944</v>
      </c>
      <c r="D495" t="s">
        <v>360</v>
      </c>
      <c r="E495" t="s">
        <v>368</v>
      </c>
    </row>
    <row r="496" spans="2:5">
      <c r="B496" t="s">
        <v>1136</v>
      </c>
      <c r="C496">
        <v>511139</v>
      </c>
      <c r="D496" t="s">
        <v>360</v>
      </c>
      <c r="E496" t="s">
        <v>781</v>
      </c>
    </row>
    <row r="497" spans="2:5">
      <c r="B497" t="s">
        <v>1137</v>
      </c>
      <c r="C497">
        <v>524824</v>
      </c>
      <c r="D497" t="s">
        <v>1138</v>
      </c>
      <c r="E497" t="s">
        <v>398</v>
      </c>
    </row>
    <row r="498" spans="2:5">
      <c r="B498" t="s">
        <v>1139</v>
      </c>
      <c r="C498">
        <v>530999</v>
      </c>
      <c r="D498" t="s">
        <v>1140</v>
      </c>
      <c r="E498" t="s">
        <v>408</v>
      </c>
    </row>
    <row r="499" spans="2:5">
      <c r="B499" t="s">
        <v>1141</v>
      </c>
      <c r="C499">
        <v>532382</v>
      </c>
      <c r="D499" t="s">
        <v>1142</v>
      </c>
      <c r="E499" t="s">
        <v>1098</v>
      </c>
    </row>
    <row r="500" spans="2:5">
      <c r="B500" t="s">
        <v>1143</v>
      </c>
      <c r="C500">
        <v>513142</v>
      </c>
      <c r="D500" t="s">
        <v>360</v>
      </c>
      <c r="E500" t="s">
        <v>392</v>
      </c>
    </row>
    <row r="501" spans="2:5">
      <c r="B501" t="s">
        <v>1144</v>
      </c>
      <c r="C501" t="s">
        <v>360</v>
      </c>
      <c r="D501" t="s">
        <v>1145</v>
      </c>
      <c r="E501" t="s">
        <v>1146</v>
      </c>
    </row>
    <row r="502" spans="2:5">
      <c r="B502" t="s">
        <v>1147</v>
      </c>
      <c r="C502">
        <v>539834</v>
      </c>
      <c r="D502" t="s">
        <v>360</v>
      </c>
      <c r="E502" t="s">
        <v>382</v>
      </c>
    </row>
    <row r="503" spans="2:5">
      <c r="B503" t="s">
        <v>1148</v>
      </c>
      <c r="C503">
        <v>502355</v>
      </c>
      <c r="D503" t="s">
        <v>1149</v>
      </c>
      <c r="E503" t="s">
        <v>840</v>
      </c>
    </row>
    <row r="504" spans="2:5">
      <c r="B504" t="s">
        <v>1150</v>
      </c>
      <c r="C504">
        <v>539251</v>
      </c>
      <c r="D504" t="s">
        <v>1151</v>
      </c>
      <c r="E504" t="s">
        <v>555</v>
      </c>
    </row>
    <row r="505" spans="2:5">
      <c r="B505" t="s">
        <v>1152</v>
      </c>
      <c r="C505">
        <v>500102</v>
      </c>
      <c r="D505" t="s">
        <v>1153</v>
      </c>
      <c r="E505" t="s">
        <v>354</v>
      </c>
    </row>
    <row r="506" spans="2:5">
      <c r="B506" t="s">
        <v>1154</v>
      </c>
      <c r="C506">
        <v>523319</v>
      </c>
      <c r="D506" t="s">
        <v>1155</v>
      </c>
      <c r="E506" t="s">
        <v>349</v>
      </c>
    </row>
    <row r="507" spans="2:5">
      <c r="B507" t="s">
        <v>1156</v>
      </c>
      <c r="C507">
        <v>532485</v>
      </c>
      <c r="D507" t="s">
        <v>360</v>
      </c>
      <c r="E507" t="s">
        <v>377</v>
      </c>
    </row>
    <row r="508" spans="2:5">
      <c r="B508" t="s">
        <v>1157</v>
      </c>
      <c r="C508">
        <v>500038</v>
      </c>
      <c r="D508" t="s">
        <v>1158</v>
      </c>
      <c r="E508" t="s">
        <v>1058</v>
      </c>
    </row>
    <row r="509" spans="2:5">
      <c r="B509" t="s">
        <v>1159</v>
      </c>
      <c r="C509">
        <v>520127</v>
      </c>
      <c r="D509" t="s">
        <v>360</v>
      </c>
      <c r="E509" t="s">
        <v>432</v>
      </c>
    </row>
    <row r="510" spans="2:5">
      <c r="B510" t="s">
        <v>1160</v>
      </c>
      <c r="C510">
        <v>519295</v>
      </c>
      <c r="D510" t="s">
        <v>360</v>
      </c>
      <c r="E510" t="s">
        <v>420</v>
      </c>
    </row>
    <row r="511" spans="2:5">
      <c r="B511" t="s">
        <v>1161</v>
      </c>
      <c r="C511">
        <v>531591</v>
      </c>
      <c r="D511" t="s">
        <v>360</v>
      </c>
      <c r="E511" t="s">
        <v>377</v>
      </c>
    </row>
    <row r="512" spans="2:5">
      <c r="B512" t="s">
        <v>1162</v>
      </c>
      <c r="C512">
        <v>526849</v>
      </c>
      <c r="D512" t="s">
        <v>1163</v>
      </c>
      <c r="E512" t="s">
        <v>474</v>
      </c>
    </row>
    <row r="513" spans="2:5">
      <c r="B513" t="s">
        <v>1164</v>
      </c>
      <c r="C513">
        <v>509053</v>
      </c>
      <c r="D513" t="s">
        <v>360</v>
      </c>
      <c r="E513" t="s">
        <v>781</v>
      </c>
    </row>
    <row r="514" spans="2:5">
      <c r="B514" t="s">
        <v>1165</v>
      </c>
      <c r="C514">
        <v>500039</v>
      </c>
      <c r="D514" t="s">
        <v>1166</v>
      </c>
      <c r="E514" t="s">
        <v>715</v>
      </c>
    </row>
    <row r="515" spans="2:5">
      <c r="B515" t="s">
        <v>1167</v>
      </c>
      <c r="C515">
        <v>541153</v>
      </c>
      <c r="D515" t="s">
        <v>1168</v>
      </c>
      <c r="E515" t="s">
        <v>678</v>
      </c>
    </row>
    <row r="516" spans="2:5">
      <c r="B516" t="s">
        <v>1169</v>
      </c>
      <c r="C516">
        <v>532946</v>
      </c>
      <c r="D516" t="s">
        <v>1170</v>
      </c>
      <c r="E516" t="s">
        <v>474</v>
      </c>
    </row>
    <row r="517" spans="2:5">
      <c r="B517" t="s">
        <v>1171</v>
      </c>
      <c r="C517">
        <v>539120</v>
      </c>
      <c r="D517" t="s">
        <v>360</v>
      </c>
      <c r="E517" t="s">
        <v>597</v>
      </c>
    </row>
    <row r="518" spans="2:5">
      <c r="B518" t="s">
        <v>1172</v>
      </c>
      <c r="C518">
        <v>532134</v>
      </c>
      <c r="D518" t="s">
        <v>1173</v>
      </c>
      <c r="E518" t="s">
        <v>678</v>
      </c>
    </row>
    <row r="519" spans="2:5">
      <c r="B519" t="s">
        <v>1174</v>
      </c>
      <c r="C519">
        <v>532149</v>
      </c>
      <c r="D519" t="s">
        <v>1175</v>
      </c>
      <c r="E519" t="s">
        <v>678</v>
      </c>
    </row>
    <row r="520" spans="2:5">
      <c r="B520" t="s">
        <v>1176</v>
      </c>
      <c r="C520">
        <v>532525</v>
      </c>
      <c r="D520" t="s">
        <v>1177</v>
      </c>
      <c r="E520" t="s">
        <v>678</v>
      </c>
    </row>
    <row r="521" spans="2:5">
      <c r="B521" t="s">
        <v>1178</v>
      </c>
      <c r="C521" t="s">
        <v>360</v>
      </c>
      <c r="D521" t="s">
        <v>1179</v>
      </c>
      <c r="E521" t="s">
        <v>371</v>
      </c>
    </row>
    <row r="522" spans="2:5">
      <c r="B522" t="s">
        <v>1180</v>
      </c>
      <c r="C522">
        <v>532674</v>
      </c>
      <c r="D522" t="s">
        <v>1181</v>
      </c>
      <c r="E522" t="s">
        <v>375</v>
      </c>
    </row>
    <row r="523" spans="2:5">
      <c r="B523" t="s">
        <v>1182</v>
      </c>
      <c r="C523">
        <v>500041</v>
      </c>
      <c r="D523" t="s">
        <v>1183</v>
      </c>
      <c r="E523" t="s">
        <v>1058</v>
      </c>
    </row>
    <row r="524" spans="2:5">
      <c r="B524" t="s">
        <v>1184</v>
      </c>
      <c r="C524" t="s">
        <v>360</v>
      </c>
      <c r="D524" t="s">
        <v>1185</v>
      </c>
      <c r="E524" t="s">
        <v>371</v>
      </c>
    </row>
    <row r="525" spans="2:5">
      <c r="B525" t="s">
        <v>1186</v>
      </c>
      <c r="C525">
        <v>538546</v>
      </c>
      <c r="D525" t="s">
        <v>360</v>
      </c>
      <c r="E525" t="s">
        <v>683</v>
      </c>
    </row>
    <row r="526" spans="2:5">
      <c r="B526" t="s">
        <v>1187</v>
      </c>
      <c r="C526">
        <v>519353</v>
      </c>
      <c r="D526" t="s">
        <v>360</v>
      </c>
      <c r="E526" t="s">
        <v>767</v>
      </c>
    </row>
    <row r="527" spans="2:5">
      <c r="B527" t="s">
        <v>1188</v>
      </c>
      <c r="C527">
        <v>503722</v>
      </c>
      <c r="D527" t="s">
        <v>1189</v>
      </c>
      <c r="E527" t="s">
        <v>375</v>
      </c>
    </row>
    <row r="528" spans="2:5">
      <c r="B528" t="s">
        <v>1190</v>
      </c>
      <c r="C528">
        <v>532916</v>
      </c>
      <c r="D528" t="s">
        <v>1191</v>
      </c>
      <c r="E528" t="s">
        <v>373</v>
      </c>
    </row>
    <row r="529" spans="2:5">
      <c r="B529" t="s">
        <v>1192</v>
      </c>
      <c r="C529">
        <v>513502</v>
      </c>
      <c r="D529" t="s">
        <v>360</v>
      </c>
      <c r="E529" t="s">
        <v>434</v>
      </c>
    </row>
    <row r="530" spans="2:5">
      <c r="B530" t="s">
        <v>1193</v>
      </c>
      <c r="C530">
        <v>532336</v>
      </c>
      <c r="D530" t="s">
        <v>360</v>
      </c>
      <c r="E530" t="s">
        <v>453</v>
      </c>
    </row>
    <row r="531" spans="2:5">
      <c r="B531" t="s">
        <v>1194</v>
      </c>
      <c r="C531">
        <v>532694</v>
      </c>
      <c r="D531" t="s">
        <v>1195</v>
      </c>
      <c r="E531" t="s">
        <v>781</v>
      </c>
    </row>
    <row r="532" spans="2:5">
      <c r="B532" t="s">
        <v>1196</v>
      </c>
      <c r="C532">
        <v>532694</v>
      </c>
      <c r="D532" t="s">
        <v>1195</v>
      </c>
      <c r="E532" t="s">
        <v>781</v>
      </c>
    </row>
    <row r="533" spans="2:5">
      <c r="B533" t="s">
        <v>1197</v>
      </c>
      <c r="C533">
        <v>524687</v>
      </c>
      <c r="D533" t="s">
        <v>360</v>
      </c>
      <c r="E533" t="s">
        <v>868</v>
      </c>
    </row>
    <row r="534" spans="2:5">
      <c r="B534" t="s">
        <v>1198</v>
      </c>
      <c r="C534">
        <v>524687</v>
      </c>
      <c r="D534" t="s">
        <v>360</v>
      </c>
      <c r="E534" t="s">
        <v>868</v>
      </c>
    </row>
    <row r="535" spans="2:5">
      <c r="B535" t="s">
        <v>1199</v>
      </c>
      <c r="C535">
        <v>500042</v>
      </c>
      <c r="D535" t="s">
        <v>1200</v>
      </c>
      <c r="E535" t="s">
        <v>520</v>
      </c>
    </row>
    <row r="536" spans="2:5">
      <c r="B536" t="s">
        <v>1201</v>
      </c>
      <c r="C536">
        <v>500042</v>
      </c>
      <c r="D536" t="s">
        <v>1200</v>
      </c>
      <c r="E536" t="s">
        <v>520</v>
      </c>
    </row>
    <row r="537" spans="2:5">
      <c r="B537" t="s">
        <v>1202</v>
      </c>
      <c r="C537">
        <v>500043</v>
      </c>
      <c r="D537" t="s">
        <v>1203</v>
      </c>
      <c r="E537" t="s">
        <v>786</v>
      </c>
    </row>
    <row r="538" spans="2:5">
      <c r="B538" t="s">
        <v>1204</v>
      </c>
      <c r="C538">
        <v>500043</v>
      </c>
      <c r="D538" t="s">
        <v>1205</v>
      </c>
      <c r="E538" t="s">
        <v>786</v>
      </c>
    </row>
    <row r="539" spans="2:5">
      <c r="B539" t="s">
        <v>1206</v>
      </c>
      <c r="C539">
        <v>522004</v>
      </c>
      <c r="D539" t="s">
        <v>360</v>
      </c>
      <c r="E539" t="s">
        <v>368</v>
      </c>
    </row>
    <row r="540" spans="2:5">
      <c r="B540" t="s">
        <v>1207</v>
      </c>
      <c r="C540">
        <v>506285</v>
      </c>
      <c r="D540" t="s">
        <v>1208</v>
      </c>
      <c r="E540" t="s">
        <v>504</v>
      </c>
    </row>
    <row r="541" spans="2:5">
      <c r="B541" t="s">
        <v>1209</v>
      </c>
      <c r="C541">
        <v>539946</v>
      </c>
      <c r="D541" t="s">
        <v>360</v>
      </c>
      <c r="E541" t="s">
        <v>377</v>
      </c>
    </row>
    <row r="542" spans="2:5">
      <c r="B542" t="s">
        <v>1210</v>
      </c>
      <c r="C542">
        <v>517246</v>
      </c>
      <c r="D542" t="s">
        <v>360</v>
      </c>
      <c r="E542" t="s">
        <v>902</v>
      </c>
    </row>
    <row r="543" spans="2:5">
      <c r="B543" t="s">
        <v>1211</v>
      </c>
      <c r="C543">
        <v>517246</v>
      </c>
      <c r="D543" t="s">
        <v>360</v>
      </c>
      <c r="E543" t="s">
        <v>902</v>
      </c>
    </row>
    <row r="544" spans="2:5">
      <c r="B544" t="s">
        <v>1212</v>
      </c>
      <c r="C544">
        <v>539621</v>
      </c>
      <c r="D544" t="s">
        <v>360</v>
      </c>
      <c r="E544" t="s">
        <v>377</v>
      </c>
    </row>
    <row r="545" spans="2:5">
      <c r="B545" t="s">
        <v>1213</v>
      </c>
      <c r="C545">
        <v>524332</v>
      </c>
      <c r="D545" t="s">
        <v>360</v>
      </c>
      <c r="E545" t="s">
        <v>609</v>
      </c>
    </row>
    <row r="546" spans="2:5">
      <c r="B546" t="s">
        <v>1214</v>
      </c>
      <c r="C546">
        <v>542057</v>
      </c>
      <c r="D546" t="s">
        <v>360</v>
      </c>
      <c r="E546" t="s">
        <v>758</v>
      </c>
    </row>
    <row r="547" spans="2:5">
      <c r="B547" t="s">
        <v>1215</v>
      </c>
      <c r="C547">
        <v>524828</v>
      </c>
      <c r="D547" t="s">
        <v>360</v>
      </c>
      <c r="E547" t="s">
        <v>398</v>
      </c>
    </row>
    <row r="548" spans="2:5">
      <c r="B548" t="s">
        <v>1216</v>
      </c>
      <c r="C548">
        <v>539447</v>
      </c>
      <c r="D548" t="s">
        <v>1217</v>
      </c>
      <c r="E548" t="s">
        <v>555</v>
      </c>
    </row>
    <row r="549" spans="2:5">
      <c r="B549" t="s">
        <v>1218</v>
      </c>
      <c r="C549">
        <v>533270</v>
      </c>
      <c r="D549" t="s">
        <v>1219</v>
      </c>
      <c r="E549" t="s">
        <v>683</v>
      </c>
    </row>
    <row r="550" spans="2:5">
      <c r="B550" t="s">
        <v>1220</v>
      </c>
      <c r="C550">
        <v>539546</v>
      </c>
      <c r="D550" t="s">
        <v>360</v>
      </c>
      <c r="E550" t="s">
        <v>382</v>
      </c>
    </row>
    <row r="551" spans="2:5">
      <c r="B551" t="s">
        <v>1221</v>
      </c>
      <c r="C551">
        <v>539018</v>
      </c>
      <c r="D551" t="s">
        <v>360</v>
      </c>
      <c r="E551" t="s">
        <v>392</v>
      </c>
    </row>
    <row r="552" spans="2:5">
      <c r="B552" t="s">
        <v>1222</v>
      </c>
      <c r="C552">
        <v>532645</v>
      </c>
      <c r="D552" t="s">
        <v>360</v>
      </c>
      <c r="E552" t="s">
        <v>382</v>
      </c>
    </row>
    <row r="553" spans="2:5">
      <c r="B553" t="s">
        <v>1223</v>
      </c>
      <c r="C553">
        <v>539399</v>
      </c>
      <c r="D553" t="s">
        <v>360</v>
      </c>
      <c r="E553" t="s">
        <v>375</v>
      </c>
    </row>
    <row r="554" spans="2:5">
      <c r="B554" t="s">
        <v>1224</v>
      </c>
      <c r="C554">
        <v>522650</v>
      </c>
      <c r="D554" t="s">
        <v>360</v>
      </c>
      <c r="E554" t="s">
        <v>545</v>
      </c>
    </row>
    <row r="555" spans="2:5">
      <c r="B555" t="s">
        <v>1225</v>
      </c>
      <c r="C555">
        <v>500048</v>
      </c>
      <c r="D555" t="s">
        <v>1226</v>
      </c>
      <c r="E555" t="s">
        <v>438</v>
      </c>
    </row>
    <row r="556" spans="2:5">
      <c r="B556" t="s">
        <v>1227</v>
      </c>
      <c r="C556">
        <v>541178</v>
      </c>
      <c r="D556" t="s">
        <v>360</v>
      </c>
      <c r="E556" t="s">
        <v>545</v>
      </c>
    </row>
    <row r="557" spans="2:5">
      <c r="B557" t="s">
        <v>1228</v>
      </c>
      <c r="C557">
        <v>509438</v>
      </c>
      <c r="D557" t="s">
        <v>360</v>
      </c>
      <c r="E557" t="s">
        <v>561</v>
      </c>
    </row>
    <row r="558" spans="2:5">
      <c r="B558" t="s">
        <v>1229</v>
      </c>
      <c r="C558">
        <v>533095</v>
      </c>
      <c r="D558" t="s">
        <v>360</v>
      </c>
      <c r="E558" t="s">
        <v>377</v>
      </c>
    </row>
    <row r="559" spans="2:5">
      <c r="B559" t="s">
        <v>1230</v>
      </c>
      <c r="C559">
        <v>512404</v>
      </c>
      <c r="D559" t="s">
        <v>360</v>
      </c>
      <c r="E559" t="s">
        <v>392</v>
      </c>
    </row>
    <row r="560" spans="2:5">
      <c r="B560" t="s">
        <v>1231</v>
      </c>
      <c r="C560">
        <v>532230</v>
      </c>
      <c r="D560" t="s">
        <v>360</v>
      </c>
      <c r="E560" t="s">
        <v>375</v>
      </c>
    </row>
    <row r="561" spans="2:5">
      <c r="B561" t="s">
        <v>1232</v>
      </c>
      <c r="C561">
        <v>512195</v>
      </c>
      <c r="D561" t="s">
        <v>360</v>
      </c>
      <c r="E561" t="s">
        <v>781</v>
      </c>
    </row>
    <row r="562" spans="2:5">
      <c r="B562" t="s">
        <v>1233</v>
      </c>
      <c r="C562">
        <v>509480</v>
      </c>
      <c r="D562" t="s">
        <v>1234</v>
      </c>
      <c r="E562" t="s">
        <v>637</v>
      </c>
    </row>
    <row r="563" spans="2:5">
      <c r="B563" t="s">
        <v>1235</v>
      </c>
      <c r="C563">
        <v>531340</v>
      </c>
      <c r="D563" t="s">
        <v>360</v>
      </c>
      <c r="E563" t="s">
        <v>343</v>
      </c>
    </row>
    <row r="564" spans="2:5">
      <c r="B564" t="s">
        <v>1236</v>
      </c>
      <c r="C564">
        <v>524606</v>
      </c>
      <c r="D564" t="s">
        <v>360</v>
      </c>
      <c r="E564" t="s">
        <v>398</v>
      </c>
    </row>
    <row r="565" spans="2:5">
      <c r="B565" t="s">
        <v>1237</v>
      </c>
      <c r="C565">
        <v>531582</v>
      </c>
      <c r="D565" t="s">
        <v>360</v>
      </c>
      <c r="E565" t="s">
        <v>377</v>
      </c>
    </row>
    <row r="566" spans="2:5">
      <c r="B566" t="s">
        <v>1238</v>
      </c>
      <c r="C566">
        <v>508664</v>
      </c>
      <c r="D566" t="s">
        <v>360</v>
      </c>
      <c r="E566" t="s">
        <v>561</v>
      </c>
    </row>
    <row r="567" spans="2:5">
      <c r="B567" t="s">
        <v>1239</v>
      </c>
      <c r="C567" t="s">
        <v>360</v>
      </c>
      <c r="D567" t="s">
        <v>1240</v>
      </c>
      <c r="E567" t="s">
        <v>371</v>
      </c>
    </row>
    <row r="568" spans="2:5">
      <c r="B568" t="s">
        <v>1241</v>
      </c>
      <c r="C568">
        <v>512477</v>
      </c>
      <c r="D568" t="s">
        <v>360</v>
      </c>
      <c r="E568" t="s">
        <v>375</v>
      </c>
    </row>
    <row r="569" spans="2:5">
      <c r="B569" t="s">
        <v>1242</v>
      </c>
      <c r="C569">
        <v>512477</v>
      </c>
      <c r="D569" t="s">
        <v>360</v>
      </c>
      <c r="E569" t="s">
        <v>375</v>
      </c>
    </row>
    <row r="570" spans="2:5">
      <c r="B570" t="s">
        <v>1243</v>
      </c>
      <c r="C570">
        <v>533303</v>
      </c>
      <c r="D570" t="s">
        <v>1244</v>
      </c>
      <c r="E570" t="s">
        <v>526</v>
      </c>
    </row>
    <row r="571" spans="2:5">
      <c r="B571" t="s">
        <v>1245</v>
      </c>
      <c r="C571">
        <v>532430</v>
      </c>
      <c r="D571" t="s">
        <v>1246</v>
      </c>
      <c r="E571" t="s">
        <v>499</v>
      </c>
    </row>
    <row r="572" spans="2:5">
      <c r="B572" t="s">
        <v>1247</v>
      </c>
      <c r="C572">
        <v>539662</v>
      </c>
      <c r="D572" t="s">
        <v>360</v>
      </c>
      <c r="E572" t="s">
        <v>377</v>
      </c>
    </row>
    <row r="573" spans="2:5">
      <c r="B573" t="s">
        <v>1248</v>
      </c>
      <c r="C573">
        <v>511664</v>
      </c>
      <c r="D573" t="s">
        <v>360</v>
      </c>
      <c r="E573" t="s">
        <v>363</v>
      </c>
    </row>
    <row r="574" spans="2:5">
      <c r="B574" t="s">
        <v>1249</v>
      </c>
      <c r="C574">
        <v>532930</v>
      </c>
      <c r="D574" t="s">
        <v>1250</v>
      </c>
      <c r="E574" t="s">
        <v>403</v>
      </c>
    </row>
    <row r="575" spans="2:5">
      <c r="B575" t="s">
        <v>1251</v>
      </c>
      <c r="C575">
        <v>530803</v>
      </c>
      <c r="D575" t="s">
        <v>1252</v>
      </c>
      <c r="E575" t="s">
        <v>408</v>
      </c>
    </row>
    <row r="576" spans="2:5">
      <c r="B576" t="s">
        <v>1253</v>
      </c>
      <c r="C576">
        <v>531719</v>
      </c>
      <c r="D576" t="s">
        <v>360</v>
      </c>
      <c r="E576" t="s">
        <v>504</v>
      </c>
    </row>
    <row r="577" spans="2:5">
      <c r="B577" t="s">
        <v>1254</v>
      </c>
      <c r="C577">
        <v>504646</v>
      </c>
      <c r="D577" t="s">
        <v>360</v>
      </c>
      <c r="E577" t="s">
        <v>715</v>
      </c>
    </row>
    <row r="578" spans="2:5">
      <c r="B578" t="s">
        <v>1255</v>
      </c>
      <c r="C578">
        <v>509449</v>
      </c>
      <c r="D578" t="s">
        <v>360</v>
      </c>
      <c r="E578" t="s">
        <v>408</v>
      </c>
    </row>
    <row r="579" spans="2:5">
      <c r="B579" t="s">
        <v>1256</v>
      </c>
      <c r="C579">
        <v>512296</v>
      </c>
      <c r="D579" t="s">
        <v>1257</v>
      </c>
      <c r="E579" t="s">
        <v>434</v>
      </c>
    </row>
    <row r="580" spans="2:5">
      <c r="B580" t="s">
        <v>1258</v>
      </c>
      <c r="C580">
        <v>512296</v>
      </c>
      <c r="D580" t="s">
        <v>1257</v>
      </c>
      <c r="E580" t="s">
        <v>434</v>
      </c>
    </row>
    <row r="581" spans="2:5">
      <c r="B581" t="s">
        <v>1259</v>
      </c>
      <c r="C581">
        <v>540621</v>
      </c>
      <c r="D581" t="s">
        <v>1260</v>
      </c>
      <c r="E581" t="s">
        <v>446</v>
      </c>
    </row>
    <row r="582" spans="2:5">
      <c r="B582" t="s">
        <v>1261</v>
      </c>
      <c r="C582">
        <v>540545</v>
      </c>
      <c r="D582" t="s">
        <v>360</v>
      </c>
      <c r="E582" t="s">
        <v>474</v>
      </c>
    </row>
    <row r="583" spans="2:5">
      <c r="B583" t="s">
        <v>1262</v>
      </c>
      <c r="C583">
        <v>512608</v>
      </c>
      <c r="D583" t="s">
        <v>1263</v>
      </c>
      <c r="E583" t="s">
        <v>474</v>
      </c>
    </row>
    <row r="584" spans="2:5">
      <c r="B584" t="s">
        <v>1264</v>
      </c>
      <c r="C584">
        <v>538576</v>
      </c>
      <c r="D584" t="s">
        <v>360</v>
      </c>
      <c r="E584" t="s">
        <v>446</v>
      </c>
    </row>
    <row r="585" spans="2:5">
      <c r="B585" t="s">
        <v>1265</v>
      </c>
      <c r="C585">
        <v>500052</v>
      </c>
      <c r="D585" t="s">
        <v>1266</v>
      </c>
      <c r="E585" t="s">
        <v>520</v>
      </c>
    </row>
    <row r="586" spans="2:5">
      <c r="B586" t="s">
        <v>1267</v>
      </c>
      <c r="C586">
        <v>531862</v>
      </c>
      <c r="D586" t="s">
        <v>360</v>
      </c>
      <c r="E586" t="s">
        <v>868</v>
      </c>
    </row>
    <row r="587" spans="2:5">
      <c r="B587" t="s">
        <v>1268</v>
      </c>
      <c r="C587">
        <v>511501</v>
      </c>
      <c r="D587" t="s">
        <v>360</v>
      </c>
      <c r="E587" t="s">
        <v>343</v>
      </c>
    </row>
    <row r="588" spans="2:5">
      <c r="B588" t="s">
        <v>1269</v>
      </c>
      <c r="C588">
        <v>503960</v>
      </c>
      <c r="D588" t="s">
        <v>1270</v>
      </c>
      <c r="E588" t="s">
        <v>658</v>
      </c>
    </row>
    <row r="589" spans="2:5">
      <c r="B589" t="s">
        <v>1271</v>
      </c>
      <c r="C589">
        <v>541143</v>
      </c>
      <c r="D589" t="s">
        <v>1272</v>
      </c>
      <c r="E589" t="s">
        <v>833</v>
      </c>
    </row>
    <row r="590" spans="2:5">
      <c r="B590" t="s">
        <v>1273</v>
      </c>
      <c r="C590">
        <v>500049</v>
      </c>
      <c r="D590" t="s">
        <v>1274</v>
      </c>
      <c r="E590" t="s">
        <v>833</v>
      </c>
    </row>
    <row r="591" spans="2:5">
      <c r="B591" t="s">
        <v>1275</v>
      </c>
      <c r="C591">
        <v>533228</v>
      </c>
      <c r="D591" t="s">
        <v>1276</v>
      </c>
      <c r="E591" t="s">
        <v>377</v>
      </c>
    </row>
    <row r="592" spans="2:5">
      <c r="B592" t="s">
        <v>1277</v>
      </c>
      <c r="C592">
        <v>500493</v>
      </c>
      <c r="D592" t="s">
        <v>1278</v>
      </c>
      <c r="E592" t="s">
        <v>1279</v>
      </c>
    </row>
    <row r="593" spans="2:5">
      <c r="B593" t="s">
        <v>1280</v>
      </c>
      <c r="C593">
        <v>505688</v>
      </c>
      <c r="D593" t="s">
        <v>1281</v>
      </c>
      <c r="E593" t="s">
        <v>715</v>
      </c>
    </row>
    <row r="594" spans="2:5">
      <c r="B594" t="s">
        <v>1282</v>
      </c>
      <c r="C594">
        <v>500103</v>
      </c>
      <c r="D594" t="s">
        <v>1283</v>
      </c>
      <c r="E594" t="s">
        <v>403</v>
      </c>
    </row>
    <row r="595" spans="2:5">
      <c r="B595" t="s">
        <v>1284</v>
      </c>
      <c r="C595">
        <v>524663</v>
      </c>
      <c r="D595" t="s">
        <v>360</v>
      </c>
      <c r="E595" t="s">
        <v>398</v>
      </c>
    </row>
    <row r="596" spans="2:5">
      <c r="B596" t="s">
        <v>1285</v>
      </c>
      <c r="C596">
        <v>541096</v>
      </c>
      <c r="D596" t="s">
        <v>360</v>
      </c>
      <c r="E596" t="s">
        <v>398</v>
      </c>
    </row>
    <row r="597" spans="2:5">
      <c r="B597" t="s">
        <v>1286</v>
      </c>
      <c r="C597">
        <v>500547</v>
      </c>
      <c r="D597" t="s">
        <v>1287</v>
      </c>
      <c r="E597" t="s">
        <v>1288</v>
      </c>
    </row>
    <row r="598" spans="2:5">
      <c r="B598" t="s">
        <v>1289</v>
      </c>
      <c r="C598">
        <v>590021</v>
      </c>
      <c r="D598" t="s">
        <v>1290</v>
      </c>
      <c r="E598" t="s">
        <v>504</v>
      </c>
    </row>
    <row r="599" spans="2:5">
      <c r="B599" t="s">
        <v>1291</v>
      </c>
      <c r="C599">
        <v>540700</v>
      </c>
      <c r="D599" t="s">
        <v>1292</v>
      </c>
      <c r="E599" t="s">
        <v>955</v>
      </c>
    </row>
    <row r="600" spans="2:5">
      <c r="B600" t="s">
        <v>1293</v>
      </c>
      <c r="C600">
        <v>523229</v>
      </c>
      <c r="D600" t="s">
        <v>360</v>
      </c>
      <c r="E600" t="s">
        <v>715</v>
      </c>
    </row>
    <row r="601" spans="2:5">
      <c r="B601" t="s">
        <v>1294</v>
      </c>
      <c r="C601">
        <v>531029</v>
      </c>
      <c r="D601" t="s">
        <v>360</v>
      </c>
      <c r="E601" t="s">
        <v>382</v>
      </c>
    </row>
    <row r="602" spans="2:5">
      <c r="B602" t="s">
        <v>1295</v>
      </c>
      <c r="C602">
        <v>539799</v>
      </c>
      <c r="D602" t="s">
        <v>1296</v>
      </c>
      <c r="E602" t="s">
        <v>683</v>
      </c>
    </row>
    <row r="603" spans="2:5">
      <c r="B603" t="s">
        <v>1297</v>
      </c>
      <c r="C603">
        <v>532609</v>
      </c>
      <c r="D603" t="s">
        <v>1298</v>
      </c>
      <c r="E603" t="s">
        <v>438</v>
      </c>
    </row>
    <row r="604" spans="2:5">
      <c r="B604" t="s">
        <v>1299</v>
      </c>
      <c r="C604">
        <v>533499</v>
      </c>
      <c r="D604" t="s">
        <v>1300</v>
      </c>
      <c r="E604" t="s">
        <v>346</v>
      </c>
    </row>
    <row r="605" spans="2:5">
      <c r="B605" t="s">
        <v>1301</v>
      </c>
      <c r="C605">
        <v>532454</v>
      </c>
      <c r="D605" t="s">
        <v>1302</v>
      </c>
      <c r="E605" t="s">
        <v>1303</v>
      </c>
    </row>
    <row r="606" spans="2:5">
      <c r="B606" t="s">
        <v>1304</v>
      </c>
      <c r="C606">
        <v>534816</v>
      </c>
      <c r="D606" t="s">
        <v>1305</v>
      </c>
      <c r="E606" t="s">
        <v>1306</v>
      </c>
    </row>
    <row r="607" spans="2:5">
      <c r="B607" t="s">
        <v>1307</v>
      </c>
      <c r="C607">
        <v>526666</v>
      </c>
      <c r="D607" t="s">
        <v>1308</v>
      </c>
      <c r="E607" t="s">
        <v>474</v>
      </c>
    </row>
    <row r="608" spans="2:5">
      <c r="B608" t="s">
        <v>1309</v>
      </c>
      <c r="C608">
        <v>524534</v>
      </c>
      <c r="D608" t="s">
        <v>360</v>
      </c>
      <c r="E608" t="s">
        <v>504</v>
      </c>
    </row>
    <row r="609" spans="2:5">
      <c r="B609" t="s">
        <v>1310</v>
      </c>
      <c r="C609">
        <v>540956</v>
      </c>
      <c r="D609" t="s">
        <v>360</v>
      </c>
      <c r="E609" t="s">
        <v>361</v>
      </c>
    </row>
    <row r="610" spans="2:5">
      <c r="B610" t="s">
        <v>1311</v>
      </c>
      <c r="C610">
        <v>540956</v>
      </c>
      <c r="D610" t="s">
        <v>360</v>
      </c>
      <c r="E610" t="s">
        <v>361</v>
      </c>
    </row>
    <row r="611" spans="2:5">
      <c r="B611" t="s">
        <v>1312</v>
      </c>
      <c r="C611">
        <v>514272</v>
      </c>
      <c r="D611" t="s">
        <v>360</v>
      </c>
      <c r="E611" t="s">
        <v>375</v>
      </c>
    </row>
    <row r="612" spans="2:5">
      <c r="B612" t="s">
        <v>1313</v>
      </c>
      <c r="C612">
        <v>533108</v>
      </c>
      <c r="D612" t="s">
        <v>360</v>
      </c>
      <c r="E612" t="s">
        <v>375</v>
      </c>
    </row>
    <row r="613" spans="2:5">
      <c r="B613" t="s">
        <v>1314</v>
      </c>
      <c r="C613">
        <v>506027</v>
      </c>
      <c r="D613" t="s">
        <v>360</v>
      </c>
      <c r="E613" t="s">
        <v>665</v>
      </c>
    </row>
    <row r="614" spans="2:5">
      <c r="B614" t="s">
        <v>1315</v>
      </c>
      <c r="C614">
        <v>500055</v>
      </c>
      <c r="D614" t="s">
        <v>1316</v>
      </c>
      <c r="E614" t="s">
        <v>392</v>
      </c>
    </row>
    <row r="615" spans="2:5">
      <c r="B615" t="s">
        <v>1317</v>
      </c>
      <c r="C615">
        <v>540061</v>
      </c>
      <c r="D615" t="s">
        <v>1318</v>
      </c>
      <c r="E615" t="s">
        <v>373</v>
      </c>
    </row>
    <row r="616" spans="2:5">
      <c r="B616" t="s">
        <v>1319</v>
      </c>
      <c r="C616">
        <v>500058</v>
      </c>
      <c r="D616" t="s">
        <v>360</v>
      </c>
      <c r="E616" t="s">
        <v>392</v>
      </c>
    </row>
    <row r="617" spans="2:5">
      <c r="B617" t="s">
        <v>1320</v>
      </c>
      <c r="C617">
        <v>524723</v>
      </c>
      <c r="D617" t="s">
        <v>360</v>
      </c>
      <c r="E617" t="s">
        <v>382</v>
      </c>
    </row>
    <row r="618" spans="2:5">
      <c r="B618" t="s">
        <v>1321</v>
      </c>
      <c r="C618">
        <v>533321</v>
      </c>
      <c r="D618" t="s">
        <v>1322</v>
      </c>
      <c r="E618" t="s">
        <v>658</v>
      </c>
    </row>
    <row r="619" spans="2:5">
      <c r="B619" t="s">
        <v>1323</v>
      </c>
      <c r="C619">
        <v>526853</v>
      </c>
      <c r="D619" t="s">
        <v>360</v>
      </c>
      <c r="E619" t="s">
        <v>1324</v>
      </c>
    </row>
    <row r="620" spans="2:5">
      <c r="B620" t="s">
        <v>1325</v>
      </c>
      <c r="C620">
        <v>505681</v>
      </c>
      <c r="D620" t="s">
        <v>360</v>
      </c>
      <c r="E620" t="s">
        <v>715</v>
      </c>
    </row>
    <row r="621" spans="2:5">
      <c r="B621" t="s">
        <v>1326</v>
      </c>
      <c r="C621">
        <v>500059</v>
      </c>
      <c r="D621" t="s">
        <v>1327</v>
      </c>
      <c r="E621" t="s">
        <v>526</v>
      </c>
    </row>
    <row r="622" spans="2:5">
      <c r="B622" t="s">
        <v>1328</v>
      </c>
      <c r="C622">
        <v>523054</v>
      </c>
      <c r="D622" t="s">
        <v>360</v>
      </c>
      <c r="E622" t="s">
        <v>375</v>
      </c>
    </row>
    <row r="623" spans="2:5">
      <c r="B623" t="s">
        <v>1329</v>
      </c>
      <c r="C623">
        <v>540148</v>
      </c>
      <c r="D623" t="s">
        <v>360</v>
      </c>
      <c r="E623" t="s">
        <v>474</v>
      </c>
    </row>
    <row r="624" spans="2:5">
      <c r="B624" t="s">
        <v>1330</v>
      </c>
      <c r="C624">
        <v>514215</v>
      </c>
      <c r="D624" t="s">
        <v>360</v>
      </c>
      <c r="E624" t="s">
        <v>375</v>
      </c>
    </row>
    <row r="625" spans="2:5">
      <c r="B625" t="s">
        <v>1331</v>
      </c>
      <c r="C625">
        <v>535620</v>
      </c>
      <c r="D625" t="s">
        <v>360</v>
      </c>
      <c r="E625" t="s">
        <v>382</v>
      </c>
    </row>
    <row r="626" spans="2:5">
      <c r="B626" t="s">
        <v>1332</v>
      </c>
      <c r="C626">
        <v>534535</v>
      </c>
      <c r="D626" t="s">
        <v>360</v>
      </c>
      <c r="E626" t="s">
        <v>354</v>
      </c>
    </row>
    <row r="627" spans="2:5">
      <c r="B627" t="s">
        <v>1333</v>
      </c>
      <c r="C627">
        <v>532523</v>
      </c>
      <c r="D627" t="s">
        <v>1334</v>
      </c>
      <c r="E627" t="s">
        <v>698</v>
      </c>
    </row>
    <row r="628" spans="2:5">
      <c r="B628" t="s">
        <v>1335</v>
      </c>
      <c r="C628">
        <v>524396</v>
      </c>
      <c r="D628" t="s">
        <v>1336</v>
      </c>
      <c r="E628" t="s">
        <v>398</v>
      </c>
    </row>
    <row r="629" spans="2:5">
      <c r="B629" t="s">
        <v>1337</v>
      </c>
      <c r="C629">
        <v>532330</v>
      </c>
      <c r="D629" t="s">
        <v>360</v>
      </c>
      <c r="E629" t="s">
        <v>480</v>
      </c>
    </row>
    <row r="630" spans="2:5">
      <c r="B630" t="s">
        <v>1338</v>
      </c>
      <c r="C630">
        <v>538364</v>
      </c>
      <c r="D630" t="s">
        <v>360</v>
      </c>
      <c r="E630" t="s">
        <v>375</v>
      </c>
    </row>
    <row r="631" spans="2:5">
      <c r="B631" t="s">
        <v>1339</v>
      </c>
      <c r="C631">
        <v>500060</v>
      </c>
      <c r="D631" t="s">
        <v>1340</v>
      </c>
      <c r="E631" t="s">
        <v>658</v>
      </c>
    </row>
    <row r="632" spans="2:5">
      <c r="B632" t="s">
        <v>1341</v>
      </c>
      <c r="C632">
        <v>500335</v>
      </c>
      <c r="D632" t="s">
        <v>1342</v>
      </c>
      <c r="E632" t="s">
        <v>373</v>
      </c>
    </row>
    <row r="633" spans="2:5">
      <c r="B633" t="s">
        <v>1343</v>
      </c>
      <c r="C633">
        <v>533006</v>
      </c>
      <c r="D633" t="s">
        <v>360</v>
      </c>
      <c r="E633" t="s">
        <v>375</v>
      </c>
    </row>
    <row r="634" spans="2:5">
      <c r="B634" t="s">
        <v>1344</v>
      </c>
      <c r="C634">
        <v>533006</v>
      </c>
      <c r="D634" t="s">
        <v>360</v>
      </c>
      <c r="E634" t="s">
        <v>375</v>
      </c>
    </row>
    <row r="635" spans="2:5">
      <c r="B635" t="s">
        <v>1345</v>
      </c>
      <c r="C635">
        <v>522105</v>
      </c>
      <c r="D635" t="s">
        <v>360</v>
      </c>
      <c r="E635" t="s">
        <v>368</v>
      </c>
    </row>
    <row r="636" spans="2:5">
      <c r="B636" t="s">
        <v>1346</v>
      </c>
      <c r="C636">
        <v>533408</v>
      </c>
      <c r="D636" t="s">
        <v>1347</v>
      </c>
      <c r="E636" t="s">
        <v>343</v>
      </c>
    </row>
    <row r="637" spans="2:5">
      <c r="B637" t="s">
        <v>1348</v>
      </c>
      <c r="C637" t="s">
        <v>360</v>
      </c>
      <c r="D637" t="s">
        <v>1349</v>
      </c>
      <c r="E637" t="s">
        <v>346</v>
      </c>
    </row>
    <row r="638" spans="2:5">
      <c r="B638" t="s">
        <v>1350</v>
      </c>
      <c r="C638">
        <v>539043</v>
      </c>
      <c r="D638" t="s">
        <v>1351</v>
      </c>
      <c r="E638" t="s">
        <v>555</v>
      </c>
    </row>
    <row r="639" spans="2:5">
      <c r="B639" t="s">
        <v>1352</v>
      </c>
      <c r="C639">
        <v>514183</v>
      </c>
      <c r="D639" t="s">
        <v>360</v>
      </c>
      <c r="E639" t="s">
        <v>520</v>
      </c>
    </row>
    <row r="640" spans="2:5">
      <c r="B640" t="s">
        <v>1353</v>
      </c>
      <c r="C640">
        <v>532290</v>
      </c>
      <c r="D640" t="s">
        <v>1354</v>
      </c>
      <c r="E640" t="s">
        <v>343</v>
      </c>
    </row>
    <row r="641" spans="2:5">
      <c r="B641" t="s">
        <v>1355</v>
      </c>
      <c r="C641">
        <v>506197</v>
      </c>
      <c r="D641" t="s">
        <v>1356</v>
      </c>
      <c r="E641" t="s">
        <v>398</v>
      </c>
    </row>
    <row r="642" spans="2:5">
      <c r="B642" t="s">
        <v>1357</v>
      </c>
      <c r="C642">
        <v>526225</v>
      </c>
      <c r="D642" t="s">
        <v>360</v>
      </c>
      <c r="E642" t="s">
        <v>480</v>
      </c>
    </row>
    <row r="643" spans="2:5">
      <c r="B643" t="s">
        <v>1358</v>
      </c>
      <c r="C643">
        <v>513422</v>
      </c>
      <c r="D643" t="s">
        <v>360</v>
      </c>
      <c r="E643" t="s">
        <v>392</v>
      </c>
    </row>
    <row r="644" spans="2:5">
      <c r="B644" t="s">
        <v>1359</v>
      </c>
      <c r="C644">
        <v>531175</v>
      </c>
      <c r="D644" t="s">
        <v>360</v>
      </c>
      <c r="E644" t="s">
        <v>453</v>
      </c>
    </row>
    <row r="645" spans="2:5">
      <c r="B645" t="s">
        <v>1360</v>
      </c>
      <c r="C645">
        <v>540073</v>
      </c>
      <c r="D645" t="s">
        <v>1361</v>
      </c>
      <c r="E645" t="s">
        <v>1362</v>
      </c>
    </row>
    <row r="646" spans="2:5">
      <c r="B646" t="s">
        <v>1363</v>
      </c>
      <c r="C646">
        <v>502761</v>
      </c>
      <c r="D646" t="s">
        <v>360</v>
      </c>
      <c r="E646" t="s">
        <v>375</v>
      </c>
    </row>
    <row r="647" spans="2:5">
      <c r="B647" t="s">
        <v>1364</v>
      </c>
      <c r="C647" t="s">
        <v>360</v>
      </c>
      <c r="D647" t="s">
        <v>1365</v>
      </c>
      <c r="E647" t="s">
        <v>451</v>
      </c>
    </row>
    <row r="648" spans="2:5">
      <c r="B648" t="s">
        <v>1366</v>
      </c>
      <c r="C648">
        <v>502761</v>
      </c>
      <c r="D648" t="s">
        <v>360</v>
      </c>
      <c r="E648" t="s">
        <v>375</v>
      </c>
    </row>
    <row r="649" spans="2:5">
      <c r="B649" t="s">
        <v>1367</v>
      </c>
      <c r="C649">
        <v>506981</v>
      </c>
      <c r="D649" t="s">
        <v>360</v>
      </c>
      <c r="E649" t="s">
        <v>375</v>
      </c>
    </row>
    <row r="650" spans="2:5">
      <c r="B650" t="s">
        <v>1368</v>
      </c>
      <c r="C650">
        <v>508939</v>
      </c>
      <c r="D650" t="s">
        <v>360</v>
      </c>
      <c r="E650" t="s">
        <v>377</v>
      </c>
    </row>
    <row r="651" spans="2:5">
      <c r="B651" t="s">
        <v>1369</v>
      </c>
      <c r="C651">
        <v>539607</v>
      </c>
      <c r="D651" t="s">
        <v>360</v>
      </c>
      <c r="E651" t="s">
        <v>453</v>
      </c>
    </row>
    <row r="652" spans="2:5">
      <c r="B652" t="s">
        <v>1370</v>
      </c>
      <c r="C652">
        <v>531495</v>
      </c>
      <c r="D652" t="s">
        <v>1371</v>
      </c>
      <c r="E652" t="s">
        <v>561</v>
      </c>
    </row>
    <row r="653" spans="2:5">
      <c r="B653" t="s">
        <v>1372</v>
      </c>
      <c r="C653">
        <v>526612</v>
      </c>
      <c r="D653" t="s">
        <v>1373</v>
      </c>
      <c r="E653" t="s">
        <v>681</v>
      </c>
    </row>
    <row r="654" spans="2:5">
      <c r="B654" t="s">
        <v>1374</v>
      </c>
      <c r="C654">
        <v>514440</v>
      </c>
      <c r="D654" t="s">
        <v>360</v>
      </c>
      <c r="E654" t="s">
        <v>408</v>
      </c>
    </row>
    <row r="655" spans="2:5">
      <c r="B655" t="s">
        <v>1375</v>
      </c>
      <c r="C655">
        <v>500067</v>
      </c>
      <c r="D655" t="s">
        <v>1376</v>
      </c>
      <c r="E655" t="s">
        <v>729</v>
      </c>
    </row>
    <row r="656" spans="2:5">
      <c r="B656" t="s">
        <v>1377</v>
      </c>
      <c r="C656">
        <v>539637</v>
      </c>
      <c r="D656" t="s">
        <v>360</v>
      </c>
      <c r="E656" t="s">
        <v>343</v>
      </c>
    </row>
    <row r="657" spans="2:5">
      <c r="B657" t="s">
        <v>1378</v>
      </c>
      <c r="C657">
        <v>531713</v>
      </c>
      <c r="D657" t="s">
        <v>360</v>
      </c>
      <c r="E657" t="s">
        <v>781</v>
      </c>
    </row>
    <row r="658" spans="2:5">
      <c r="B658" t="s">
        <v>1379</v>
      </c>
      <c r="C658">
        <v>531420</v>
      </c>
      <c r="D658" t="s">
        <v>360</v>
      </c>
      <c r="E658" t="s">
        <v>363</v>
      </c>
    </row>
    <row r="659" spans="2:5">
      <c r="B659" t="s">
        <v>1380</v>
      </c>
      <c r="C659">
        <v>542669</v>
      </c>
      <c r="D659" t="s">
        <v>1381</v>
      </c>
      <c r="E659" t="s">
        <v>478</v>
      </c>
    </row>
    <row r="660" spans="2:5">
      <c r="B660" t="s">
        <v>1382</v>
      </c>
      <c r="C660">
        <v>500069</v>
      </c>
      <c r="D660" t="s">
        <v>360</v>
      </c>
      <c r="E660" t="s">
        <v>343</v>
      </c>
    </row>
    <row r="661" spans="2:5">
      <c r="B661" t="s">
        <v>1383</v>
      </c>
      <c r="C661">
        <v>530809</v>
      </c>
      <c r="D661" t="s">
        <v>360</v>
      </c>
      <c r="E661" t="s">
        <v>690</v>
      </c>
    </row>
    <row r="662" spans="2:5">
      <c r="B662" t="s">
        <v>1384</v>
      </c>
      <c r="C662">
        <v>524370</v>
      </c>
      <c r="D662" t="s">
        <v>1385</v>
      </c>
      <c r="E662" t="s">
        <v>520</v>
      </c>
    </row>
    <row r="663" spans="2:5">
      <c r="B663" t="s">
        <v>1386</v>
      </c>
      <c r="C663">
        <v>539122</v>
      </c>
      <c r="D663" t="s">
        <v>360</v>
      </c>
      <c r="E663" t="s">
        <v>346</v>
      </c>
    </row>
    <row r="664" spans="2:5">
      <c r="B664" t="s">
        <v>1387</v>
      </c>
      <c r="C664" t="s">
        <v>360</v>
      </c>
      <c r="D664" t="s">
        <v>1388</v>
      </c>
      <c r="E664" t="s">
        <v>371</v>
      </c>
    </row>
    <row r="665" spans="2:5">
      <c r="B665" t="s">
        <v>1389</v>
      </c>
      <c r="C665">
        <v>501425</v>
      </c>
      <c r="D665" t="s">
        <v>1390</v>
      </c>
      <c r="E665" t="s">
        <v>767</v>
      </c>
    </row>
    <row r="666" spans="2:5">
      <c r="B666" t="s">
        <v>1391</v>
      </c>
      <c r="C666">
        <v>501430</v>
      </c>
      <c r="D666" t="s">
        <v>360</v>
      </c>
      <c r="E666" t="s">
        <v>382</v>
      </c>
    </row>
    <row r="667" spans="2:5">
      <c r="B667" t="s">
        <v>1392</v>
      </c>
      <c r="C667">
        <v>500020</v>
      </c>
      <c r="D667" t="s">
        <v>1393</v>
      </c>
      <c r="E667" t="s">
        <v>375</v>
      </c>
    </row>
    <row r="668" spans="2:5">
      <c r="B668" t="s">
        <v>1394</v>
      </c>
      <c r="C668">
        <v>509470</v>
      </c>
      <c r="D668" t="s">
        <v>360</v>
      </c>
      <c r="E668" t="s">
        <v>1395</v>
      </c>
    </row>
    <row r="669" spans="2:5">
      <c r="B669" t="s">
        <v>1396</v>
      </c>
      <c r="C669">
        <v>502216</v>
      </c>
      <c r="D669" t="s">
        <v>360</v>
      </c>
      <c r="E669" t="s">
        <v>446</v>
      </c>
    </row>
    <row r="670" spans="2:5">
      <c r="B670" t="s">
        <v>1397</v>
      </c>
      <c r="C670">
        <v>532678</v>
      </c>
      <c r="D670" t="s">
        <v>1398</v>
      </c>
      <c r="E670" t="s">
        <v>375</v>
      </c>
    </row>
    <row r="671" spans="2:5">
      <c r="B671" t="s">
        <v>1399</v>
      </c>
      <c r="C671" t="s">
        <v>360</v>
      </c>
      <c r="D671" t="s">
        <v>1400</v>
      </c>
      <c r="E671" t="s">
        <v>371</v>
      </c>
    </row>
    <row r="672" spans="2:5">
      <c r="B672" t="s">
        <v>1401</v>
      </c>
      <c r="C672">
        <v>504648</v>
      </c>
      <c r="D672" t="s">
        <v>360</v>
      </c>
      <c r="E672" t="s">
        <v>683</v>
      </c>
    </row>
    <row r="673" spans="2:5">
      <c r="B673" t="s">
        <v>1402</v>
      </c>
      <c r="C673">
        <v>523133</v>
      </c>
      <c r="D673" t="s">
        <v>360</v>
      </c>
      <c r="E673" t="s">
        <v>375</v>
      </c>
    </row>
    <row r="674" spans="2:5">
      <c r="B674" t="s">
        <v>1403</v>
      </c>
      <c r="C674">
        <v>502219</v>
      </c>
      <c r="D674" t="s">
        <v>1404</v>
      </c>
      <c r="E674" t="s">
        <v>1405</v>
      </c>
    </row>
    <row r="675" spans="2:5">
      <c r="B675" t="s">
        <v>1406</v>
      </c>
      <c r="C675">
        <v>500530</v>
      </c>
      <c r="D675" t="s">
        <v>1407</v>
      </c>
      <c r="E675" t="s">
        <v>715</v>
      </c>
    </row>
    <row r="676" spans="2:5">
      <c r="B676" t="s">
        <v>1408</v>
      </c>
      <c r="C676">
        <v>536820</v>
      </c>
      <c r="D676" t="s">
        <v>360</v>
      </c>
      <c r="E676" t="s">
        <v>453</v>
      </c>
    </row>
    <row r="677" spans="2:5">
      <c r="B677" t="s">
        <v>1409</v>
      </c>
      <c r="C677">
        <v>536820</v>
      </c>
      <c r="D677" t="s">
        <v>360</v>
      </c>
      <c r="E677" t="s">
        <v>453</v>
      </c>
    </row>
    <row r="678" spans="2:5">
      <c r="B678" t="s">
        <v>1410</v>
      </c>
      <c r="C678">
        <v>535279</v>
      </c>
      <c r="D678" t="s">
        <v>360</v>
      </c>
      <c r="E678" t="s">
        <v>665</v>
      </c>
    </row>
    <row r="679" spans="2:5">
      <c r="B679" t="s">
        <v>1411</v>
      </c>
      <c r="C679">
        <v>500074</v>
      </c>
      <c r="D679" t="s">
        <v>1412</v>
      </c>
      <c r="E679" t="s">
        <v>729</v>
      </c>
    </row>
    <row r="680" spans="2:5">
      <c r="B680" t="s">
        <v>1413</v>
      </c>
      <c r="C680">
        <v>505690</v>
      </c>
      <c r="D680" t="s">
        <v>360</v>
      </c>
      <c r="E680" t="s">
        <v>438</v>
      </c>
    </row>
    <row r="681" spans="2:5">
      <c r="B681" t="s">
        <v>1414</v>
      </c>
      <c r="C681">
        <v>535693</v>
      </c>
      <c r="D681" t="s">
        <v>360</v>
      </c>
      <c r="E681" t="s">
        <v>758</v>
      </c>
    </row>
    <row r="682" spans="2:5">
      <c r="B682" t="s">
        <v>1415</v>
      </c>
      <c r="C682" t="s">
        <v>360</v>
      </c>
      <c r="D682" t="s">
        <v>1416</v>
      </c>
      <c r="E682" t="s">
        <v>371</v>
      </c>
    </row>
    <row r="683" spans="2:5">
      <c r="B683" t="s">
        <v>1417</v>
      </c>
      <c r="C683">
        <v>531203</v>
      </c>
      <c r="D683" t="s">
        <v>360</v>
      </c>
      <c r="E683" t="s">
        <v>444</v>
      </c>
    </row>
    <row r="684" spans="2:5">
      <c r="B684" t="s">
        <v>1418</v>
      </c>
      <c r="C684">
        <v>530207</v>
      </c>
      <c r="D684" t="s">
        <v>360</v>
      </c>
      <c r="E684" t="s">
        <v>398</v>
      </c>
    </row>
    <row r="685" spans="2:5">
      <c r="B685" t="s">
        <v>1419</v>
      </c>
      <c r="C685">
        <v>530249</v>
      </c>
      <c r="D685" t="s">
        <v>360</v>
      </c>
      <c r="E685" t="s">
        <v>343</v>
      </c>
    </row>
    <row r="686" spans="2:5">
      <c r="B686" t="s">
        <v>1420</v>
      </c>
      <c r="C686">
        <v>532929</v>
      </c>
      <c r="D686" t="s">
        <v>1421</v>
      </c>
      <c r="E686" t="s">
        <v>446</v>
      </c>
    </row>
    <row r="687" spans="2:5">
      <c r="B687" t="s">
        <v>1422</v>
      </c>
      <c r="C687">
        <v>526731</v>
      </c>
      <c r="D687" t="s">
        <v>360</v>
      </c>
      <c r="E687" t="s">
        <v>555</v>
      </c>
    </row>
    <row r="688" spans="2:5">
      <c r="B688" t="s">
        <v>1423</v>
      </c>
      <c r="C688" t="s">
        <v>360</v>
      </c>
      <c r="D688" t="s">
        <v>1424</v>
      </c>
      <c r="E688" t="s">
        <v>371</v>
      </c>
    </row>
    <row r="689" spans="2:5">
      <c r="B689" t="s">
        <v>1425</v>
      </c>
      <c r="C689">
        <v>532368</v>
      </c>
      <c r="D689" t="s">
        <v>1426</v>
      </c>
      <c r="E689" t="s">
        <v>453</v>
      </c>
    </row>
    <row r="690" spans="2:5">
      <c r="B690" t="s">
        <v>1427</v>
      </c>
      <c r="C690">
        <v>532113</v>
      </c>
      <c r="D690" t="s">
        <v>1428</v>
      </c>
      <c r="E690" t="s">
        <v>377</v>
      </c>
    </row>
    <row r="691" spans="2:5">
      <c r="B691" t="s">
        <v>1429</v>
      </c>
      <c r="C691">
        <v>539434</v>
      </c>
      <c r="D691" t="s">
        <v>360</v>
      </c>
      <c r="E691" t="s">
        <v>377</v>
      </c>
    </row>
    <row r="692" spans="2:5">
      <c r="B692" t="s">
        <v>1430</v>
      </c>
      <c r="C692">
        <v>500825</v>
      </c>
      <c r="D692" t="s">
        <v>1431</v>
      </c>
      <c r="E692" t="s">
        <v>420</v>
      </c>
    </row>
    <row r="693" spans="2:5">
      <c r="B693" t="s">
        <v>1432</v>
      </c>
      <c r="C693">
        <v>534731</v>
      </c>
      <c r="D693" t="s">
        <v>360</v>
      </c>
      <c r="E693" t="s">
        <v>758</v>
      </c>
    </row>
    <row r="694" spans="2:5">
      <c r="B694" t="s">
        <v>1433</v>
      </c>
      <c r="C694">
        <v>533543</v>
      </c>
      <c r="D694" t="s">
        <v>1434</v>
      </c>
      <c r="E694" t="s">
        <v>398</v>
      </c>
    </row>
    <row r="695" spans="2:5">
      <c r="B695" t="s">
        <v>1435</v>
      </c>
      <c r="C695" t="s">
        <v>360</v>
      </c>
      <c r="D695" t="s">
        <v>335</v>
      </c>
      <c r="E695" t="s">
        <v>451</v>
      </c>
    </row>
    <row r="696" spans="2:5">
      <c r="B696" t="s">
        <v>1436</v>
      </c>
      <c r="C696">
        <v>532123</v>
      </c>
      <c r="D696" t="s">
        <v>1437</v>
      </c>
      <c r="E696" t="s">
        <v>446</v>
      </c>
    </row>
    <row r="697" spans="2:5">
      <c r="B697" t="s">
        <v>1438</v>
      </c>
      <c r="C697">
        <v>514045</v>
      </c>
      <c r="D697" t="s">
        <v>1439</v>
      </c>
      <c r="E697" t="s">
        <v>375</v>
      </c>
    </row>
    <row r="698" spans="2:5">
      <c r="B698" t="s">
        <v>1440</v>
      </c>
      <c r="C698">
        <v>538789</v>
      </c>
      <c r="D698" t="s">
        <v>360</v>
      </c>
      <c r="E698" t="s">
        <v>597</v>
      </c>
    </row>
    <row r="699" spans="2:5">
      <c r="B699" t="s">
        <v>1441</v>
      </c>
      <c r="C699">
        <v>540006</v>
      </c>
      <c r="D699" t="s">
        <v>360</v>
      </c>
      <c r="E699" t="s">
        <v>343</v>
      </c>
    </row>
    <row r="700" spans="2:5">
      <c r="B700" t="s">
        <v>1442</v>
      </c>
      <c r="C700">
        <v>532931</v>
      </c>
      <c r="D700" t="s">
        <v>1443</v>
      </c>
      <c r="E700" t="s">
        <v>373</v>
      </c>
    </row>
    <row r="701" spans="2:5">
      <c r="B701" t="s">
        <v>1444</v>
      </c>
      <c r="C701">
        <v>517421</v>
      </c>
      <c r="D701" t="s">
        <v>1445</v>
      </c>
      <c r="E701" t="s">
        <v>1124</v>
      </c>
    </row>
    <row r="702" spans="2:5">
      <c r="B702" t="s">
        <v>1446</v>
      </c>
      <c r="C702">
        <v>504643</v>
      </c>
      <c r="D702" t="s">
        <v>360</v>
      </c>
      <c r="E702" t="s">
        <v>683</v>
      </c>
    </row>
    <row r="703" spans="2:5">
      <c r="B703" t="s">
        <v>1447</v>
      </c>
      <c r="C703">
        <v>532813</v>
      </c>
      <c r="D703" t="s">
        <v>1448</v>
      </c>
      <c r="E703" t="s">
        <v>758</v>
      </c>
    </row>
    <row r="704" spans="2:5">
      <c r="B704" t="s">
        <v>1449</v>
      </c>
      <c r="C704">
        <v>507515</v>
      </c>
      <c r="D704" t="s">
        <v>360</v>
      </c>
      <c r="E704" t="s">
        <v>520</v>
      </c>
    </row>
    <row r="705" spans="2:5">
      <c r="B705" t="s">
        <v>1450</v>
      </c>
      <c r="C705">
        <v>532321</v>
      </c>
      <c r="D705" t="s">
        <v>1451</v>
      </c>
      <c r="E705" t="s">
        <v>398</v>
      </c>
    </row>
    <row r="706" spans="2:5">
      <c r="B706" t="s">
        <v>1452</v>
      </c>
      <c r="C706" t="s">
        <v>360</v>
      </c>
      <c r="D706" t="s">
        <v>1453</v>
      </c>
      <c r="E706" t="s">
        <v>371</v>
      </c>
    </row>
    <row r="707" spans="2:5">
      <c r="B707" t="s">
        <v>1454</v>
      </c>
      <c r="C707" t="s">
        <v>360</v>
      </c>
      <c r="D707" t="s">
        <v>1453</v>
      </c>
      <c r="E707" t="s">
        <v>371</v>
      </c>
    </row>
    <row r="708" spans="2:5">
      <c r="B708" t="s">
        <v>1455</v>
      </c>
      <c r="C708">
        <v>517236</v>
      </c>
      <c r="D708" t="s">
        <v>360</v>
      </c>
      <c r="E708" t="s">
        <v>729</v>
      </c>
    </row>
    <row r="709" spans="2:5">
      <c r="B709" t="s">
        <v>1456</v>
      </c>
      <c r="C709">
        <v>532386</v>
      </c>
      <c r="D709" t="s">
        <v>1457</v>
      </c>
      <c r="E709" t="s">
        <v>453</v>
      </c>
    </row>
    <row r="710" spans="2:5">
      <c r="B710" t="s">
        <v>1458</v>
      </c>
      <c r="C710">
        <v>532801</v>
      </c>
      <c r="D710" t="s">
        <v>1459</v>
      </c>
      <c r="E710" t="s">
        <v>453</v>
      </c>
    </row>
    <row r="711" spans="2:5">
      <c r="B711" t="s">
        <v>1460</v>
      </c>
      <c r="C711">
        <v>524440</v>
      </c>
      <c r="D711" t="s">
        <v>360</v>
      </c>
      <c r="E711" t="s">
        <v>408</v>
      </c>
    </row>
    <row r="712" spans="2:5">
      <c r="B712" t="s">
        <v>1461</v>
      </c>
      <c r="C712">
        <v>532834</v>
      </c>
      <c r="D712" t="s">
        <v>1462</v>
      </c>
      <c r="E712" t="s">
        <v>520</v>
      </c>
    </row>
    <row r="713" spans="2:5">
      <c r="B713" t="s">
        <v>1463</v>
      </c>
      <c r="C713">
        <v>538858</v>
      </c>
      <c r="D713" t="s">
        <v>360</v>
      </c>
      <c r="E713" t="s">
        <v>698</v>
      </c>
    </row>
    <row r="714" spans="2:5">
      <c r="B714" t="s">
        <v>1464</v>
      </c>
      <c r="C714">
        <v>540071</v>
      </c>
      <c r="D714" t="s">
        <v>360</v>
      </c>
      <c r="E714" t="s">
        <v>558</v>
      </c>
    </row>
    <row r="715" spans="2:5">
      <c r="B715" t="s">
        <v>1465</v>
      </c>
      <c r="C715">
        <v>511196</v>
      </c>
      <c r="D715" t="s">
        <v>1466</v>
      </c>
      <c r="E715" t="s">
        <v>418</v>
      </c>
    </row>
    <row r="716" spans="2:5">
      <c r="B716" t="s">
        <v>1467</v>
      </c>
      <c r="C716">
        <v>532483</v>
      </c>
      <c r="D716" t="s">
        <v>1468</v>
      </c>
      <c r="E716" t="s">
        <v>678</v>
      </c>
    </row>
    <row r="717" spans="2:5">
      <c r="B717" t="s">
        <v>1469</v>
      </c>
      <c r="C717">
        <v>539304</v>
      </c>
      <c r="D717" t="s">
        <v>360</v>
      </c>
      <c r="E717" t="s">
        <v>343</v>
      </c>
    </row>
    <row r="718" spans="2:5">
      <c r="B718" t="s">
        <v>1470</v>
      </c>
      <c r="C718">
        <v>533267</v>
      </c>
      <c r="D718" t="s">
        <v>1471</v>
      </c>
      <c r="E718" t="s">
        <v>474</v>
      </c>
    </row>
    <row r="719" spans="2:5">
      <c r="B719" t="s">
        <v>1472</v>
      </c>
      <c r="C719">
        <v>533267</v>
      </c>
      <c r="D719" t="s">
        <v>1471</v>
      </c>
      <c r="E719" t="s">
        <v>474</v>
      </c>
    </row>
    <row r="720" spans="2:5">
      <c r="B720" t="s">
        <v>1473</v>
      </c>
      <c r="C720">
        <v>540710</v>
      </c>
      <c r="D720" t="s">
        <v>1474</v>
      </c>
      <c r="E720" t="s">
        <v>446</v>
      </c>
    </row>
    <row r="721" spans="2:5">
      <c r="B721" t="s">
        <v>1475</v>
      </c>
      <c r="C721">
        <v>539198</v>
      </c>
      <c r="D721" t="s">
        <v>360</v>
      </c>
      <c r="E721" t="s">
        <v>343</v>
      </c>
    </row>
    <row r="722" spans="2:5">
      <c r="B722" t="s">
        <v>1476</v>
      </c>
      <c r="C722">
        <v>539198</v>
      </c>
      <c r="D722" t="s">
        <v>360</v>
      </c>
      <c r="E722" t="s">
        <v>343</v>
      </c>
    </row>
    <row r="723" spans="2:5">
      <c r="B723" t="s">
        <v>1477</v>
      </c>
      <c r="C723">
        <v>532938</v>
      </c>
      <c r="D723" t="s">
        <v>1478</v>
      </c>
      <c r="E723" t="s">
        <v>343</v>
      </c>
    </row>
    <row r="724" spans="2:5">
      <c r="B724" t="s">
        <v>1479</v>
      </c>
      <c r="C724">
        <v>530879</v>
      </c>
      <c r="D724" t="s">
        <v>360</v>
      </c>
      <c r="E724" t="s">
        <v>343</v>
      </c>
    </row>
    <row r="725" spans="2:5">
      <c r="B725" t="s">
        <v>1480</v>
      </c>
      <c r="C725">
        <v>538476</v>
      </c>
      <c r="D725" t="s">
        <v>360</v>
      </c>
      <c r="E725" t="s">
        <v>377</v>
      </c>
    </row>
    <row r="726" spans="2:5">
      <c r="B726" t="s">
        <v>1481</v>
      </c>
      <c r="C726">
        <v>511505</v>
      </c>
      <c r="D726" t="s">
        <v>1482</v>
      </c>
      <c r="E726" t="s">
        <v>377</v>
      </c>
    </row>
    <row r="727" spans="2:5">
      <c r="B727" t="s">
        <v>1483</v>
      </c>
      <c r="C727">
        <v>524742</v>
      </c>
      <c r="D727" t="s">
        <v>1484</v>
      </c>
      <c r="E727" t="s">
        <v>398</v>
      </c>
    </row>
    <row r="728" spans="2:5">
      <c r="B728" t="s">
        <v>1485</v>
      </c>
      <c r="C728">
        <v>531595</v>
      </c>
      <c r="D728" t="s">
        <v>1486</v>
      </c>
      <c r="E728" t="s">
        <v>377</v>
      </c>
    </row>
    <row r="729" spans="2:5">
      <c r="B729" t="s">
        <v>1487</v>
      </c>
      <c r="C729">
        <v>512169</v>
      </c>
      <c r="D729" t="s">
        <v>360</v>
      </c>
      <c r="E729" t="s">
        <v>781</v>
      </c>
    </row>
    <row r="730" spans="2:5">
      <c r="B730" t="s">
        <v>1488</v>
      </c>
      <c r="C730">
        <v>509486</v>
      </c>
      <c r="D730" t="s">
        <v>360</v>
      </c>
      <c r="E730" t="s">
        <v>480</v>
      </c>
    </row>
    <row r="731" spans="2:5">
      <c r="B731" t="s">
        <v>1489</v>
      </c>
      <c r="C731">
        <v>509486</v>
      </c>
      <c r="D731" t="s">
        <v>360</v>
      </c>
      <c r="E731" t="s">
        <v>480</v>
      </c>
    </row>
    <row r="732" spans="2:5">
      <c r="B732" t="s">
        <v>1490</v>
      </c>
      <c r="C732">
        <v>507486</v>
      </c>
      <c r="D732" t="s">
        <v>360</v>
      </c>
      <c r="E732" t="s">
        <v>408</v>
      </c>
    </row>
    <row r="733" spans="2:5">
      <c r="B733" t="s">
        <v>1491</v>
      </c>
      <c r="C733">
        <v>538817</v>
      </c>
      <c r="D733" t="s">
        <v>360</v>
      </c>
      <c r="E733" t="s">
        <v>480</v>
      </c>
    </row>
    <row r="734" spans="2:5">
      <c r="B734" t="s">
        <v>1492</v>
      </c>
      <c r="C734">
        <v>536974</v>
      </c>
      <c r="D734" t="s">
        <v>360</v>
      </c>
      <c r="E734" t="s">
        <v>480</v>
      </c>
    </row>
    <row r="735" spans="2:5">
      <c r="B735" t="s">
        <v>1493</v>
      </c>
      <c r="C735">
        <v>540652</v>
      </c>
      <c r="D735" t="s">
        <v>360</v>
      </c>
      <c r="E735" t="s">
        <v>545</v>
      </c>
    </row>
    <row r="736" spans="2:5">
      <c r="B736" t="s">
        <v>1494</v>
      </c>
      <c r="C736">
        <v>513375</v>
      </c>
      <c r="D736" t="s">
        <v>1495</v>
      </c>
      <c r="E736" t="s">
        <v>1279</v>
      </c>
    </row>
    <row r="737" spans="2:5">
      <c r="B737" t="s">
        <v>1496</v>
      </c>
      <c r="C737">
        <v>534804</v>
      </c>
      <c r="D737" t="s">
        <v>1497</v>
      </c>
      <c r="E737" t="s">
        <v>343</v>
      </c>
    </row>
    <row r="738" spans="2:5">
      <c r="B738" t="s">
        <v>1498</v>
      </c>
      <c r="C738">
        <v>533260</v>
      </c>
      <c r="D738" t="s">
        <v>1499</v>
      </c>
      <c r="E738" t="s">
        <v>465</v>
      </c>
    </row>
    <row r="739" spans="2:5">
      <c r="B739" t="s">
        <v>1500</v>
      </c>
      <c r="C739">
        <v>530609</v>
      </c>
      <c r="D739" t="s">
        <v>360</v>
      </c>
      <c r="E739" t="s">
        <v>1279</v>
      </c>
    </row>
    <row r="740" spans="2:5">
      <c r="B740" t="s">
        <v>1501</v>
      </c>
      <c r="C740">
        <v>532282</v>
      </c>
      <c r="D740" t="s">
        <v>1502</v>
      </c>
      <c r="E740" t="s">
        <v>715</v>
      </c>
    </row>
    <row r="741" spans="2:5">
      <c r="B741" t="s">
        <v>1503</v>
      </c>
      <c r="C741">
        <v>500870</v>
      </c>
      <c r="D741" t="s">
        <v>1504</v>
      </c>
      <c r="E741" t="s">
        <v>570</v>
      </c>
    </row>
    <row r="742" spans="2:5">
      <c r="B742" t="s">
        <v>1505</v>
      </c>
      <c r="C742">
        <v>500870</v>
      </c>
      <c r="D742" t="s">
        <v>1504</v>
      </c>
      <c r="E742" t="s">
        <v>570</v>
      </c>
    </row>
    <row r="743" spans="2:5">
      <c r="B743" t="s">
        <v>1506</v>
      </c>
      <c r="C743">
        <v>531682</v>
      </c>
      <c r="D743" t="s">
        <v>360</v>
      </c>
      <c r="E743" t="s">
        <v>346</v>
      </c>
    </row>
    <row r="744" spans="2:5">
      <c r="B744" t="s">
        <v>1507</v>
      </c>
      <c r="C744">
        <v>531158</v>
      </c>
      <c r="D744" t="s">
        <v>360</v>
      </c>
      <c r="E744" t="s">
        <v>382</v>
      </c>
    </row>
    <row r="745" spans="2:5">
      <c r="B745" t="s">
        <v>1508</v>
      </c>
      <c r="C745">
        <v>531900</v>
      </c>
      <c r="D745" t="s">
        <v>360</v>
      </c>
      <c r="E745" t="s">
        <v>382</v>
      </c>
    </row>
    <row r="746" spans="2:5">
      <c r="B746" t="s">
        <v>1509</v>
      </c>
      <c r="C746">
        <v>519600</v>
      </c>
      <c r="D746" t="s">
        <v>1510</v>
      </c>
      <c r="E746" t="s">
        <v>767</v>
      </c>
    </row>
    <row r="747" spans="2:5">
      <c r="B747" t="s">
        <v>1511</v>
      </c>
      <c r="C747">
        <v>519600</v>
      </c>
      <c r="D747" t="s">
        <v>1510</v>
      </c>
      <c r="E747" t="s">
        <v>767</v>
      </c>
    </row>
    <row r="748" spans="2:5">
      <c r="B748" t="s">
        <v>1512</v>
      </c>
      <c r="C748">
        <v>500878</v>
      </c>
      <c r="D748" t="s">
        <v>1513</v>
      </c>
      <c r="E748" t="s">
        <v>840</v>
      </c>
    </row>
    <row r="749" spans="2:5">
      <c r="B749" t="s">
        <v>1514</v>
      </c>
      <c r="C749">
        <v>530789</v>
      </c>
      <c r="D749" t="s">
        <v>360</v>
      </c>
      <c r="E749" t="s">
        <v>480</v>
      </c>
    </row>
    <row r="750" spans="2:5">
      <c r="B750" t="s">
        <v>1515</v>
      </c>
      <c r="C750">
        <v>531119</v>
      </c>
      <c r="D750" t="s">
        <v>360</v>
      </c>
      <c r="E750" t="s">
        <v>474</v>
      </c>
    </row>
    <row r="751" spans="2:5">
      <c r="B751" t="s">
        <v>1516</v>
      </c>
      <c r="C751">
        <v>531119</v>
      </c>
      <c r="D751" t="s">
        <v>360</v>
      </c>
      <c r="E751" t="s">
        <v>474</v>
      </c>
    </row>
    <row r="752" spans="2:5">
      <c r="B752" t="s">
        <v>1517</v>
      </c>
      <c r="C752">
        <v>514171</v>
      </c>
      <c r="D752" t="s">
        <v>360</v>
      </c>
      <c r="E752" t="s">
        <v>888</v>
      </c>
    </row>
    <row r="753" spans="2:5">
      <c r="B753" t="s">
        <v>1518</v>
      </c>
      <c r="C753">
        <v>538734</v>
      </c>
      <c r="D753" t="s">
        <v>360</v>
      </c>
      <c r="E753" t="s">
        <v>346</v>
      </c>
    </row>
    <row r="754" spans="2:5">
      <c r="B754" t="s">
        <v>1519</v>
      </c>
      <c r="C754">
        <v>532695</v>
      </c>
      <c r="D754" t="s">
        <v>1520</v>
      </c>
      <c r="E754" t="s">
        <v>474</v>
      </c>
    </row>
    <row r="755" spans="2:5">
      <c r="B755" t="s">
        <v>1521</v>
      </c>
      <c r="C755">
        <v>532871</v>
      </c>
      <c r="D755" t="s">
        <v>1522</v>
      </c>
      <c r="E755" t="s">
        <v>698</v>
      </c>
    </row>
    <row r="756" spans="2:5">
      <c r="B756" t="s">
        <v>1523</v>
      </c>
      <c r="C756">
        <v>532701</v>
      </c>
      <c r="D756" t="s">
        <v>360</v>
      </c>
      <c r="E756" t="s">
        <v>354</v>
      </c>
    </row>
    <row r="757" spans="2:5">
      <c r="B757" t="s">
        <v>1524</v>
      </c>
      <c r="C757">
        <v>522251</v>
      </c>
      <c r="D757" t="s">
        <v>360</v>
      </c>
      <c r="E757" t="s">
        <v>368</v>
      </c>
    </row>
    <row r="758" spans="2:5">
      <c r="B758" t="s">
        <v>1525</v>
      </c>
      <c r="C758">
        <v>531380</v>
      </c>
      <c r="D758" t="s">
        <v>360</v>
      </c>
      <c r="E758" t="s">
        <v>1526</v>
      </c>
    </row>
    <row r="759" spans="2:5">
      <c r="B759" t="s">
        <v>1527</v>
      </c>
      <c r="C759">
        <v>532885</v>
      </c>
      <c r="D759" t="s">
        <v>1528</v>
      </c>
      <c r="E759" t="s">
        <v>678</v>
      </c>
    </row>
    <row r="760" spans="2:5">
      <c r="B760" t="s">
        <v>1529</v>
      </c>
      <c r="C760" t="s">
        <v>360</v>
      </c>
      <c r="D760" t="s">
        <v>1530</v>
      </c>
      <c r="E760" t="s">
        <v>451</v>
      </c>
    </row>
    <row r="761" spans="2:5">
      <c r="B761" t="s">
        <v>1531</v>
      </c>
      <c r="C761" t="s">
        <v>360</v>
      </c>
      <c r="D761" t="s">
        <v>1530</v>
      </c>
      <c r="E761" t="s">
        <v>451</v>
      </c>
    </row>
    <row r="762" spans="2:5">
      <c r="B762" t="s">
        <v>1532</v>
      </c>
      <c r="C762">
        <v>501827</v>
      </c>
      <c r="D762" t="s">
        <v>360</v>
      </c>
      <c r="E762" t="s">
        <v>432</v>
      </c>
    </row>
    <row r="763" spans="2:5">
      <c r="B763" t="s">
        <v>1533</v>
      </c>
      <c r="C763">
        <v>501150</v>
      </c>
      <c r="D763" t="s">
        <v>1534</v>
      </c>
      <c r="E763" t="s">
        <v>343</v>
      </c>
    </row>
    <row r="764" spans="2:5">
      <c r="B764" t="s">
        <v>1535</v>
      </c>
      <c r="C764">
        <v>517544</v>
      </c>
      <c r="D764" t="s">
        <v>1536</v>
      </c>
      <c r="E764" t="s">
        <v>781</v>
      </c>
    </row>
    <row r="765" spans="2:5">
      <c r="B765" t="s">
        <v>1537</v>
      </c>
      <c r="C765">
        <v>500280</v>
      </c>
      <c r="D765" t="s">
        <v>1538</v>
      </c>
      <c r="E765" t="s">
        <v>375</v>
      </c>
    </row>
    <row r="766" spans="2:5">
      <c r="B766" t="s">
        <v>1539</v>
      </c>
      <c r="C766">
        <v>500083</v>
      </c>
      <c r="D766" t="s">
        <v>1540</v>
      </c>
      <c r="E766" t="s">
        <v>665</v>
      </c>
    </row>
    <row r="767" spans="2:5">
      <c r="B767" t="s">
        <v>1541</v>
      </c>
      <c r="C767">
        <v>532548</v>
      </c>
      <c r="D767" t="s">
        <v>1542</v>
      </c>
      <c r="E767" t="s">
        <v>855</v>
      </c>
    </row>
    <row r="768" spans="2:5">
      <c r="B768" t="s">
        <v>1543</v>
      </c>
      <c r="C768">
        <v>532548</v>
      </c>
      <c r="D768" t="s">
        <v>1542</v>
      </c>
      <c r="E768" t="s">
        <v>855</v>
      </c>
    </row>
    <row r="769" spans="2:5">
      <c r="B769" t="s">
        <v>1544</v>
      </c>
      <c r="C769">
        <v>500040</v>
      </c>
      <c r="D769" t="s">
        <v>1545</v>
      </c>
      <c r="E769" t="s">
        <v>373</v>
      </c>
    </row>
    <row r="770" spans="2:5">
      <c r="B770" t="s">
        <v>1546</v>
      </c>
      <c r="C770">
        <v>530881</v>
      </c>
      <c r="D770" t="s">
        <v>360</v>
      </c>
      <c r="E770" t="s">
        <v>343</v>
      </c>
    </row>
    <row r="771" spans="2:5">
      <c r="B771" t="s">
        <v>1547</v>
      </c>
      <c r="C771">
        <v>532443</v>
      </c>
      <c r="D771" t="s">
        <v>1548</v>
      </c>
      <c r="E771" t="s">
        <v>637</v>
      </c>
    </row>
    <row r="772" spans="2:5">
      <c r="B772" t="s">
        <v>1549</v>
      </c>
      <c r="C772">
        <v>532413</v>
      </c>
      <c r="D772" t="s">
        <v>1550</v>
      </c>
      <c r="E772" t="s">
        <v>685</v>
      </c>
    </row>
    <row r="773" spans="2:5">
      <c r="B773" t="s">
        <v>1551</v>
      </c>
      <c r="C773">
        <v>512341</v>
      </c>
      <c r="D773" t="s">
        <v>360</v>
      </c>
      <c r="E773" t="s">
        <v>690</v>
      </c>
    </row>
    <row r="774" spans="2:5">
      <c r="B774" t="s">
        <v>1552</v>
      </c>
      <c r="C774">
        <v>500084</v>
      </c>
      <c r="D774" t="s">
        <v>1553</v>
      </c>
      <c r="E774" t="s">
        <v>499</v>
      </c>
    </row>
    <row r="775" spans="2:5">
      <c r="B775" t="s">
        <v>1554</v>
      </c>
      <c r="C775" t="s">
        <v>360</v>
      </c>
      <c r="D775" t="s">
        <v>1555</v>
      </c>
      <c r="E775" t="s">
        <v>1556</v>
      </c>
    </row>
    <row r="776" spans="2:5">
      <c r="B776" t="s">
        <v>1557</v>
      </c>
      <c r="C776">
        <v>542333</v>
      </c>
      <c r="D776" t="s">
        <v>1558</v>
      </c>
      <c r="E776" t="s">
        <v>1556</v>
      </c>
    </row>
    <row r="777" spans="2:5">
      <c r="B777" t="s">
        <v>1559</v>
      </c>
      <c r="C777">
        <v>500093</v>
      </c>
      <c r="D777" t="s">
        <v>1560</v>
      </c>
      <c r="E777" t="s">
        <v>403</v>
      </c>
    </row>
    <row r="778" spans="2:5">
      <c r="B778" t="s">
        <v>1561</v>
      </c>
      <c r="C778">
        <v>531489</v>
      </c>
      <c r="D778" t="s">
        <v>360</v>
      </c>
      <c r="E778" t="s">
        <v>453</v>
      </c>
    </row>
    <row r="779" spans="2:5">
      <c r="B779" t="s">
        <v>1562</v>
      </c>
      <c r="C779">
        <v>531946</v>
      </c>
      <c r="D779" t="s">
        <v>360</v>
      </c>
      <c r="E779" t="s">
        <v>354</v>
      </c>
    </row>
    <row r="780" spans="2:5">
      <c r="B780" t="s">
        <v>1563</v>
      </c>
      <c r="C780">
        <v>542399</v>
      </c>
      <c r="D780" t="s">
        <v>1564</v>
      </c>
      <c r="E780" t="s">
        <v>561</v>
      </c>
    </row>
    <row r="781" spans="2:5">
      <c r="B781" t="s">
        <v>1565</v>
      </c>
      <c r="C781">
        <v>539600</v>
      </c>
      <c r="D781" t="s">
        <v>360</v>
      </c>
      <c r="E781" t="s">
        <v>382</v>
      </c>
    </row>
    <row r="782" spans="2:5">
      <c r="B782" t="s">
        <v>1566</v>
      </c>
      <c r="C782">
        <v>530307</v>
      </c>
      <c r="D782" t="s">
        <v>360</v>
      </c>
      <c r="E782" t="s">
        <v>558</v>
      </c>
    </row>
    <row r="783" spans="2:5">
      <c r="B783" t="s">
        <v>1567</v>
      </c>
      <c r="C783">
        <v>512301</v>
      </c>
      <c r="D783" t="s">
        <v>360</v>
      </c>
      <c r="E783" t="s">
        <v>382</v>
      </c>
    </row>
    <row r="784" spans="2:5">
      <c r="B784" t="s">
        <v>1568</v>
      </c>
      <c r="C784">
        <v>500085</v>
      </c>
      <c r="D784" t="s">
        <v>1569</v>
      </c>
      <c r="E784" t="s">
        <v>868</v>
      </c>
    </row>
    <row r="785" spans="2:5">
      <c r="B785" t="s">
        <v>1570</v>
      </c>
      <c r="C785">
        <v>542627</v>
      </c>
      <c r="D785" t="s">
        <v>1571</v>
      </c>
      <c r="E785" t="s">
        <v>726</v>
      </c>
    </row>
    <row r="786" spans="2:5">
      <c r="B786" t="s">
        <v>1572</v>
      </c>
      <c r="C786">
        <v>522292</v>
      </c>
      <c r="D786" t="s">
        <v>360</v>
      </c>
      <c r="E786" t="s">
        <v>375</v>
      </c>
    </row>
    <row r="787" spans="2:5">
      <c r="B787" t="s">
        <v>1573</v>
      </c>
      <c r="C787">
        <v>530309</v>
      </c>
      <c r="D787" t="s">
        <v>360</v>
      </c>
      <c r="E787" t="s">
        <v>382</v>
      </c>
    </row>
    <row r="788" spans="2:5">
      <c r="B788" t="s">
        <v>1574</v>
      </c>
      <c r="C788">
        <v>540829</v>
      </c>
      <c r="D788" t="s">
        <v>360</v>
      </c>
      <c r="E788" t="s">
        <v>382</v>
      </c>
    </row>
    <row r="789" spans="2:5">
      <c r="B789" t="s">
        <v>1575</v>
      </c>
      <c r="C789">
        <v>535142</v>
      </c>
      <c r="D789" t="s">
        <v>360</v>
      </c>
      <c r="E789" t="s">
        <v>363</v>
      </c>
    </row>
    <row r="790" spans="2:5">
      <c r="B790" t="s">
        <v>1576</v>
      </c>
      <c r="C790">
        <v>531327</v>
      </c>
      <c r="D790" t="s">
        <v>360</v>
      </c>
      <c r="E790" t="s">
        <v>343</v>
      </c>
    </row>
    <row r="791" spans="2:5">
      <c r="B791" t="s">
        <v>1577</v>
      </c>
      <c r="C791">
        <v>511696</v>
      </c>
      <c r="D791" t="s">
        <v>360</v>
      </c>
      <c r="E791" t="s">
        <v>343</v>
      </c>
    </row>
    <row r="792" spans="2:5">
      <c r="B792" t="s">
        <v>1578</v>
      </c>
      <c r="C792">
        <v>531977</v>
      </c>
      <c r="D792" t="s">
        <v>360</v>
      </c>
      <c r="E792" t="s">
        <v>432</v>
      </c>
    </row>
    <row r="793" spans="2:5">
      <c r="B793" t="s">
        <v>1579</v>
      </c>
      <c r="C793">
        <v>504671</v>
      </c>
      <c r="D793" t="s">
        <v>360</v>
      </c>
      <c r="E793" t="s">
        <v>392</v>
      </c>
    </row>
    <row r="794" spans="2:5">
      <c r="B794" t="s">
        <v>1580</v>
      </c>
      <c r="C794">
        <v>539800</v>
      </c>
      <c r="D794" t="s">
        <v>360</v>
      </c>
      <c r="E794" t="s">
        <v>382</v>
      </c>
    </row>
    <row r="795" spans="2:5">
      <c r="B795" t="s">
        <v>1581</v>
      </c>
      <c r="C795">
        <v>526917</v>
      </c>
      <c r="D795" t="s">
        <v>360</v>
      </c>
      <c r="E795" t="s">
        <v>446</v>
      </c>
    </row>
    <row r="796" spans="2:5">
      <c r="B796" t="s">
        <v>1582</v>
      </c>
      <c r="C796">
        <v>530871</v>
      </c>
      <c r="D796" t="s">
        <v>360</v>
      </c>
      <c r="E796" t="s">
        <v>520</v>
      </c>
    </row>
    <row r="797" spans="2:5">
      <c r="B797" t="s">
        <v>1583</v>
      </c>
      <c r="C797">
        <v>540395</v>
      </c>
      <c r="D797" t="s">
        <v>360</v>
      </c>
      <c r="E797" t="s">
        <v>520</v>
      </c>
    </row>
    <row r="798" spans="2:5">
      <c r="B798" t="s">
        <v>1584</v>
      </c>
      <c r="C798">
        <v>541269</v>
      </c>
      <c r="D798" t="s">
        <v>1585</v>
      </c>
      <c r="E798" t="s">
        <v>408</v>
      </c>
    </row>
    <row r="799" spans="2:5">
      <c r="B799" t="s">
        <v>1586</v>
      </c>
      <c r="C799">
        <v>539230</v>
      </c>
      <c r="D799" t="s">
        <v>360</v>
      </c>
      <c r="E799" t="s">
        <v>520</v>
      </c>
    </row>
    <row r="800" spans="2:5">
      <c r="B800" t="s">
        <v>1587</v>
      </c>
      <c r="C800">
        <v>506365</v>
      </c>
      <c r="D800" t="s">
        <v>360</v>
      </c>
      <c r="E800" t="s">
        <v>398</v>
      </c>
    </row>
    <row r="801" spans="2:5">
      <c r="B801" t="s">
        <v>1588</v>
      </c>
      <c r="C801">
        <v>537326</v>
      </c>
      <c r="D801" t="s">
        <v>360</v>
      </c>
      <c r="E801" t="s">
        <v>368</v>
      </c>
    </row>
    <row r="802" spans="2:5">
      <c r="B802" t="s">
        <v>1589</v>
      </c>
      <c r="C802">
        <v>539011</v>
      </c>
      <c r="D802" t="s">
        <v>360</v>
      </c>
      <c r="E802" t="s">
        <v>392</v>
      </c>
    </row>
    <row r="803" spans="2:5">
      <c r="B803" t="s">
        <v>1590</v>
      </c>
      <c r="C803">
        <v>523489</v>
      </c>
      <c r="D803" t="s">
        <v>360</v>
      </c>
      <c r="E803" t="s">
        <v>549</v>
      </c>
    </row>
    <row r="804" spans="2:5">
      <c r="B804" t="s">
        <v>1591</v>
      </c>
      <c r="C804">
        <v>500110</v>
      </c>
      <c r="D804" t="s">
        <v>1592</v>
      </c>
      <c r="E804" t="s">
        <v>1288</v>
      </c>
    </row>
    <row r="805" spans="2:5">
      <c r="B805" t="s">
        <v>1593</v>
      </c>
      <c r="C805">
        <v>526817</v>
      </c>
      <c r="D805" t="s">
        <v>360</v>
      </c>
      <c r="E805" t="s">
        <v>597</v>
      </c>
    </row>
    <row r="806" spans="2:5">
      <c r="B806" t="s">
        <v>1594</v>
      </c>
      <c r="C806">
        <v>521244</v>
      </c>
      <c r="D806" t="s">
        <v>360</v>
      </c>
      <c r="E806" t="s">
        <v>375</v>
      </c>
    </row>
    <row r="807" spans="2:5">
      <c r="B807" t="s">
        <v>1595</v>
      </c>
      <c r="C807">
        <v>532992</v>
      </c>
      <c r="D807" t="s">
        <v>360</v>
      </c>
      <c r="E807" t="s">
        <v>561</v>
      </c>
    </row>
    <row r="808" spans="2:5">
      <c r="B808" t="s">
        <v>1596</v>
      </c>
      <c r="C808">
        <v>531358</v>
      </c>
      <c r="D808" t="s">
        <v>360</v>
      </c>
      <c r="E808" t="s">
        <v>377</v>
      </c>
    </row>
    <row r="809" spans="2:5">
      <c r="B809" t="s">
        <v>1597</v>
      </c>
      <c r="C809">
        <v>530427</v>
      </c>
      <c r="D809" t="s">
        <v>360</v>
      </c>
      <c r="E809" t="s">
        <v>1598</v>
      </c>
    </row>
    <row r="810" spans="2:5">
      <c r="B810" t="s">
        <v>1599</v>
      </c>
      <c r="C810">
        <v>526546</v>
      </c>
      <c r="D810" t="s">
        <v>360</v>
      </c>
      <c r="E810" t="s">
        <v>549</v>
      </c>
    </row>
    <row r="811" spans="2:5">
      <c r="B811" t="s">
        <v>1600</v>
      </c>
      <c r="C811">
        <v>511243</v>
      </c>
      <c r="D811" t="s">
        <v>1601</v>
      </c>
      <c r="E811" t="s">
        <v>377</v>
      </c>
    </row>
    <row r="812" spans="2:5">
      <c r="B812" t="s">
        <v>1602</v>
      </c>
      <c r="C812">
        <v>511243</v>
      </c>
      <c r="D812" t="s">
        <v>1603</v>
      </c>
      <c r="E812" t="s">
        <v>377</v>
      </c>
    </row>
    <row r="813" spans="2:5">
      <c r="B813" t="s">
        <v>1604</v>
      </c>
      <c r="C813">
        <v>519475</v>
      </c>
      <c r="D813" t="s">
        <v>360</v>
      </c>
      <c r="E813" t="s">
        <v>440</v>
      </c>
    </row>
    <row r="814" spans="2:5">
      <c r="B814" t="s">
        <v>1605</v>
      </c>
      <c r="C814">
        <v>540681</v>
      </c>
      <c r="D814" t="s">
        <v>360</v>
      </c>
      <c r="E814" t="s">
        <v>420</v>
      </c>
    </row>
    <row r="815" spans="2:5">
      <c r="B815" t="s">
        <v>1606</v>
      </c>
      <c r="C815">
        <v>501833</v>
      </c>
      <c r="D815" t="s">
        <v>360</v>
      </c>
      <c r="E815" t="s">
        <v>1607</v>
      </c>
    </row>
    <row r="816" spans="2:5">
      <c r="B816" t="s">
        <v>1608</v>
      </c>
      <c r="C816">
        <v>539335</v>
      </c>
      <c r="D816" t="s">
        <v>360</v>
      </c>
      <c r="E816" t="s">
        <v>382</v>
      </c>
    </row>
    <row r="817" spans="2:5">
      <c r="B817" t="s">
        <v>1609</v>
      </c>
      <c r="C817">
        <v>530191</v>
      </c>
      <c r="D817" t="s">
        <v>1610</v>
      </c>
      <c r="E817" t="s">
        <v>520</v>
      </c>
    </row>
    <row r="818" spans="2:5">
      <c r="B818" t="s">
        <v>1611</v>
      </c>
      <c r="C818">
        <v>530191</v>
      </c>
      <c r="D818" t="s">
        <v>1610</v>
      </c>
      <c r="E818" t="s">
        <v>520</v>
      </c>
    </row>
    <row r="819" spans="2:5">
      <c r="B819" t="s">
        <v>1612</v>
      </c>
      <c r="C819">
        <v>519477</v>
      </c>
      <c r="D819" t="s">
        <v>360</v>
      </c>
      <c r="E819" t="s">
        <v>609</v>
      </c>
    </row>
    <row r="820" spans="2:5">
      <c r="B820" t="s">
        <v>1613</v>
      </c>
      <c r="C820">
        <v>542678</v>
      </c>
      <c r="D820" t="s">
        <v>1614</v>
      </c>
      <c r="E820" t="s">
        <v>398</v>
      </c>
    </row>
    <row r="821" spans="2:5">
      <c r="B821" t="s">
        <v>1615</v>
      </c>
      <c r="C821">
        <v>534758</v>
      </c>
      <c r="D821" t="s">
        <v>1616</v>
      </c>
      <c r="E821" t="s">
        <v>346</v>
      </c>
    </row>
    <row r="822" spans="2:5">
      <c r="B822" t="s">
        <v>1617</v>
      </c>
      <c r="C822">
        <v>533407</v>
      </c>
      <c r="D822" t="s">
        <v>1618</v>
      </c>
      <c r="E822" t="s">
        <v>375</v>
      </c>
    </row>
    <row r="823" spans="2:5">
      <c r="B823" t="s">
        <v>1619</v>
      </c>
      <c r="C823">
        <v>530829</v>
      </c>
      <c r="D823" t="s">
        <v>360</v>
      </c>
      <c r="E823" t="s">
        <v>377</v>
      </c>
    </row>
    <row r="824" spans="2:5">
      <c r="B824" t="s">
        <v>1620</v>
      </c>
      <c r="C824">
        <v>505230</v>
      </c>
      <c r="D824" t="s">
        <v>1621</v>
      </c>
      <c r="E824" t="s">
        <v>349</v>
      </c>
    </row>
    <row r="825" spans="2:5">
      <c r="B825" t="s">
        <v>1622</v>
      </c>
      <c r="C825">
        <v>531283</v>
      </c>
      <c r="D825" t="s">
        <v>360</v>
      </c>
      <c r="E825" t="s">
        <v>377</v>
      </c>
    </row>
    <row r="826" spans="2:5">
      <c r="B826" t="s">
        <v>1623</v>
      </c>
      <c r="C826">
        <v>526373</v>
      </c>
      <c r="D826" t="s">
        <v>360</v>
      </c>
      <c r="E826" t="s">
        <v>561</v>
      </c>
    </row>
    <row r="827" spans="2:5">
      <c r="B827" t="s">
        <v>1624</v>
      </c>
      <c r="C827">
        <v>532807</v>
      </c>
      <c r="D827" t="s">
        <v>1625</v>
      </c>
      <c r="E827" t="s">
        <v>361</v>
      </c>
    </row>
    <row r="828" spans="2:5">
      <c r="B828" t="s">
        <v>1626</v>
      </c>
      <c r="C828">
        <v>532807</v>
      </c>
      <c r="D828" t="s">
        <v>1625</v>
      </c>
      <c r="E828" t="s">
        <v>361</v>
      </c>
    </row>
    <row r="829" spans="2:5">
      <c r="B829" t="s">
        <v>1627</v>
      </c>
      <c r="C829">
        <v>530457</v>
      </c>
      <c r="D829" t="s">
        <v>360</v>
      </c>
      <c r="E829" t="s">
        <v>363</v>
      </c>
    </row>
    <row r="830" spans="2:5">
      <c r="B830" t="s">
        <v>1628</v>
      </c>
      <c r="C830">
        <v>532324</v>
      </c>
      <c r="D830" t="s">
        <v>1629</v>
      </c>
      <c r="E830" t="s">
        <v>363</v>
      </c>
    </row>
    <row r="831" spans="2:5">
      <c r="B831" t="s">
        <v>1630</v>
      </c>
      <c r="C831">
        <v>500087</v>
      </c>
      <c r="D831" t="s">
        <v>1631</v>
      </c>
      <c r="E831" t="s">
        <v>398</v>
      </c>
    </row>
    <row r="832" spans="2:5">
      <c r="B832" t="s">
        <v>1632</v>
      </c>
      <c r="C832">
        <v>531775</v>
      </c>
      <c r="D832" t="s">
        <v>360</v>
      </c>
      <c r="E832" t="s">
        <v>382</v>
      </c>
    </row>
    <row r="833" spans="2:5">
      <c r="B833" t="s">
        <v>1633</v>
      </c>
      <c r="C833">
        <v>502445</v>
      </c>
      <c r="D833" t="s">
        <v>360</v>
      </c>
      <c r="E833" t="s">
        <v>446</v>
      </c>
    </row>
    <row r="834" spans="2:5">
      <c r="B834" t="s">
        <v>1634</v>
      </c>
      <c r="C834">
        <v>531235</v>
      </c>
      <c r="D834" t="s">
        <v>360</v>
      </c>
      <c r="E834" t="s">
        <v>377</v>
      </c>
    </row>
    <row r="835" spans="2:5">
      <c r="B835" t="s">
        <v>1635</v>
      </c>
      <c r="C835">
        <v>538786</v>
      </c>
      <c r="D835" t="s">
        <v>360</v>
      </c>
      <c r="E835" t="s">
        <v>884</v>
      </c>
    </row>
    <row r="836" spans="2:5">
      <c r="B836" t="s">
        <v>1636</v>
      </c>
      <c r="C836">
        <v>538674</v>
      </c>
      <c r="D836" t="s">
        <v>360</v>
      </c>
      <c r="E836" t="s">
        <v>1303</v>
      </c>
    </row>
    <row r="837" spans="2:5">
      <c r="B837" t="s">
        <v>1637</v>
      </c>
      <c r="C837">
        <v>532210</v>
      </c>
      <c r="D837" t="s">
        <v>1638</v>
      </c>
      <c r="E837" t="s">
        <v>678</v>
      </c>
    </row>
    <row r="838" spans="2:5">
      <c r="B838" t="s">
        <v>1639</v>
      </c>
      <c r="C838">
        <v>521210</v>
      </c>
      <c r="D838" t="s">
        <v>360</v>
      </c>
      <c r="E838" t="s">
        <v>474</v>
      </c>
    </row>
    <row r="839" spans="2:5">
      <c r="B839" t="s">
        <v>1640</v>
      </c>
      <c r="C839">
        <v>780013</v>
      </c>
      <c r="D839" t="s">
        <v>360</v>
      </c>
      <c r="E839" t="s">
        <v>451</v>
      </c>
    </row>
    <row r="840" spans="2:5">
      <c r="B840" t="s">
        <v>1641</v>
      </c>
      <c r="C840">
        <v>780013</v>
      </c>
      <c r="D840" t="s">
        <v>360</v>
      </c>
      <c r="E840" t="s">
        <v>451</v>
      </c>
    </row>
    <row r="841" spans="2:5">
      <c r="B841" t="s">
        <v>1642</v>
      </c>
      <c r="C841" t="s">
        <v>360</v>
      </c>
      <c r="D841" t="s">
        <v>1643</v>
      </c>
      <c r="E841" t="s">
        <v>371</v>
      </c>
    </row>
    <row r="842" spans="2:5">
      <c r="B842" t="s">
        <v>1644</v>
      </c>
      <c r="C842" t="s">
        <v>360</v>
      </c>
      <c r="D842" t="s">
        <v>1645</v>
      </c>
      <c r="E842" t="s">
        <v>371</v>
      </c>
    </row>
    <row r="843" spans="2:5">
      <c r="B843" t="s">
        <v>1646</v>
      </c>
      <c r="C843">
        <v>540403</v>
      </c>
      <c r="D843" t="s">
        <v>1647</v>
      </c>
      <c r="E843" t="s">
        <v>465</v>
      </c>
    </row>
    <row r="844" spans="2:5">
      <c r="B844" t="s">
        <v>1648</v>
      </c>
      <c r="C844">
        <v>506390</v>
      </c>
      <c r="D844" t="s">
        <v>1649</v>
      </c>
      <c r="E844" t="s">
        <v>520</v>
      </c>
    </row>
    <row r="845" spans="2:5">
      <c r="B845" t="s">
        <v>1650</v>
      </c>
      <c r="C845">
        <v>506390</v>
      </c>
      <c r="D845" t="s">
        <v>1651</v>
      </c>
      <c r="E845" t="s">
        <v>520</v>
      </c>
    </row>
    <row r="846" spans="2:5">
      <c r="B846" t="s">
        <v>1652</v>
      </c>
      <c r="C846">
        <v>512213</v>
      </c>
      <c r="D846" t="s">
        <v>360</v>
      </c>
      <c r="E846" t="s">
        <v>382</v>
      </c>
    </row>
    <row r="847" spans="2:5">
      <c r="B847" t="s">
        <v>1653</v>
      </c>
      <c r="C847">
        <v>540310</v>
      </c>
      <c r="D847" t="s">
        <v>360</v>
      </c>
      <c r="E847" t="s">
        <v>375</v>
      </c>
    </row>
    <row r="848" spans="2:5">
      <c r="B848" t="s">
        <v>1654</v>
      </c>
      <c r="C848">
        <v>538433</v>
      </c>
      <c r="D848" t="s">
        <v>360</v>
      </c>
      <c r="E848" t="s">
        <v>343</v>
      </c>
    </row>
    <row r="849" spans="2:5">
      <c r="B849" t="s">
        <v>1655</v>
      </c>
      <c r="C849">
        <v>540481</v>
      </c>
      <c r="D849" t="s">
        <v>360</v>
      </c>
      <c r="E849" t="s">
        <v>343</v>
      </c>
    </row>
    <row r="850" spans="2:5">
      <c r="B850" t="s">
        <v>1656</v>
      </c>
      <c r="C850">
        <v>530839</v>
      </c>
      <c r="D850" t="s">
        <v>360</v>
      </c>
      <c r="E850" t="s">
        <v>453</v>
      </c>
    </row>
    <row r="851" spans="2:5">
      <c r="B851" t="s">
        <v>1657</v>
      </c>
      <c r="C851">
        <v>500147</v>
      </c>
      <c r="D851" t="s">
        <v>360</v>
      </c>
      <c r="E851" t="s">
        <v>368</v>
      </c>
    </row>
    <row r="852" spans="2:5">
      <c r="B852" t="s">
        <v>1658</v>
      </c>
      <c r="C852">
        <v>517330</v>
      </c>
      <c r="D852" t="s">
        <v>1659</v>
      </c>
      <c r="E852" t="s">
        <v>658</v>
      </c>
    </row>
    <row r="853" spans="2:5">
      <c r="B853" t="s">
        <v>1660</v>
      </c>
      <c r="C853" t="s">
        <v>360</v>
      </c>
      <c r="D853" t="s">
        <v>1661</v>
      </c>
      <c r="E853" t="s">
        <v>371</v>
      </c>
    </row>
    <row r="854" spans="2:5">
      <c r="B854" t="s">
        <v>1662</v>
      </c>
      <c r="C854">
        <v>512018</v>
      </c>
      <c r="D854" t="s">
        <v>360</v>
      </c>
      <c r="E854" t="s">
        <v>366</v>
      </c>
    </row>
    <row r="855" spans="2:5">
      <c r="B855" t="s">
        <v>1663</v>
      </c>
      <c r="C855">
        <v>533278</v>
      </c>
      <c r="D855" t="s">
        <v>1664</v>
      </c>
      <c r="E855" t="s">
        <v>1037</v>
      </c>
    </row>
    <row r="856" spans="2:5">
      <c r="B856" t="s">
        <v>1665</v>
      </c>
      <c r="C856">
        <v>533278</v>
      </c>
      <c r="D856" t="s">
        <v>1666</v>
      </c>
      <c r="E856" t="s">
        <v>1037</v>
      </c>
    </row>
    <row r="857" spans="2:5">
      <c r="B857" t="s">
        <v>1667</v>
      </c>
      <c r="C857">
        <v>501831</v>
      </c>
      <c r="D857" t="s">
        <v>360</v>
      </c>
      <c r="E857" t="s">
        <v>420</v>
      </c>
    </row>
    <row r="858" spans="2:5">
      <c r="B858" t="s">
        <v>1668</v>
      </c>
      <c r="C858">
        <v>520131</v>
      </c>
      <c r="D858" t="s">
        <v>360</v>
      </c>
      <c r="E858" t="s">
        <v>432</v>
      </c>
    </row>
    <row r="859" spans="2:5">
      <c r="B859" t="s">
        <v>1669</v>
      </c>
      <c r="C859">
        <v>508571</v>
      </c>
      <c r="D859" t="s">
        <v>360</v>
      </c>
      <c r="E859" t="s">
        <v>840</v>
      </c>
    </row>
    <row r="860" spans="2:5">
      <c r="B860" t="s">
        <v>1670</v>
      </c>
      <c r="C860">
        <v>513353</v>
      </c>
      <c r="D860" t="s">
        <v>360</v>
      </c>
      <c r="E860" t="s">
        <v>520</v>
      </c>
    </row>
    <row r="861" spans="2:5">
      <c r="B861" t="s">
        <v>1671</v>
      </c>
      <c r="C861">
        <v>540678</v>
      </c>
      <c r="D861" t="s">
        <v>1672</v>
      </c>
      <c r="E861" t="s">
        <v>1607</v>
      </c>
    </row>
    <row r="862" spans="2:5">
      <c r="B862" t="s">
        <v>1673</v>
      </c>
      <c r="C862">
        <v>539436</v>
      </c>
      <c r="D862" t="s">
        <v>1674</v>
      </c>
      <c r="E862" t="s">
        <v>849</v>
      </c>
    </row>
    <row r="863" spans="2:5">
      <c r="B863" t="s">
        <v>1675</v>
      </c>
      <c r="C863">
        <v>500830</v>
      </c>
      <c r="D863" t="s">
        <v>1676</v>
      </c>
      <c r="E863" t="s">
        <v>542</v>
      </c>
    </row>
    <row r="864" spans="2:5">
      <c r="B864" t="s">
        <v>1677</v>
      </c>
      <c r="C864">
        <v>500830</v>
      </c>
      <c r="D864" t="s">
        <v>1676</v>
      </c>
      <c r="E864" t="s">
        <v>542</v>
      </c>
    </row>
    <row r="865" spans="2:5">
      <c r="B865" t="s">
        <v>1678</v>
      </c>
      <c r="C865">
        <v>531210</v>
      </c>
      <c r="D865" t="s">
        <v>360</v>
      </c>
      <c r="E865" t="s">
        <v>398</v>
      </c>
    </row>
    <row r="866" spans="2:5">
      <c r="B866" t="s">
        <v>1679</v>
      </c>
      <c r="C866">
        <v>540023</v>
      </c>
      <c r="D866" t="s">
        <v>360</v>
      </c>
      <c r="E866" t="s">
        <v>1098</v>
      </c>
    </row>
    <row r="867" spans="2:5">
      <c r="B867" t="s">
        <v>1680</v>
      </c>
      <c r="C867">
        <v>524752</v>
      </c>
      <c r="D867" t="s">
        <v>360</v>
      </c>
      <c r="E867" t="s">
        <v>398</v>
      </c>
    </row>
    <row r="868" spans="2:5">
      <c r="B868" t="s">
        <v>1681</v>
      </c>
      <c r="C868">
        <v>534691</v>
      </c>
      <c r="D868" t="s">
        <v>360</v>
      </c>
      <c r="E868" t="s">
        <v>343</v>
      </c>
    </row>
    <row r="869" spans="2:5">
      <c r="B869" t="s">
        <v>1682</v>
      </c>
      <c r="C869">
        <v>535267</v>
      </c>
      <c r="D869" t="s">
        <v>360</v>
      </c>
      <c r="E869" t="s">
        <v>377</v>
      </c>
    </row>
    <row r="870" spans="2:5">
      <c r="B870" t="s">
        <v>1683</v>
      </c>
      <c r="C870">
        <v>531216</v>
      </c>
      <c r="D870" t="s">
        <v>360</v>
      </c>
      <c r="E870" t="s">
        <v>377</v>
      </c>
    </row>
    <row r="871" spans="2:5">
      <c r="B871" t="s">
        <v>1684</v>
      </c>
      <c r="C871">
        <v>533272</v>
      </c>
      <c r="D871" t="s">
        <v>1685</v>
      </c>
      <c r="E871" t="s">
        <v>438</v>
      </c>
    </row>
    <row r="872" spans="2:5">
      <c r="B872" t="s">
        <v>1686</v>
      </c>
      <c r="C872">
        <v>539986</v>
      </c>
      <c r="D872" t="s">
        <v>360</v>
      </c>
      <c r="E872" t="s">
        <v>555</v>
      </c>
    </row>
    <row r="873" spans="2:5">
      <c r="B873" t="s">
        <v>1687</v>
      </c>
      <c r="C873">
        <v>532342</v>
      </c>
      <c r="D873" t="s">
        <v>360</v>
      </c>
      <c r="E873" t="s">
        <v>346</v>
      </c>
    </row>
    <row r="874" spans="2:5">
      <c r="B874" t="s">
        <v>1688</v>
      </c>
      <c r="C874">
        <v>531041</v>
      </c>
      <c r="D874" t="s">
        <v>360</v>
      </c>
      <c r="E874" t="s">
        <v>382</v>
      </c>
    </row>
    <row r="875" spans="2:5">
      <c r="B875" t="s">
        <v>1689</v>
      </c>
      <c r="C875">
        <v>532456</v>
      </c>
      <c r="D875" t="s">
        <v>1690</v>
      </c>
      <c r="E875" t="s">
        <v>457</v>
      </c>
    </row>
    <row r="876" spans="2:5">
      <c r="B876" t="s">
        <v>1691</v>
      </c>
      <c r="C876">
        <v>532339</v>
      </c>
      <c r="D876" t="s">
        <v>1692</v>
      </c>
      <c r="E876" t="s">
        <v>845</v>
      </c>
    </row>
    <row r="877" spans="2:5">
      <c r="B877" t="s">
        <v>1693</v>
      </c>
      <c r="C877">
        <v>507833</v>
      </c>
      <c r="D877" t="s">
        <v>360</v>
      </c>
      <c r="E877" t="s">
        <v>685</v>
      </c>
    </row>
    <row r="878" spans="2:5">
      <c r="B878" t="s">
        <v>1694</v>
      </c>
      <c r="C878">
        <v>522231</v>
      </c>
      <c r="D878" t="s">
        <v>360</v>
      </c>
      <c r="E878" t="s">
        <v>758</v>
      </c>
    </row>
    <row r="879" spans="2:5">
      <c r="B879" t="s">
        <v>1695</v>
      </c>
      <c r="C879">
        <v>538965</v>
      </c>
      <c r="D879" t="s">
        <v>360</v>
      </c>
      <c r="E879" t="s">
        <v>398</v>
      </c>
    </row>
    <row r="880" spans="2:5">
      <c r="B880" t="s">
        <v>1696</v>
      </c>
      <c r="C880">
        <v>539266</v>
      </c>
      <c r="D880" t="s">
        <v>360</v>
      </c>
      <c r="E880" t="s">
        <v>380</v>
      </c>
    </row>
    <row r="881" spans="2:5">
      <c r="B881" t="s">
        <v>1697</v>
      </c>
      <c r="C881">
        <v>504340</v>
      </c>
      <c r="D881" t="s">
        <v>360</v>
      </c>
      <c r="E881" t="s">
        <v>343</v>
      </c>
    </row>
    <row r="882" spans="2:5">
      <c r="B882" t="s">
        <v>1698</v>
      </c>
      <c r="C882">
        <v>539991</v>
      </c>
      <c r="D882" t="s">
        <v>1699</v>
      </c>
      <c r="E882" t="s">
        <v>726</v>
      </c>
    </row>
    <row r="883" spans="2:5">
      <c r="B883" t="s">
        <v>1700</v>
      </c>
      <c r="C883">
        <v>526829</v>
      </c>
      <c r="D883" t="s">
        <v>360</v>
      </c>
      <c r="E883" t="s">
        <v>570</v>
      </c>
    </row>
    <row r="884" spans="2:5">
      <c r="B884" t="s">
        <v>1701</v>
      </c>
      <c r="C884">
        <v>526829</v>
      </c>
      <c r="D884" t="s">
        <v>1702</v>
      </c>
      <c r="E884" t="s">
        <v>570</v>
      </c>
    </row>
    <row r="885" spans="2:5">
      <c r="B885" t="s">
        <v>1703</v>
      </c>
      <c r="C885">
        <v>526829</v>
      </c>
      <c r="D885" t="s">
        <v>360</v>
      </c>
      <c r="E885" t="s">
        <v>570</v>
      </c>
    </row>
    <row r="886" spans="2:5">
      <c r="B886" t="s">
        <v>1704</v>
      </c>
      <c r="C886">
        <v>539091</v>
      </c>
      <c r="D886" t="s">
        <v>360</v>
      </c>
      <c r="E886" t="s">
        <v>380</v>
      </c>
    </row>
    <row r="887" spans="2:5">
      <c r="B887" t="s">
        <v>1705</v>
      </c>
      <c r="C887">
        <v>532902</v>
      </c>
      <c r="D887" t="s">
        <v>1706</v>
      </c>
      <c r="E887" t="s">
        <v>446</v>
      </c>
    </row>
    <row r="888" spans="2:5">
      <c r="B888" t="s">
        <v>1707</v>
      </c>
      <c r="C888" t="s">
        <v>360</v>
      </c>
      <c r="D888" t="s">
        <v>1708</v>
      </c>
      <c r="E888" t="s">
        <v>451</v>
      </c>
    </row>
    <row r="889" spans="2:5">
      <c r="B889" t="s">
        <v>1709</v>
      </c>
      <c r="C889">
        <v>531344</v>
      </c>
      <c r="D889" t="s">
        <v>1710</v>
      </c>
      <c r="E889" t="s">
        <v>483</v>
      </c>
    </row>
    <row r="890" spans="2:5">
      <c r="B890" t="s">
        <v>1711</v>
      </c>
      <c r="C890">
        <v>531344</v>
      </c>
      <c r="D890" t="s">
        <v>1710</v>
      </c>
      <c r="E890" t="s">
        <v>483</v>
      </c>
    </row>
    <row r="891" spans="2:5">
      <c r="B891" t="s">
        <v>1712</v>
      </c>
      <c r="C891">
        <v>540597</v>
      </c>
      <c r="D891" t="s">
        <v>360</v>
      </c>
      <c r="E891" t="s">
        <v>681</v>
      </c>
    </row>
    <row r="892" spans="2:5">
      <c r="B892" t="s">
        <v>1713</v>
      </c>
      <c r="C892">
        <v>531067</v>
      </c>
      <c r="D892" t="s">
        <v>360</v>
      </c>
      <c r="E892" t="s">
        <v>377</v>
      </c>
    </row>
    <row r="893" spans="2:5">
      <c r="B893" t="s">
        <v>1714</v>
      </c>
      <c r="C893">
        <v>531067</v>
      </c>
      <c r="D893" t="s">
        <v>360</v>
      </c>
      <c r="E893" t="s">
        <v>377</v>
      </c>
    </row>
    <row r="894" spans="2:5">
      <c r="B894" t="s">
        <v>1715</v>
      </c>
      <c r="C894">
        <v>506935</v>
      </c>
      <c r="D894" t="s">
        <v>360</v>
      </c>
      <c r="E894" t="s">
        <v>453</v>
      </c>
    </row>
    <row r="895" spans="2:5">
      <c r="B895" t="s">
        <v>1716</v>
      </c>
      <c r="C895">
        <v>531460</v>
      </c>
      <c r="D895" t="s">
        <v>360</v>
      </c>
      <c r="E895" t="s">
        <v>658</v>
      </c>
    </row>
    <row r="896" spans="2:5">
      <c r="B896" t="s">
        <v>1717</v>
      </c>
      <c r="C896">
        <v>523232</v>
      </c>
      <c r="D896" t="s">
        <v>360</v>
      </c>
      <c r="E896" t="s">
        <v>570</v>
      </c>
    </row>
    <row r="897" spans="2:5">
      <c r="B897" t="s">
        <v>1718</v>
      </c>
      <c r="C897">
        <v>538868</v>
      </c>
      <c r="D897" t="s">
        <v>360</v>
      </c>
      <c r="E897" t="s">
        <v>377</v>
      </c>
    </row>
    <row r="898" spans="2:5">
      <c r="B898" t="s">
        <v>1719</v>
      </c>
      <c r="C898" t="s">
        <v>360</v>
      </c>
      <c r="D898" t="s">
        <v>1720</v>
      </c>
      <c r="E898" t="s">
        <v>371</v>
      </c>
    </row>
    <row r="899" spans="2:5">
      <c r="B899" t="s">
        <v>1721</v>
      </c>
      <c r="C899">
        <v>522295</v>
      </c>
      <c r="D899" t="s">
        <v>1722</v>
      </c>
      <c r="E899" t="s">
        <v>555</v>
      </c>
    </row>
    <row r="900" spans="2:5">
      <c r="B900" t="s">
        <v>1723</v>
      </c>
      <c r="C900">
        <v>531556</v>
      </c>
      <c r="D900" t="s">
        <v>1724</v>
      </c>
      <c r="E900" t="s">
        <v>418</v>
      </c>
    </row>
    <row r="901" spans="2:5">
      <c r="B901" t="s">
        <v>1725</v>
      </c>
      <c r="C901">
        <v>524506</v>
      </c>
      <c r="D901" t="s">
        <v>360</v>
      </c>
      <c r="E901" t="s">
        <v>398</v>
      </c>
    </row>
    <row r="902" spans="2:5">
      <c r="B902" t="s">
        <v>1726</v>
      </c>
      <c r="C902">
        <v>530755</v>
      </c>
      <c r="D902" t="s">
        <v>1727</v>
      </c>
      <c r="E902" t="s">
        <v>1728</v>
      </c>
    </row>
    <row r="903" spans="2:5">
      <c r="B903" t="s">
        <v>1729</v>
      </c>
      <c r="C903">
        <v>532941</v>
      </c>
      <c r="D903" t="s">
        <v>1730</v>
      </c>
      <c r="E903" t="s">
        <v>658</v>
      </c>
    </row>
    <row r="904" spans="2:5">
      <c r="B904" t="s">
        <v>1731</v>
      </c>
      <c r="C904">
        <v>507543</v>
      </c>
      <c r="D904" t="s">
        <v>360</v>
      </c>
      <c r="E904" t="s">
        <v>609</v>
      </c>
    </row>
    <row r="905" spans="2:5">
      <c r="B905" t="s">
        <v>1732</v>
      </c>
      <c r="C905">
        <v>533167</v>
      </c>
      <c r="D905" t="s">
        <v>360</v>
      </c>
      <c r="E905" t="s">
        <v>758</v>
      </c>
    </row>
    <row r="906" spans="2:5">
      <c r="B906" t="s">
        <v>1733</v>
      </c>
      <c r="C906">
        <v>506395</v>
      </c>
      <c r="D906" t="s">
        <v>1734</v>
      </c>
      <c r="E906" t="s">
        <v>868</v>
      </c>
    </row>
    <row r="907" spans="2:5">
      <c r="B907" t="s">
        <v>1735</v>
      </c>
      <c r="C907">
        <v>526737</v>
      </c>
      <c r="D907" t="s">
        <v>360</v>
      </c>
      <c r="E907" t="s">
        <v>681</v>
      </c>
    </row>
    <row r="908" spans="2:5">
      <c r="B908" t="s">
        <v>1736</v>
      </c>
      <c r="C908">
        <v>540199</v>
      </c>
      <c r="D908" t="s">
        <v>360</v>
      </c>
      <c r="E908" t="s">
        <v>343</v>
      </c>
    </row>
    <row r="909" spans="2:5">
      <c r="B909" t="s">
        <v>1737</v>
      </c>
      <c r="C909">
        <v>532179</v>
      </c>
      <c r="D909" t="s">
        <v>1738</v>
      </c>
      <c r="E909" t="s">
        <v>678</v>
      </c>
    </row>
    <row r="910" spans="2:5">
      <c r="B910" t="s">
        <v>1739</v>
      </c>
      <c r="C910">
        <v>530859</v>
      </c>
      <c r="D910" t="s">
        <v>360</v>
      </c>
      <c r="E910" t="s">
        <v>354</v>
      </c>
    </row>
    <row r="911" spans="2:5">
      <c r="B911" t="s">
        <v>1740</v>
      </c>
      <c r="C911">
        <v>530545</v>
      </c>
      <c r="D911" t="s">
        <v>360</v>
      </c>
      <c r="E911" t="s">
        <v>349</v>
      </c>
    </row>
    <row r="912" spans="2:5">
      <c r="B912" t="s">
        <v>1741</v>
      </c>
      <c r="C912">
        <v>530545</v>
      </c>
      <c r="D912" t="s">
        <v>360</v>
      </c>
      <c r="E912" t="s">
        <v>349</v>
      </c>
    </row>
    <row r="913" spans="2:5">
      <c r="B913" t="s">
        <v>1742</v>
      </c>
      <c r="C913">
        <v>523100</v>
      </c>
      <c r="D913" t="s">
        <v>360</v>
      </c>
      <c r="E913" t="s">
        <v>392</v>
      </c>
    </row>
    <row r="914" spans="2:5">
      <c r="B914" t="s">
        <v>1743</v>
      </c>
      <c r="C914">
        <v>508814</v>
      </c>
      <c r="D914" t="s">
        <v>1744</v>
      </c>
      <c r="E914" t="s">
        <v>408</v>
      </c>
    </row>
    <row r="915" spans="2:5">
      <c r="B915" t="s">
        <v>1745</v>
      </c>
      <c r="C915">
        <v>538922</v>
      </c>
      <c r="D915" t="s">
        <v>360</v>
      </c>
      <c r="E915" t="s">
        <v>453</v>
      </c>
    </row>
    <row r="916" spans="2:5">
      <c r="B916" t="s">
        <v>1746</v>
      </c>
      <c r="C916">
        <v>526550</v>
      </c>
      <c r="D916" t="s">
        <v>1747</v>
      </c>
      <c r="E916" t="s">
        <v>561</v>
      </c>
    </row>
    <row r="917" spans="2:5">
      <c r="B917" t="s">
        <v>1748</v>
      </c>
      <c r="C917">
        <v>531624</v>
      </c>
      <c r="D917" t="s">
        <v>1749</v>
      </c>
      <c r="E917" t="s">
        <v>446</v>
      </c>
    </row>
    <row r="918" spans="2:5">
      <c r="B918" t="s">
        <v>1750</v>
      </c>
      <c r="C918">
        <v>523415</v>
      </c>
      <c r="D918" t="s">
        <v>360</v>
      </c>
      <c r="E918" t="s">
        <v>392</v>
      </c>
    </row>
    <row r="919" spans="2:5">
      <c r="B919" t="s">
        <v>1751</v>
      </c>
      <c r="C919">
        <v>534920</v>
      </c>
      <c r="D919" t="s">
        <v>360</v>
      </c>
      <c r="E919" t="s">
        <v>346</v>
      </c>
    </row>
    <row r="920" spans="2:5">
      <c r="B920" t="s">
        <v>1752</v>
      </c>
      <c r="C920">
        <v>533144</v>
      </c>
      <c r="D920" t="s">
        <v>1753</v>
      </c>
      <c r="E920" t="s">
        <v>1362</v>
      </c>
    </row>
    <row r="921" spans="2:5">
      <c r="B921" t="s">
        <v>1754</v>
      </c>
      <c r="C921">
        <v>542641</v>
      </c>
      <c r="D921" t="s">
        <v>1755</v>
      </c>
      <c r="E921" t="s">
        <v>377</v>
      </c>
    </row>
    <row r="922" spans="2:5">
      <c r="B922" t="s">
        <v>1756</v>
      </c>
      <c r="C922">
        <v>538770</v>
      </c>
      <c r="D922" t="s">
        <v>360</v>
      </c>
      <c r="E922" t="s">
        <v>446</v>
      </c>
    </row>
    <row r="923" spans="2:5">
      <c r="B923" t="s">
        <v>1757</v>
      </c>
      <c r="C923">
        <v>512093</v>
      </c>
      <c r="D923" t="s">
        <v>360</v>
      </c>
      <c r="E923" t="s">
        <v>453</v>
      </c>
    </row>
    <row r="924" spans="2:5">
      <c r="B924" t="s">
        <v>1758</v>
      </c>
      <c r="C924">
        <v>522001</v>
      </c>
      <c r="D924" t="s">
        <v>360</v>
      </c>
      <c r="E924" t="s">
        <v>438</v>
      </c>
    </row>
    <row r="925" spans="2:5">
      <c r="B925" t="s">
        <v>1759</v>
      </c>
      <c r="C925">
        <v>509472</v>
      </c>
      <c r="D925" t="s">
        <v>360</v>
      </c>
      <c r="E925" t="s">
        <v>382</v>
      </c>
    </row>
    <row r="926" spans="2:5">
      <c r="B926" t="s">
        <v>1760</v>
      </c>
      <c r="C926">
        <v>524388</v>
      </c>
      <c r="D926" t="s">
        <v>360</v>
      </c>
      <c r="E926" t="s">
        <v>685</v>
      </c>
    </row>
    <row r="927" spans="2:5">
      <c r="B927" t="s">
        <v>1761</v>
      </c>
      <c r="C927">
        <v>539527</v>
      </c>
      <c r="D927" t="s">
        <v>360</v>
      </c>
      <c r="E927" t="s">
        <v>1279</v>
      </c>
    </row>
    <row r="928" spans="2:5">
      <c r="B928" t="s">
        <v>1762</v>
      </c>
      <c r="C928">
        <v>532392</v>
      </c>
      <c r="D928" t="s">
        <v>1763</v>
      </c>
      <c r="E928" t="s">
        <v>363</v>
      </c>
    </row>
    <row r="929" spans="2:5">
      <c r="B929" t="s">
        <v>1764</v>
      </c>
      <c r="C929" t="s">
        <v>360</v>
      </c>
      <c r="D929" t="s">
        <v>1765</v>
      </c>
      <c r="E929" t="s">
        <v>371</v>
      </c>
    </row>
    <row r="930" spans="2:5">
      <c r="B930" t="s">
        <v>1766</v>
      </c>
      <c r="C930">
        <v>541770</v>
      </c>
      <c r="D930" t="s">
        <v>1767</v>
      </c>
      <c r="E930" t="s">
        <v>377</v>
      </c>
    </row>
    <row r="931" spans="2:5">
      <c r="B931" t="s">
        <v>1768</v>
      </c>
      <c r="C931">
        <v>539131</v>
      </c>
      <c r="D931" t="s">
        <v>360</v>
      </c>
      <c r="E931" t="s">
        <v>380</v>
      </c>
    </row>
    <row r="932" spans="2:5">
      <c r="B932" t="s">
        <v>1769</v>
      </c>
      <c r="C932">
        <v>512379</v>
      </c>
      <c r="D932" t="s">
        <v>360</v>
      </c>
      <c r="E932" t="s">
        <v>453</v>
      </c>
    </row>
    <row r="933" spans="2:5">
      <c r="B933" t="s">
        <v>1770</v>
      </c>
      <c r="C933">
        <v>511413</v>
      </c>
      <c r="D933" t="s">
        <v>1771</v>
      </c>
      <c r="E933" t="s">
        <v>377</v>
      </c>
    </row>
    <row r="934" spans="2:5">
      <c r="B934" t="s">
        <v>1772</v>
      </c>
      <c r="C934">
        <v>526269</v>
      </c>
      <c r="D934" t="s">
        <v>360</v>
      </c>
      <c r="E934" t="s">
        <v>520</v>
      </c>
    </row>
    <row r="935" spans="2:5">
      <c r="B935" t="s">
        <v>1773</v>
      </c>
      <c r="C935">
        <v>526977</v>
      </c>
      <c r="D935" t="s">
        <v>360</v>
      </c>
      <c r="E935" t="s">
        <v>683</v>
      </c>
    </row>
    <row r="936" spans="2:5">
      <c r="B936" t="s">
        <v>1774</v>
      </c>
      <c r="C936">
        <v>500092</v>
      </c>
      <c r="D936" t="s">
        <v>1775</v>
      </c>
      <c r="E936" t="s">
        <v>343</v>
      </c>
    </row>
    <row r="937" spans="2:5">
      <c r="B937" t="s">
        <v>1776</v>
      </c>
      <c r="C937">
        <v>539876</v>
      </c>
      <c r="D937" t="s">
        <v>1777</v>
      </c>
      <c r="E937" t="s">
        <v>1124</v>
      </c>
    </row>
    <row r="938" spans="2:5">
      <c r="B938" t="s">
        <v>1778</v>
      </c>
      <c r="C938" t="s">
        <v>360</v>
      </c>
      <c r="D938" t="s">
        <v>1779</v>
      </c>
      <c r="E938" t="s">
        <v>371</v>
      </c>
    </row>
    <row r="939" spans="2:5">
      <c r="B939" t="s">
        <v>1780</v>
      </c>
      <c r="C939">
        <v>538521</v>
      </c>
      <c r="D939" t="s">
        <v>360</v>
      </c>
      <c r="E939" t="s">
        <v>1362</v>
      </c>
    </row>
    <row r="940" spans="2:5">
      <c r="B940" t="s">
        <v>1781</v>
      </c>
      <c r="C940">
        <v>540903</v>
      </c>
      <c r="D940" t="s">
        <v>360</v>
      </c>
      <c r="E940" t="s">
        <v>444</v>
      </c>
    </row>
    <row r="941" spans="2:5">
      <c r="B941" t="s">
        <v>1782</v>
      </c>
      <c r="C941">
        <v>530067</v>
      </c>
      <c r="D941" t="s">
        <v>360</v>
      </c>
      <c r="E941" t="s">
        <v>377</v>
      </c>
    </row>
    <row r="942" spans="2:5">
      <c r="B942" t="s">
        <v>1783</v>
      </c>
      <c r="C942">
        <v>526027</v>
      </c>
      <c r="D942" t="s">
        <v>1784</v>
      </c>
      <c r="E942" t="s">
        <v>434</v>
      </c>
    </row>
    <row r="943" spans="2:5">
      <c r="B943" t="s">
        <v>1785</v>
      </c>
      <c r="C943">
        <v>511710</v>
      </c>
      <c r="D943" t="s">
        <v>360</v>
      </c>
      <c r="E943" t="s">
        <v>377</v>
      </c>
    </row>
    <row r="944" spans="2:5">
      <c r="B944" t="s">
        <v>1786</v>
      </c>
      <c r="C944">
        <v>500480</v>
      </c>
      <c r="D944" t="s">
        <v>1787</v>
      </c>
      <c r="E944" t="s">
        <v>368</v>
      </c>
    </row>
    <row r="945" spans="2:5">
      <c r="B945" t="s">
        <v>1788</v>
      </c>
      <c r="C945">
        <v>500480</v>
      </c>
      <c r="D945" t="s">
        <v>1787</v>
      </c>
      <c r="E945" t="s">
        <v>368</v>
      </c>
    </row>
    <row r="946" spans="2:5">
      <c r="B946" t="s">
        <v>1789</v>
      </c>
      <c r="C946">
        <v>530843</v>
      </c>
      <c r="D946" t="s">
        <v>1790</v>
      </c>
      <c r="E946" t="s">
        <v>542</v>
      </c>
    </row>
    <row r="947" spans="2:5">
      <c r="B947" t="s">
        <v>1791</v>
      </c>
      <c r="C947">
        <v>532332</v>
      </c>
      <c r="D947" t="s">
        <v>1792</v>
      </c>
      <c r="E947" t="s">
        <v>453</v>
      </c>
    </row>
    <row r="948" spans="2:5">
      <c r="B948" t="s">
        <v>1793</v>
      </c>
      <c r="C948">
        <v>531472</v>
      </c>
      <c r="D948" t="s">
        <v>360</v>
      </c>
      <c r="E948" t="s">
        <v>658</v>
      </c>
    </row>
    <row r="949" spans="2:5">
      <c r="B949" t="s">
        <v>1794</v>
      </c>
      <c r="C949">
        <v>532640</v>
      </c>
      <c r="D949" t="s">
        <v>1795</v>
      </c>
      <c r="E949" t="s">
        <v>884</v>
      </c>
    </row>
    <row r="950" spans="2:5">
      <c r="B950" t="s">
        <v>1796</v>
      </c>
      <c r="C950">
        <v>532640</v>
      </c>
      <c r="D950" t="s">
        <v>1795</v>
      </c>
      <c r="E950" t="s">
        <v>884</v>
      </c>
    </row>
    <row r="951" spans="2:5">
      <c r="B951" t="s">
        <v>1797</v>
      </c>
      <c r="C951">
        <v>532271</v>
      </c>
      <c r="D951" t="s">
        <v>360</v>
      </c>
      <c r="E951" t="s">
        <v>453</v>
      </c>
    </row>
    <row r="952" spans="2:5">
      <c r="B952" t="s">
        <v>1798</v>
      </c>
      <c r="C952">
        <v>532173</v>
      </c>
      <c r="D952" t="s">
        <v>1799</v>
      </c>
      <c r="E952" t="s">
        <v>453</v>
      </c>
    </row>
    <row r="953" spans="2:5">
      <c r="B953" t="s">
        <v>1800</v>
      </c>
      <c r="C953">
        <v>532175</v>
      </c>
      <c r="D953" t="s">
        <v>1801</v>
      </c>
      <c r="E953" t="s">
        <v>346</v>
      </c>
    </row>
    <row r="954" spans="2:5">
      <c r="B954" t="s">
        <v>1802</v>
      </c>
      <c r="C954">
        <v>533151</v>
      </c>
      <c r="D954" t="s">
        <v>1803</v>
      </c>
      <c r="E954" t="s">
        <v>884</v>
      </c>
    </row>
    <row r="955" spans="2:5">
      <c r="B955" t="s">
        <v>1804</v>
      </c>
      <c r="C955">
        <v>533160</v>
      </c>
      <c r="D955" t="s">
        <v>1805</v>
      </c>
      <c r="E955" t="s">
        <v>446</v>
      </c>
    </row>
    <row r="956" spans="2:5">
      <c r="B956" t="s">
        <v>1806</v>
      </c>
      <c r="C956" t="s">
        <v>360</v>
      </c>
      <c r="D956" t="s">
        <v>1807</v>
      </c>
      <c r="E956" t="s">
        <v>371</v>
      </c>
    </row>
    <row r="957" spans="2:5">
      <c r="B957" t="s">
        <v>1808</v>
      </c>
      <c r="C957" t="s">
        <v>360</v>
      </c>
      <c r="D957" t="s">
        <v>1809</v>
      </c>
      <c r="E957" t="s">
        <v>371</v>
      </c>
    </row>
    <row r="958" spans="2:5">
      <c r="B958" t="s">
        <v>1810</v>
      </c>
      <c r="C958">
        <v>517514</v>
      </c>
      <c r="D958" t="s">
        <v>360</v>
      </c>
      <c r="E958" t="s">
        <v>545</v>
      </c>
    </row>
    <row r="959" spans="2:5">
      <c r="B959" t="s">
        <v>1811</v>
      </c>
      <c r="C959">
        <v>517514</v>
      </c>
      <c r="D959" t="s">
        <v>360</v>
      </c>
      <c r="E959" t="s">
        <v>545</v>
      </c>
    </row>
    <row r="960" spans="2:5">
      <c r="B960" t="s">
        <v>1812</v>
      </c>
      <c r="C960">
        <v>500096</v>
      </c>
      <c r="D960" t="s">
        <v>1813</v>
      </c>
      <c r="E960" t="s">
        <v>542</v>
      </c>
    </row>
    <row r="961" spans="2:5">
      <c r="B961" t="s">
        <v>1814</v>
      </c>
      <c r="C961">
        <v>500096</v>
      </c>
      <c r="D961" t="s">
        <v>1813</v>
      </c>
      <c r="E961" t="s">
        <v>542</v>
      </c>
    </row>
    <row r="962" spans="2:5">
      <c r="B962" t="s">
        <v>1815</v>
      </c>
      <c r="C962">
        <v>526821</v>
      </c>
      <c r="D962" t="s">
        <v>360</v>
      </c>
      <c r="E962" t="s">
        <v>520</v>
      </c>
    </row>
    <row r="963" spans="2:5">
      <c r="B963" t="s">
        <v>1816</v>
      </c>
      <c r="C963">
        <v>530825</v>
      </c>
      <c r="D963" t="s">
        <v>360</v>
      </c>
      <c r="E963" t="s">
        <v>520</v>
      </c>
    </row>
    <row r="964" spans="2:5">
      <c r="B964" t="s">
        <v>1817</v>
      </c>
      <c r="C964">
        <v>530825</v>
      </c>
      <c r="D964" t="s">
        <v>360</v>
      </c>
      <c r="E964" t="s">
        <v>520</v>
      </c>
    </row>
    <row r="965" spans="2:5">
      <c r="B965" t="s">
        <v>1818</v>
      </c>
      <c r="C965">
        <v>501148</v>
      </c>
      <c r="D965" t="s">
        <v>360</v>
      </c>
      <c r="E965" t="s">
        <v>380</v>
      </c>
    </row>
    <row r="966" spans="2:5">
      <c r="B966" t="s">
        <v>1819</v>
      </c>
      <c r="C966">
        <v>542216</v>
      </c>
      <c r="D966" t="s">
        <v>1820</v>
      </c>
      <c r="E966" t="s">
        <v>1821</v>
      </c>
    </row>
    <row r="967" spans="2:5">
      <c r="B967" t="s">
        <v>1822</v>
      </c>
      <c r="C967">
        <v>500097</v>
      </c>
      <c r="D967" t="s">
        <v>1823</v>
      </c>
      <c r="E967" t="s">
        <v>1058</v>
      </c>
    </row>
    <row r="968" spans="2:5">
      <c r="B968" t="s">
        <v>1824</v>
      </c>
      <c r="C968">
        <v>539900</v>
      </c>
      <c r="D968" t="s">
        <v>360</v>
      </c>
      <c r="E968" t="s">
        <v>382</v>
      </c>
    </row>
    <row r="969" spans="2:5">
      <c r="B969" t="s">
        <v>1825</v>
      </c>
      <c r="C969">
        <v>521220</v>
      </c>
      <c r="D969" t="s">
        <v>1826</v>
      </c>
      <c r="E969" t="s">
        <v>375</v>
      </c>
    </row>
    <row r="970" spans="2:5">
      <c r="B970" t="s">
        <v>1827</v>
      </c>
      <c r="C970" t="s">
        <v>360</v>
      </c>
      <c r="D970" t="s">
        <v>1828</v>
      </c>
      <c r="E970" t="s">
        <v>371</v>
      </c>
    </row>
    <row r="971" spans="2:5">
      <c r="B971" t="s">
        <v>1829</v>
      </c>
      <c r="C971">
        <v>532329</v>
      </c>
      <c r="D971" t="s">
        <v>360</v>
      </c>
      <c r="E971" t="s">
        <v>453</v>
      </c>
    </row>
    <row r="972" spans="2:5">
      <c r="B972" t="s">
        <v>1830</v>
      </c>
      <c r="C972">
        <v>532329</v>
      </c>
      <c r="D972" t="s">
        <v>360</v>
      </c>
      <c r="E972" t="s">
        <v>453</v>
      </c>
    </row>
    <row r="973" spans="2:5">
      <c r="B973" t="s">
        <v>1831</v>
      </c>
      <c r="C973">
        <v>540361</v>
      </c>
      <c r="D973" t="s">
        <v>360</v>
      </c>
      <c r="E973" t="s">
        <v>382</v>
      </c>
    </row>
    <row r="974" spans="2:5">
      <c r="B974" t="s">
        <v>1832</v>
      </c>
      <c r="C974">
        <v>539770</v>
      </c>
      <c r="D974" t="s">
        <v>360</v>
      </c>
      <c r="E974" t="s">
        <v>343</v>
      </c>
    </row>
    <row r="975" spans="2:5">
      <c r="B975" t="s">
        <v>1833</v>
      </c>
      <c r="C975">
        <v>539884</v>
      </c>
      <c r="D975" t="s">
        <v>360</v>
      </c>
      <c r="E975" t="s">
        <v>474</v>
      </c>
    </row>
    <row r="976" spans="2:5">
      <c r="B976" t="s">
        <v>1834</v>
      </c>
      <c r="C976">
        <v>532528</v>
      </c>
      <c r="D976" t="s">
        <v>1835</v>
      </c>
      <c r="E976" t="s">
        <v>453</v>
      </c>
    </row>
    <row r="977" spans="2:5">
      <c r="B977" t="s">
        <v>1836</v>
      </c>
      <c r="C977">
        <v>530171</v>
      </c>
      <c r="D977" t="s">
        <v>360</v>
      </c>
      <c r="E977" t="s">
        <v>343</v>
      </c>
    </row>
    <row r="978" spans="2:5">
      <c r="B978" t="s">
        <v>1837</v>
      </c>
      <c r="C978">
        <v>530393</v>
      </c>
      <c r="D978" t="s">
        <v>1838</v>
      </c>
      <c r="E978" t="s">
        <v>343</v>
      </c>
    </row>
    <row r="979" spans="2:5">
      <c r="B979" t="s">
        <v>1839</v>
      </c>
      <c r="C979">
        <v>532772</v>
      </c>
      <c r="D979" t="s">
        <v>1840</v>
      </c>
      <c r="E979" t="s">
        <v>678</v>
      </c>
    </row>
    <row r="980" spans="2:5">
      <c r="B980" t="s">
        <v>1841</v>
      </c>
      <c r="C980">
        <v>511611</v>
      </c>
      <c r="D980" t="s">
        <v>1842</v>
      </c>
      <c r="E980" t="s">
        <v>377</v>
      </c>
    </row>
    <row r="981" spans="2:5">
      <c r="B981" t="s">
        <v>1843</v>
      </c>
      <c r="C981">
        <v>502820</v>
      </c>
      <c r="D981" t="s">
        <v>1844</v>
      </c>
      <c r="E981" t="s">
        <v>375</v>
      </c>
    </row>
    <row r="982" spans="2:5">
      <c r="B982" t="s">
        <v>1845</v>
      </c>
      <c r="C982">
        <v>523369</v>
      </c>
      <c r="D982" t="s">
        <v>360</v>
      </c>
      <c r="E982" t="s">
        <v>1058</v>
      </c>
    </row>
    <row r="983" spans="2:5">
      <c r="B983" t="s">
        <v>1846</v>
      </c>
      <c r="C983">
        <v>523367</v>
      </c>
      <c r="D983" t="s">
        <v>1847</v>
      </c>
      <c r="E983" t="s">
        <v>349</v>
      </c>
    </row>
    <row r="984" spans="2:5">
      <c r="B984" t="s">
        <v>1848</v>
      </c>
      <c r="C984">
        <v>500117</v>
      </c>
      <c r="D984" t="s">
        <v>1849</v>
      </c>
      <c r="E984" t="s">
        <v>574</v>
      </c>
    </row>
    <row r="985" spans="2:5">
      <c r="B985" t="s">
        <v>1850</v>
      </c>
      <c r="C985">
        <v>590031</v>
      </c>
      <c r="D985" t="s">
        <v>1851</v>
      </c>
      <c r="E985" t="s">
        <v>545</v>
      </c>
    </row>
    <row r="986" spans="2:5">
      <c r="B986" t="s">
        <v>1852</v>
      </c>
      <c r="C986">
        <v>590031</v>
      </c>
      <c r="D986" t="s">
        <v>1851</v>
      </c>
      <c r="E986" t="s">
        <v>545</v>
      </c>
    </row>
    <row r="987" spans="2:5">
      <c r="B987" t="s">
        <v>1853</v>
      </c>
      <c r="C987" t="s">
        <v>360</v>
      </c>
      <c r="D987" t="s">
        <v>1854</v>
      </c>
      <c r="E987" t="s">
        <v>371</v>
      </c>
    </row>
    <row r="988" spans="2:5">
      <c r="B988" t="s">
        <v>1855</v>
      </c>
      <c r="C988">
        <v>505703</v>
      </c>
      <c r="D988" t="s">
        <v>360</v>
      </c>
      <c r="E988" t="s">
        <v>368</v>
      </c>
    </row>
    <row r="989" spans="2:5">
      <c r="B989" t="s">
        <v>1856</v>
      </c>
      <c r="C989">
        <v>502137</v>
      </c>
      <c r="D989" t="s">
        <v>1857</v>
      </c>
      <c r="E989" t="s">
        <v>373</v>
      </c>
    </row>
    <row r="990" spans="2:5">
      <c r="B990" t="s">
        <v>1858</v>
      </c>
      <c r="C990">
        <v>512068</v>
      </c>
      <c r="D990" t="s">
        <v>360</v>
      </c>
      <c r="E990" t="s">
        <v>340</v>
      </c>
    </row>
    <row r="991" spans="2:5">
      <c r="B991" t="s">
        <v>1859</v>
      </c>
      <c r="C991">
        <v>542248</v>
      </c>
      <c r="D991" t="s">
        <v>1860</v>
      </c>
      <c r="E991" t="s">
        <v>549</v>
      </c>
    </row>
    <row r="992" spans="2:5">
      <c r="B992" t="s">
        <v>1861</v>
      </c>
      <c r="C992">
        <v>531989</v>
      </c>
      <c r="D992" t="s">
        <v>360</v>
      </c>
      <c r="E992" t="s">
        <v>555</v>
      </c>
    </row>
    <row r="993" spans="2:5">
      <c r="B993" t="s">
        <v>1862</v>
      </c>
      <c r="C993">
        <v>539190</v>
      </c>
      <c r="D993" t="s">
        <v>360</v>
      </c>
      <c r="E993" t="s">
        <v>377</v>
      </c>
    </row>
    <row r="994" spans="2:5">
      <c r="B994" t="s">
        <v>1863</v>
      </c>
      <c r="C994">
        <v>531227</v>
      </c>
      <c r="D994" t="s">
        <v>360</v>
      </c>
      <c r="E994" t="s">
        <v>408</v>
      </c>
    </row>
    <row r="995" spans="2:5">
      <c r="B995" t="s">
        <v>1864</v>
      </c>
      <c r="C995">
        <v>539405</v>
      </c>
      <c r="D995" t="s">
        <v>360</v>
      </c>
      <c r="E995" t="s">
        <v>474</v>
      </c>
    </row>
    <row r="996" spans="2:5">
      <c r="B996" t="s">
        <v>1865</v>
      </c>
      <c r="C996">
        <v>539559</v>
      </c>
      <c r="D996" t="s">
        <v>360</v>
      </c>
      <c r="E996" t="s">
        <v>474</v>
      </c>
    </row>
    <row r="997" spans="2:5">
      <c r="B997" t="s">
        <v>1866</v>
      </c>
      <c r="C997">
        <v>539559</v>
      </c>
      <c r="D997" t="s">
        <v>360</v>
      </c>
      <c r="E997" t="s">
        <v>474</v>
      </c>
    </row>
    <row r="998" spans="2:5">
      <c r="B998" t="s">
        <v>1867</v>
      </c>
      <c r="C998">
        <v>532760</v>
      </c>
      <c r="D998" t="s">
        <v>1868</v>
      </c>
      <c r="E998" t="s">
        <v>491</v>
      </c>
    </row>
    <row r="999" spans="2:5">
      <c r="B999" t="s">
        <v>1869</v>
      </c>
      <c r="C999">
        <v>541778</v>
      </c>
      <c r="D999" t="s">
        <v>360</v>
      </c>
      <c r="E999" t="s">
        <v>520</v>
      </c>
    </row>
    <row r="1000" spans="2:5">
      <c r="B1000" t="s">
        <v>1870</v>
      </c>
      <c r="C1000">
        <v>500645</v>
      </c>
      <c r="D1000" t="s">
        <v>1871</v>
      </c>
      <c r="E1000" t="s">
        <v>408</v>
      </c>
    </row>
    <row r="1001" spans="2:5">
      <c r="B1001" t="s">
        <v>1872</v>
      </c>
      <c r="C1001">
        <v>506401</v>
      </c>
      <c r="D1001" t="s">
        <v>1873</v>
      </c>
      <c r="E1001" t="s">
        <v>408</v>
      </c>
    </row>
    <row r="1002" spans="2:5">
      <c r="B1002" t="s">
        <v>1874</v>
      </c>
      <c r="C1002">
        <v>514030</v>
      </c>
      <c r="D1002" t="s">
        <v>360</v>
      </c>
      <c r="E1002" t="s">
        <v>375</v>
      </c>
    </row>
    <row r="1003" spans="2:5">
      <c r="B1003" t="s">
        <v>1875</v>
      </c>
      <c r="C1003">
        <v>539455</v>
      </c>
      <c r="D1003" t="s">
        <v>360</v>
      </c>
      <c r="E1003" t="s">
        <v>392</v>
      </c>
    </row>
    <row r="1004" spans="2:5">
      <c r="B1004" t="s">
        <v>1876</v>
      </c>
      <c r="C1004">
        <v>780006</v>
      </c>
      <c r="D1004" t="s">
        <v>360</v>
      </c>
      <c r="E1004" t="s">
        <v>451</v>
      </c>
    </row>
    <row r="1005" spans="2:5">
      <c r="B1005" t="s">
        <v>1877</v>
      </c>
      <c r="C1005">
        <v>532848</v>
      </c>
      <c r="D1005" t="s">
        <v>1878</v>
      </c>
      <c r="E1005" t="s">
        <v>781</v>
      </c>
    </row>
    <row r="1006" spans="2:5">
      <c r="B1006" t="s">
        <v>1879</v>
      </c>
      <c r="C1006">
        <v>539596</v>
      </c>
      <c r="D1006" t="s">
        <v>360</v>
      </c>
      <c r="E1006" t="s">
        <v>343</v>
      </c>
    </row>
    <row r="1007" spans="2:5">
      <c r="B1007" t="s">
        <v>1880</v>
      </c>
      <c r="C1007">
        <v>504286</v>
      </c>
      <c r="D1007" t="s">
        <v>1881</v>
      </c>
      <c r="E1007" t="s">
        <v>658</v>
      </c>
    </row>
    <row r="1008" spans="2:5">
      <c r="B1008" t="s">
        <v>1882</v>
      </c>
      <c r="C1008">
        <v>504240</v>
      </c>
      <c r="D1008" t="s">
        <v>360</v>
      </c>
      <c r="E1008" t="s">
        <v>658</v>
      </c>
    </row>
    <row r="1009" spans="2:5">
      <c r="B1009" t="s">
        <v>1883</v>
      </c>
      <c r="C1009">
        <v>504256</v>
      </c>
      <c r="D1009" t="s">
        <v>360</v>
      </c>
      <c r="E1009" t="s">
        <v>902</v>
      </c>
    </row>
    <row r="1010" spans="2:5">
      <c r="B1010" t="s">
        <v>1884</v>
      </c>
      <c r="C1010">
        <v>533137</v>
      </c>
      <c r="D1010" t="s">
        <v>1885</v>
      </c>
      <c r="E1010" t="s">
        <v>1098</v>
      </c>
    </row>
    <row r="1011" spans="2:5">
      <c r="B1011" t="s">
        <v>1886</v>
      </c>
      <c r="C1011">
        <v>532121</v>
      </c>
      <c r="D1011" t="s">
        <v>1887</v>
      </c>
      <c r="E1011" t="s">
        <v>678</v>
      </c>
    </row>
    <row r="1012" spans="2:5">
      <c r="B1012" t="s">
        <v>1888</v>
      </c>
      <c r="C1012">
        <v>537536</v>
      </c>
      <c r="D1012" t="s">
        <v>360</v>
      </c>
      <c r="E1012" t="s">
        <v>398</v>
      </c>
    </row>
    <row r="1013" spans="2:5">
      <c r="B1013" t="s">
        <v>1889</v>
      </c>
      <c r="C1013">
        <v>531521</v>
      </c>
      <c r="D1013" t="s">
        <v>360</v>
      </c>
      <c r="E1013" t="s">
        <v>398</v>
      </c>
    </row>
    <row r="1014" spans="2:5">
      <c r="B1014" t="s">
        <v>1890</v>
      </c>
      <c r="C1014" t="s">
        <v>360</v>
      </c>
      <c r="D1014" t="s">
        <v>1891</v>
      </c>
      <c r="E1014" t="s">
        <v>371</v>
      </c>
    </row>
    <row r="1015" spans="2:5">
      <c r="B1015" t="s">
        <v>1892</v>
      </c>
      <c r="C1015">
        <v>539197</v>
      </c>
      <c r="D1015" t="s">
        <v>360</v>
      </c>
      <c r="E1015" t="s">
        <v>382</v>
      </c>
    </row>
    <row r="1016" spans="2:5">
      <c r="B1016" t="s">
        <v>1893</v>
      </c>
      <c r="C1016">
        <v>539197</v>
      </c>
      <c r="D1016" t="s">
        <v>360</v>
      </c>
      <c r="E1016" t="s">
        <v>382</v>
      </c>
    </row>
    <row r="1017" spans="2:5">
      <c r="B1017" t="s">
        <v>1894</v>
      </c>
      <c r="C1017">
        <v>531585</v>
      </c>
      <c r="D1017" t="s">
        <v>360</v>
      </c>
      <c r="E1017" t="s">
        <v>382</v>
      </c>
    </row>
    <row r="1018" spans="2:5">
      <c r="B1018" t="s">
        <v>1895</v>
      </c>
      <c r="C1018">
        <v>512445</v>
      </c>
      <c r="D1018" t="s">
        <v>360</v>
      </c>
      <c r="E1018" t="s">
        <v>343</v>
      </c>
    </row>
    <row r="1019" spans="2:5">
      <c r="B1019" t="s">
        <v>1896</v>
      </c>
      <c r="C1019">
        <v>530765</v>
      </c>
      <c r="D1019" t="s">
        <v>360</v>
      </c>
      <c r="E1019" t="s">
        <v>377</v>
      </c>
    </row>
    <row r="1020" spans="2:5">
      <c r="B1020" t="s">
        <v>1897</v>
      </c>
      <c r="C1020">
        <v>542002</v>
      </c>
      <c r="D1020" t="s">
        <v>360</v>
      </c>
      <c r="E1020" t="s">
        <v>446</v>
      </c>
    </row>
    <row r="1021" spans="2:5">
      <c r="B1021" t="s">
        <v>1898</v>
      </c>
      <c r="C1021">
        <v>511072</v>
      </c>
      <c r="D1021" t="s">
        <v>1899</v>
      </c>
      <c r="E1021" t="s">
        <v>418</v>
      </c>
    </row>
    <row r="1022" spans="2:5">
      <c r="B1022" t="s">
        <v>1900</v>
      </c>
      <c r="C1022">
        <v>519588</v>
      </c>
      <c r="D1022" t="s">
        <v>1901</v>
      </c>
      <c r="E1022" t="s">
        <v>420</v>
      </c>
    </row>
    <row r="1023" spans="2:5">
      <c r="B1023" t="s">
        <v>1902</v>
      </c>
      <c r="C1023">
        <v>538715</v>
      </c>
      <c r="D1023" t="s">
        <v>360</v>
      </c>
      <c r="E1023" t="s">
        <v>480</v>
      </c>
    </row>
    <row r="1024" spans="2:5">
      <c r="B1024" t="s">
        <v>1903</v>
      </c>
      <c r="C1024">
        <v>500119</v>
      </c>
      <c r="D1024" t="s">
        <v>1904</v>
      </c>
      <c r="E1024" t="s">
        <v>1058</v>
      </c>
    </row>
    <row r="1025" spans="2:5">
      <c r="B1025" t="s">
        <v>1905</v>
      </c>
      <c r="C1025">
        <v>531923</v>
      </c>
      <c r="D1025" t="s">
        <v>360</v>
      </c>
      <c r="E1025" t="s">
        <v>1058</v>
      </c>
    </row>
    <row r="1026" spans="2:5">
      <c r="B1026" t="s">
        <v>1906</v>
      </c>
      <c r="C1026">
        <v>531198</v>
      </c>
      <c r="D1026" t="s">
        <v>360</v>
      </c>
      <c r="E1026" t="s">
        <v>561</v>
      </c>
    </row>
    <row r="1027" spans="2:5">
      <c r="B1027" t="s">
        <v>1907</v>
      </c>
      <c r="C1027">
        <v>521216</v>
      </c>
      <c r="D1027" t="s">
        <v>360</v>
      </c>
      <c r="E1027" t="s">
        <v>375</v>
      </c>
    </row>
    <row r="1028" spans="2:5">
      <c r="B1028" t="s">
        <v>1908</v>
      </c>
      <c r="C1028">
        <v>542679</v>
      </c>
      <c r="D1028" t="s">
        <v>1909</v>
      </c>
      <c r="E1028" t="s">
        <v>658</v>
      </c>
    </row>
    <row r="1029" spans="2:5">
      <c r="B1029" t="s">
        <v>1910</v>
      </c>
      <c r="C1029">
        <v>532180</v>
      </c>
      <c r="D1029" t="s">
        <v>1911</v>
      </c>
      <c r="E1029" t="s">
        <v>678</v>
      </c>
    </row>
    <row r="1030" spans="2:5">
      <c r="B1030" t="s">
        <v>1912</v>
      </c>
      <c r="C1030">
        <v>512485</v>
      </c>
      <c r="D1030" t="s">
        <v>360</v>
      </c>
      <c r="E1030" t="s">
        <v>382</v>
      </c>
    </row>
    <row r="1031" spans="2:5">
      <c r="B1031" t="s">
        <v>1913</v>
      </c>
      <c r="C1031">
        <v>521151</v>
      </c>
      <c r="D1031" t="s">
        <v>360</v>
      </c>
      <c r="E1031" t="s">
        <v>375</v>
      </c>
    </row>
    <row r="1032" spans="2:5">
      <c r="B1032" t="s">
        <v>1914</v>
      </c>
      <c r="C1032">
        <v>503637</v>
      </c>
      <c r="D1032" t="s">
        <v>360</v>
      </c>
      <c r="E1032" t="s">
        <v>343</v>
      </c>
    </row>
    <row r="1033" spans="2:5">
      <c r="B1033" t="s">
        <v>1915</v>
      </c>
      <c r="C1033">
        <v>507717</v>
      </c>
      <c r="D1033" t="s">
        <v>1916</v>
      </c>
      <c r="E1033" t="s">
        <v>504</v>
      </c>
    </row>
    <row r="1034" spans="2:5">
      <c r="B1034" t="s">
        <v>1917</v>
      </c>
      <c r="C1034">
        <v>538446</v>
      </c>
      <c r="D1034" t="s">
        <v>360</v>
      </c>
      <c r="E1034" t="s">
        <v>343</v>
      </c>
    </row>
    <row r="1035" spans="2:5">
      <c r="B1035" t="s">
        <v>1918</v>
      </c>
      <c r="C1035" t="s">
        <v>360</v>
      </c>
      <c r="D1035" t="s">
        <v>1919</v>
      </c>
      <c r="E1035" t="s">
        <v>371</v>
      </c>
    </row>
    <row r="1036" spans="2:5">
      <c r="B1036" t="s">
        <v>1920</v>
      </c>
      <c r="C1036">
        <v>531043</v>
      </c>
      <c r="D1036" t="s">
        <v>360</v>
      </c>
      <c r="E1036" t="s">
        <v>549</v>
      </c>
    </row>
    <row r="1037" spans="2:5">
      <c r="B1037" t="s">
        <v>1921</v>
      </c>
      <c r="C1037">
        <v>540268</v>
      </c>
      <c r="D1037" t="s">
        <v>360</v>
      </c>
      <c r="E1037" t="s">
        <v>343</v>
      </c>
    </row>
    <row r="1038" spans="2:5">
      <c r="B1038" t="s">
        <v>1922</v>
      </c>
      <c r="C1038">
        <v>506405</v>
      </c>
      <c r="D1038" t="s">
        <v>360</v>
      </c>
      <c r="E1038" t="s">
        <v>520</v>
      </c>
    </row>
    <row r="1039" spans="2:5">
      <c r="B1039" t="s">
        <v>1923</v>
      </c>
      <c r="C1039">
        <v>511451</v>
      </c>
      <c r="D1039" t="s">
        <v>360</v>
      </c>
      <c r="E1039" t="s">
        <v>377</v>
      </c>
    </row>
    <row r="1040" spans="2:5">
      <c r="B1040" t="s">
        <v>1924</v>
      </c>
      <c r="C1040">
        <v>507442</v>
      </c>
      <c r="D1040" t="s">
        <v>1925</v>
      </c>
      <c r="E1040" t="s">
        <v>1058</v>
      </c>
    </row>
    <row r="1041" spans="2:5">
      <c r="B1041" t="s">
        <v>1926</v>
      </c>
      <c r="C1041">
        <v>501945</v>
      </c>
      <c r="D1041" t="s">
        <v>360</v>
      </c>
      <c r="E1041" t="s">
        <v>377</v>
      </c>
    </row>
    <row r="1042" spans="2:5">
      <c r="B1042" t="s">
        <v>1927</v>
      </c>
      <c r="C1042">
        <v>526971</v>
      </c>
      <c r="D1042" t="s">
        <v>360</v>
      </c>
      <c r="E1042" t="s">
        <v>382</v>
      </c>
    </row>
    <row r="1043" spans="2:5">
      <c r="B1043" t="s">
        <v>1928</v>
      </c>
      <c r="C1043">
        <v>531306</v>
      </c>
      <c r="D1043" t="s">
        <v>360</v>
      </c>
      <c r="E1043" t="s">
        <v>368</v>
      </c>
    </row>
    <row r="1044" spans="2:5">
      <c r="B1044" t="s">
        <v>1929</v>
      </c>
      <c r="C1044">
        <v>531306</v>
      </c>
      <c r="D1044" t="s">
        <v>360</v>
      </c>
      <c r="E1044" t="s">
        <v>368</v>
      </c>
    </row>
    <row r="1045" spans="2:5">
      <c r="B1045" t="s">
        <v>1930</v>
      </c>
      <c r="C1045">
        <v>541302</v>
      </c>
      <c r="D1045" t="s">
        <v>360</v>
      </c>
      <c r="E1045" t="s">
        <v>758</v>
      </c>
    </row>
    <row r="1046" spans="2:5">
      <c r="B1046" t="s">
        <v>1931</v>
      </c>
      <c r="C1046">
        <v>507886</v>
      </c>
      <c r="D1046" t="s">
        <v>360</v>
      </c>
      <c r="E1046" t="s">
        <v>446</v>
      </c>
    </row>
    <row r="1047" spans="2:5">
      <c r="B1047" t="s">
        <v>1932</v>
      </c>
      <c r="C1047">
        <v>540695</v>
      </c>
      <c r="D1047" t="s">
        <v>360</v>
      </c>
      <c r="E1047" t="s">
        <v>382</v>
      </c>
    </row>
    <row r="1048" spans="2:5">
      <c r="B1048" t="s">
        <v>1933</v>
      </c>
      <c r="C1048">
        <v>531237</v>
      </c>
      <c r="D1048" t="s">
        <v>360</v>
      </c>
      <c r="E1048" t="s">
        <v>377</v>
      </c>
    </row>
    <row r="1049" spans="2:5">
      <c r="B1049" t="s">
        <v>1934</v>
      </c>
      <c r="C1049">
        <v>533336</v>
      </c>
      <c r="D1049" t="s">
        <v>1935</v>
      </c>
      <c r="E1049" t="s">
        <v>380</v>
      </c>
    </row>
    <row r="1050" spans="2:5">
      <c r="B1050" t="s">
        <v>1936</v>
      </c>
      <c r="C1050">
        <v>523736</v>
      </c>
      <c r="D1050" t="s">
        <v>1937</v>
      </c>
      <c r="E1050" t="s">
        <v>737</v>
      </c>
    </row>
    <row r="1051" spans="2:5">
      <c r="B1051" t="s">
        <v>1938</v>
      </c>
      <c r="C1051">
        <v>538902</v>
      </c>
      <c r="D1051" t="s">
        <v>1939</v>
      </c>
      <c r="E1051" t="s">
        <v>767</v>
      </c>
    </row>
    <row r="1052" spans="2:5">
      <c r="B1052" t="s">
        <v>1940</v>
      </c>
      <c r="C1052" t="s">
        <v>360</v>
      </c>
      <c r="D1052" t="s">
        <v>1941</v>
      </c>
      <c r="E1052" t="s">
        <v>767</v>
      </c>
    </row>
    <row r="1053" spans="2:5">
      <c r="B1053" t="s">
        <v>1942</v>
      </c>
      <c r="C1053">
        <v>508860</v>
      </c>
      <c r="D1053" t="s">
        <v>360</v>
      </c>
      <c r="E1053" t="s">
        <v>758</v>
      </c>
    </row>
    <row r="1054" spans="2:5">
      <c r="B1054" t="s">
        <v>1943</v>
      </c>
      <c r="C1054">
        <v>500120</v>
      </c>
      <c r="D1054" t="s">
        <v>360</v>
      </c>
      <c r="E1054" t="s">
        <v>408</v>
      </c>
    </row>
    <row r="1055" spans="2:5">
      <c r="B1055" t="s">
        <v>1944</v>
      </c>
      <c r="C1055">
        <v>522163</v>
      </c>
      <c r="D1055" t="s">
        <v>1945</v>
      </c>
      <c r="E1055" t="s">
        <v>658</v>
      </c>
    </row>
    <row r="1056" spans="2:5">
      <c r="B1056" t="s">
        <v>1946</v>
      </c>
      <c r="C1056">
        <v>530959</v>
      </c>
      <c r="D1056" t="s">
        <v>360</v>
      </c>
      <c r="E1056" t="s">
        <v>767</v>
      </c>
    </row>
    <row r="1057" spans="2:5">
      <c r="B1057" t="s">
        <v>1947</v>
      </c>
      <c r="C1057">
        <v>500089</v>
      </c>
      <c r="D1057" t="s">
        <v>1948</v>
      </c>
      <c r="E1057" t="s">
        <v>520</v>
      </c>
    </row>
    <row r="1058" spans="2:5">
      <c r="B1058" t="s">
        <v>1949</v>
      </c>
      <c r="C1058">
        <v>500089</v>
      </c>
      <c r="D1058" t="s">
        <v>1948</v>
      </c>
      <c r="E1058" t="s">
        <v>520</v>
      </c>
    </row>
    <row r="1059" spans="2:5">
      <c r="B1059" t="s">
        <v>1950</v>
      </c>
      <c r="C1059">
        <v>540811</v>
      </c>
      <c r="D1059" t="s">
        <v>360</v>
      </c>
      <c r="E1059" t="s">
        <v>382</v>
      </c>
    </row>
    <row r="1060" spans="2:5">
      <c r="B1060" t="s">
        <v>1951</v>
      </c>
      <c r="C1060">
        <v>542685</v>
      </c>
      <c r="D1060" t="s">
        <v>1952</v>
      </c>
      <c r="E1060" t="s">
        <v>884</v>
      </c>
    </row>
    <row r="1061" spans="2:5">
      <c r="B1061" t="s">
        <v>1953</v>
      </c>
      <c r="C1061">
        <v>539979</v>
      </c>
      <c r="D1061" t="s">
        <v>1954</v>
      </c>
      <c r="E1061" t="s">
        <v>375</v>
      </c>
    </row>
    <row r="1062" spans="2:5">
      <c r="B1062" t="s">
        <v>1955</v>
      </c>
      <c r="C1062">
        <v>540151</v>
      </c>
      <c r="D1062" t="s">
        <v>360</v>
      </c>
      <c r="E1062" t="s">
        <v>363</v>
      </c>
    </row>
    <row r="1063" spans="2:5">
      <c r="B1063" t="s">
        <v>1956</v>
      </c>
      <c r="C1063">
        <v>542155</v>
      </c>
      <c r="D1063" t="s">
        <v>1957</v>
      </c>
      <c r="E1063" t="s">
        <v>726</v>
      </c>
    </row>
    <row r="1064" spans="2:5">
      <c r="B1064" t="s">
        <v>1958</v>
      </c>
      <c r="C1064">
        <v>506414</v>
      </c>
      <c r="D1064" t="s">
        <v>360</v>
      </c>
      <c r="E1064" t="s">
        <v>398</v>
      </c>
    </row>
    <row r="1065" spans="2:5">
      <c r="B1065" t="s">
        <v>1959</v>
      </c>
      <c r="C1065">
        <v>531153</v>
      </c>
      <c r="D1065" t="s">
        <v>360</v>
      </c>
      <c r="E1065" t="s">
        <v>609</v>
      </c>
    </row>
    <row r="1066" spans="2:5">
      <c r="B1066" t="s">
        <v>1960</v>
      </c>
      <c r="C1066">
        <v>540789</v>
      </c>
      <c r="D1066" t="s">
        <v>1961</v>
      </c>
      <c r="E1066" t="s">
        <v>1962</v>
      </c>
    </row>
    <row r="1067" spans="2:5">
      <c r="B1067" t="s">
        <v>1963</v>
      </c>
      <c r="C1067">
        <v>540047</v>
      </c>
      <c r="D1067" t="s">
        <v>1964</v>
      </c>
      <c r="E1067" t="s">
        <v>955</v>
      </c>
    </row>
    <row r="1068" spans="2:5">
      <c r="B1068" t="s">
        <v>1965</v>
      </c>
      <c r="C1068">
        <v>526927</v>
      </c>
      <c r="D1068" t="s">
        <v>360</v>
      </c>
      <c r="E1068" t="s">
        <v>453</v>
      </c>
    </row>
    <row r="1069" spans="2:5">
      <c r="B1069" t="s">
        <v>1966</v>
      </c>
      <c r="C1069">
        <v>500068</v>
      </c>
      <c r="D1069" t="s">
        <v>360</v>
      </c>
      <c r="E1069" t="s">
        <v>368</v>
      </c>
    </row>
    <row r="1070" spans="2:5">
      <c r="B1070" t="s">
        <v>1967</v>
      </c>
      <c r="C1070">
        <v>500068</v>
      </c>
      <c r="D1070" t="s">
        <v>360</v>
      </c>
      <c r="E1070" t="s">
        <v>368</v>
      </c>
    </row>
    <row r="1071" spans="2:5">
      <c r="B1071" t="s">
        <v>1968</v>
      </c>
      <c r="C1071">
        <v>532839</v>
      </c>
      <c r="D1071" t="s">
        <v>1969</v>
      </c>
      <c r="E1071" t="s">
        <v>1098</v>
      </c>
    </row>
    <row r="1072" spans="2:5">
      <c r="B1072" t="s">
        <v>1970</v>
      </c>
      <c r="C1072">
        <v>532839</v>
      </c>
      <c r="D1072" t="s">
        <v>1969</v>
      </c>
      <c r="E1072" t="s">
        <v>1098</v>
      </c>
    </row>
    <row r="1073" spans="2:5">
      <c r="B1073" t="s">
        <v>1971</v>
      </c>
      <c r="C1073">
        <v>531553</v>
      </c>
      <c r="D1073" t="s">
        <v>360</v>
      </c>
      <c r="E1073" t="s">
        <v>781</v>
      </c>
    </row>
    <row r="1074" spans="2:5">
      <c r="B1074" t="s">
        <v>1972</v>
      </c>
      <c r="C1074">
        <v>540701</v>
      </c>
      <c r="D1074" t="s">
        <v>1973</v>
      </c>
      <c r="E1074" t="s">
        <v>398</v>
      </c>
    </row>
    <row r="1075" spans="2:5">
      <c r="B1075" t="s">
        <v>1974</v>
      </c>
      <c r="C1075">
        <v>538432</v>
      </c>
      <c r="D1075" t="s">
        <v>360</v>
      </c>
      <c r="E1075" t="s">
        <v>382</v>
      </c>
    </row>
    <row r="1076" spans="2:5">
      <c r="B1076" t="s">
        <v>1975</v>
      </c>
      <c r="C1076">
        <v>532488</v>
      </c>
      <c r="D1076" t="s">
        <v>1976</v>
      </c>
      <c r="E1076" t="s">
        <v>398</v>
      </c>
    </row>
    <row r="1077" spans="2:5">
      <c r="B1077" t="s">
        <v>1977</v>
      </c>
      <c r="C1077">
        <v>526285</v>
      </c>
      <c r="D1077" t="s">
        <v>360</v>
      </c>
      <c r="E1077" t="s">
        <v>609</v>
      </c>
    </row>
    <row r="1078" spans="2:5">
      <c r="B1078" t="s">
        <v>1978</v>
      </c>
      <c r="C1078">
        <v>526315</v>
      </c>
      <c r="D1078" t="s">
        <v>360</v>
      </c>
      <c r="E1078" t="s">
        <v>888</v>
      </c>
    </row>
    <row r="1079" spans="2:5">
      <c r="B1079" t="s">
        <v>1979</v>
      </c>
      <c r="C1079">
        <v>540699</v>
      </c>
      <c r="D1079" t="s">
        <v>1980</v>
      </c>
      <c r="E1079" t="s">
        <v>729</v>
      </c>
    </row>
    <row r="1080" spans="2:5">
      <c r="B1080" t="s">
        <v>1981</v>
      </c>
      <c r="C1080">
        <v>540699</v>
      </c>
      <c r="D1080" t="s">
        <v>1980</v>
      </c>
      <c r="E1080" t="s">
        <v>729</v>
      </c>
    </row>
    <row r="1081" spans="2:5">
      <c r="B1081" t="s">
        <v>1982</v>
      </c>
      <c r="C1081">
        <v>532868</v>
      </c>
      <c r="D1081" t="s">
        <v>1983</v>
      </c>
      <c r="E1081" t="s">
        <v>446</v>
      </c>
    </row>
    <row r="1082" spans="2:5">
      <c r="B1082" t="s">
        <v>1984</v>
      </c>
      <c r="C1082">
        <v>533146</v>
      </c>
      <c r="D1082" t="s">
        <v>1985</v>
      </c>
      <c r="E1082" t="s">
        <v>1986</v>
      </c>
    </row>
    <row r="1083" spans="2:5">
      <c r="B1083" t="s">
        <v>1987</v>
      </c>
      <c r="C1083">
        <v>533146</v>
      </c>
      <c r="D1083" t="s">
        <v>1988</v>
      </c>
      <c r="E1083" t="s">
        <v>1986</v>
      </c>
    </row>
    <row r="1084" spans="2:5">
      <c r="B1084" t="s">
        <v>1989</v>
      </c>
      <c r="C1084">
        <v>505526</v>
      </c>
      <c r="D1084" t="s">
        <v>360</v>
      </c>
      <c r="E1084" t="s">
        <v>380</v>
      </c>
    </row>
    <row r="1085" spans="2:5">
      <c r="B1085" t="s">
        <v>1990</v>
      </c>
      <c r="C1085">
        <v>542013</v>
      </c>
      <c r="D1085" t="s">
        <v>360</v>
      </c>
      <c r="E1085" t="s">
        <v>840</v>
      </c>
    </row>
    <row r="1086" spans="2:5">
      <c r="B1086" t="s">
        <v>1991</v>
      </c>
      <c r="C1086">
        <v>541403</v>
      </c>
      <c r="D1086" t="s">
        <v>1992</v>
      </c>
      <c r="E1086" t="s">
        <v>474</v>
      </c>
    </row>
    <row r="1087" spans="2:5">
      <c r="B1087" t="s">
        <v>1993</v>
      </c>
      <c r="C1087">
        <v>526504</v>
      </c>
      <c r="D1087" t="s">
        <v>360</v>
      </c>
      <c r="E1087" t="s">
        <v>549</v>
      </c>
    </row>
    <row r="1088" spans="2:5">
      <c r="B1088" t="s">
        <v>1994</v>
      </c>
      <c r="C1088">
        <v>522261</v>
      </c>
      <c r="D1088" t="s">
        <v>1995</v>
      </c>
      <c r="E1088" t="s">
        <v>701</v>
      </c>
    </row>
    <row r="1089" spans="2:5">
      <c r="B1089" t="s">
        <v>1996</v>
      </c>
      <c r="C1089">
        <v>522261</v>
      </c>
      <c r="D1089" t="s">
        <v>1995</v>
      </c>
      <c r="E1089" t="s">
        <v>701</v>
      </c>
    </row>
    <row r="1090" spans="2:5">
      <c r="B1090" t="s">
        <v>1997</v>
      </c>
      <c r="C1090">
        <v>512519</v>
      </c>
      <c r="D1090" t="s">
        <v>1998</v>
      </c>
      <c r="E1090" t="s">
        <v>375</v>
      </c>
    </row>
    <row r="1091" spans="2:5">
      <c r="B1091" t="s">
        <v>1999</v>
      </c>
      <c r="C1091" t="s">
        <v>360</v>
      </c>
      <c r="D1091" t="s">
        <v>2000</v>
      </c>
      <c r="E1091" t="s">
        <v>451</v>
      </c>
    </row>
    <row r="1092" spans="2:5">
      <c r="B1092" t="s">
        <v>2001</v>
      </c>
      <c r="C1092">
        <v>533176</v>
      </c>
      <c r="D1092" t="s">
        <v>2002</v>
      </c>
      <c r="E1092" t="s">
        <v>363</v>
      </c>
    </row>
    <row r="1093" spans="2:5">
      <c r="B1093" t="s">
        <v>2003</v>
      </c>
      <c r="C1093">
        <v>526783</v>
      </c>
      <c r="D1093" t="s">
        <v>360</v>
      </c>
      <c r="E1093" t="s">
        <v>549</v>
      </c>
    </row>
    <row r="1094" spans="2:5">
      <c r="B1094" t="s">
        <v>2004</v>
      </c>
      <c r="C1094">
        <v>539267</v>
      </c>
      <c r="D1094" t="s">
        <v>360</v>
      </c>
      <c r="E1094" t="s">
        <v>382</v>
      </c>
    </row>
    <row r="1095" spans="2:5">
      <c r="B1095" t="s">
        <v>2005</v>
      </c>
      <c r="C1095">
        <v>539524</v>
      </c>
      <c r="D1095" t="s">
        <v>2006</v>
      </c>
      <c r="E1095" t="s">
        <v>549</v>
      </c>
    </row>
    <row r="1096" spans="2:5">
      <c r="B1096" t="s">
        <v>2007</v>
      </c>
      <c r="C1096">
        <v>541299</v>
      </c>
      <c r="D1096" t="s">
        <v>360</v>
      </c>
      <c r="E1096" t="s">
        <v>549</v>
      </c>
    </row>
    <row r="1097" spans="2:5">
      <c r="B1097" t="s">
        <v>2008</v>
      </c>
      <c r="C1097">
        <v>500124</v>
      </c>
      <c r="D1097" t="s">
        <v>2009</v>
      </c>
      <c r="E1097" t="s">
        <v>398</v>
      </c>
    </row>
    <row r="1098" spans="2:5">
      <c r="B1098" t="s">
        <v>2010</v>
      </c>
      <c r="C1098">
        <v>540144</v>
      </c>
      <c r="D1098" t="s">
        <v>360</v>
      </c>
      <c r="E1098" t="s">
        <v>444</v>
      </c>
    </row>
    <row r="1099" spans="2:5">
      <c r="B1099" t="s">
        <v>2011</v>
      </c>
      <c r="C1099">
        <v>523618</v>
      </c>
      <c r="D1099" t="s">
        <v>2012</v>
      </c>
      <c r="E1099" t="s">
        <v>1607</v>
      </c>
    </row>
    <row r="1100" spans="2:5">
      <c r="B1100" t="s">
        <v>2013</v>
      </c>
      <c r="C1100">
        <v>523618</v>
      </c>
      <c r="D1100" t="s">
        <v>2012</v>
      </c>
      <c r="E1100" t="s">
        <v>1607</v>
      </c>
    </row>
    <row r="1101" spans="2:5">
      <c r="B1101" t="s">
        <v>2014</v>
      </c>
      <c r="C1101">
        <v>534674</v>
      </c>
      <c r="D1101" t="s">
        <v>2015</v>
      </c>
      <c r="E1101" t="s">
        <v>382</v>
      </c>
    </row>
    <row r="1102" spans="2:5">
      <c r="B1102" t="s">
        <v>2016</v>
      </c>
      <c r="C1102">
        <v>511634</v>
      </c>
      <c r="D1102" t="s">
        <v>360</v>
      </c>
      <c r="E1102" t="s">
        <v>758</v>
      </c>
    </row>
    <row r="1103" spans="2:5">
      <c r="B1103" t="s">
        <v>2017</v>
      </c>
      <c r="C1103">
        <v>531471</v>
      </c>
      <c r="D1103" t="s">
        <v>360</v>
      </c>
      <c r="E1103" t="s">
        <v>701</v>
      </c>
    </row>
    <row r="1104" spans="2:5">
      <c r="B1104" t="s">
        <v>2018</v>
      </c>
      <c r="C1104">
        <v>504908</v>
      </c>
      <c r="D1104" t="s">
        <v>360</v>
      </c>
      <c r="E1104" t="s">
        <v>715</v>
      </c>
    </row>
    <row r="1105" spans="2:5">
      <c r="B1105" t="s">
        <v>2019</v>
      </c>
      <c r="C1105">
        <v>526355</v>
      </c>
      <c r="D1105" t="s">
        <v>360</v>
      </c>
      <c r="E1105" t="s">
        <v>480</v>
      </c>
    </row>
    <row r="1106" spans="2:5">
      <c r="B1106" t="s">
        <v>2020</v>
      </c>
      <c r="C1106">
        <v>517437</v>
      </c>
      <c r="D1106" t="s">
        <v>360</v>
      </c>
      <c r="E1106" t="s">
        <v>480</v>
      </c>
    </row>
    <row r="1107" spans="2:5">
      <c r="B1107" t="s">
        <v>2021</v>
      </c>
      <c r="C1107">
        <v>532610</v>
      </c>
      <c r="D1107" t="s">
        <v>2022</v>
      </c>
      <c r="E1107" t="s">
        <v>1058</v>
      </c>
    </row>
    <row r="1108" spans="2:5">
      <c r="B1108" t="s">
        <v>2023</v>
      </c>
      <c r="C1108">
        <v>538608</v>
      </c>
      <c r="D1108" t="s">
        <v>2024</v>
      </c>
      <c r="E1108" t="s">
        <v>726</v>
      </c>
    </row>
    <row r="1109" spans="2:5">
      <c r="B1109" t="s">
        <v>2025</v>
      </c>
      <c r="C1109">
        <v>532365</v>
      </c>
      <c r="D1109" t="s">
        <v>2026</v>
      </c>
      <c r="E1109" t="s">
        <v>346</v>
      </c>
    </row>
    <row r="1110" spans="2:5">
      <c r="B1110" t="s">
        <v>2027</v>
      </c>
      <c r="C1110">
        <v>505242</v>
      </c>
      <c r="D1110" t="s">
        <v>2028</v>
      </c>
      <c r="E1110" t="s">
        <v>368</v>
      </c>
    </row>
    <row r="1111" spans="2:5">
      <c r="B1111" t="s">
        <v>2029</v>
      </c>
      <c r="C1111">
        <v>539681</v>
      </c>
      <c r="D1111" t="s">
        <v>360</v>
      </c>
      <c r="E1111" t="s">
        <v>377</v>
      </c>
    </row>
    <row r="1112" spans="2:5">
      <c r="B1112" t="s">
        <v>2030</v>
      </c>
      <c r="C1112">
        <v>540795</v>
      </c>
      <c r="D1112" t="s">
        <v>360</v>
      </c>
      <c r="E1112" t="s">
        <v>658</v>
      </c>
    </row>
    <row r="1113" spans="2:5">
      <c r="B1113" t="s">
        <v>2031</v>
      </c>
      <c r="C1113">
        <v>524818</v>
      </c>
      <c r="D1113" t="s">
        <v>360</v>
      </c>
      <c r="E1113" t="s">
        <v>520</v>
      </c>
    </row>
    <row r="1114" spans="2:5">
      <c r="B1114" t="s">
        <v>2032</v>
      </c>
      <c r="C1114">
        <v>530779</v>
      </c>
      <c r="D1114" t="s">
        <v>360</v>
      </c>
      <c r="E1114" t="s">
        <v>377</v>
      </c>
    </row>
    <row r="1115" spans="2:5">
      <c r="B1115" t="s">
        <v>2033</v>
      </c>
      <c r="C1115">
        <v>517238</v>
      </c>
      <c r="D1115" t="s">
        <v>360</v>
      </c>
      <c r="E1115" t="s">
        <v>902</v>
      </c>
    </row>
    <row r="1116" spans="2:5">
      <c r="B1116" t="s">
        <v>2034</v>
      </c>
      <c r="C1116">
        <v>532707</v>
      </c>
      <c r="D1116" t="s">
        <v>2035</v>
      </c>
      <c r="E1116" t="s">
        <v>520</v>
      </c>
    </row>
    <row r="1117" spans="2:5">
      <c r="B1117" t="s">
        <v>2036</v>
      </c>
      <c r="C1117">
        <v>531533</v>
      </c>
      <c r="D1117" t="s">
        <v>360</v>
      </c>
      <c r="E1117" t="s">
        <v>346</v>
      </c>
    </row>
    <row r="1118" spans="2:5">
      <c r="B1118" t="s">
        <v>2037</v>
      </c>
      <c r="C1118" t="s">
        <v>360</v>
      </c>
      <c r="D1118" t="s">
        <v>2038</v>
      </c>
      <c r="E1118" t="s">
        <v>371</v>
      </c>
    </row>
    <row r="1119" spans="2:5">
      <c r="B1119" t="s">
        <v>2039</v>
      </c>
      <c r="C1119">
        <v>507917</v>
      </c>
      <c r="D1119" t="s">
        <v>360</v>
      </c>
      <c r="E1119" t="s">
        <v>446</v>
      </c>
    </row>
    <row r="1120" spans="2:5">
      <c r="B1120" t="s">
        <v>2040</v>
      </c>
      <c r="C1120">
        <v>520081</v>
      </c>
      <c r="D1120" t="s">
        <v>360</v>
      </c>
      <c r="E1120" t="s">
        <v>392</v>
      </c>
    </row>
    <row r="1121" spans="2:5">
      <c r="B1121" t="s">
        <v>2041</v>
      </c>
      <c r="C1121">
        <v>541053</v>
      </c>
      <c r="D1121" t="s">
        <v>360</v>
      </c>
      <c r="E1121" t="s">
        <v>343</v>
      </c>
    </row>
    <row r="1122" spans="2:5">
      <c r="B1122" t="s">
        <v>2042</v>
      </c>
      <c r="C1122">
        <v>590022</v>
      </c>
      <c r="D1122" t="s">
        <v>2043</v>
      </c>
      <c r="E1122" t="s">
        <v>375</v>
      </c>
    </row>
    <row r="1123" spans="2:5">
      <c r="B1123" t="s">
        <v>2044</v>
      </c>
      <c r="C1123">
        <v>531346</v>
      </c>
      <c r="D1123" t="s">
        <v>360</v>
      </c>
      <c r="E1123" t="s">
        <v>840</v>
      </c>
    </row>
    <row r="1124" spans="2:5">
      <c r="B1124" t="s">
        <v>2045</v>
      </c>
      <c r="C1124">
        <v>532751</v>
      </c>
      <c r="D1124" t="s">
        <v>2046</v>
      </c>
      <c r="E1124" t="s">
        <v>658</v>
      </c>
    </row>
    <row r="1125" spans="2:5">
      <c r="B1125" t="s">
        <v>2047</v>
      </c>
      <c r="C1125" t="s">
        <v>360</v>
      </c>
      <c r="D1125" t="s">
        <v>2048</v>
      </c>
      <c r="E1125" t="s">
        <v>451</v>
      </c>
    </row>
    <row r="1126" spans="2:5">
      <c r="B1126" t="s">
        <v>2049</v>
      </c>
      <c r="C1126">
        <v>532927</v>
      </c>
      <c r="D1126" t="s">
        <v>2050</v>
      </c>
      <c r="E1126" t="s">
        <v>690</v>
      </c>
    </row>
    <row r="1127" spans="2:5">
      <c r="B1127" t="s">
        <v>2051</v>
      </c>
      <c r="C1127">
        <v>534839</v>
      </c>
      <c r="D1127" t="s">
        <v>360</v>
      </c>
      <c r="E1127" t="s">
        <v>558</v>
      </c>
    </row>
    <row r="1128" spans="2:5">
      <c r="B1128" t="s">
        <v>2052</v>
      </c>
      <c r="C1128">
        <v>530643</v>
      </c>
      <c r="D1128" t="s">
        <v>360</v>
      </c>
      <c r="E1128" t="s">
        <v>902</v>
      </c>
    </row>
    <row r="1129" spans="2:5">
      <c r="B1129" t="s">
        <v>2053</v>
      </c>
      <c r="C1129">
        <v>523732</v>
      </c>
      <c r="D1129" t="s">
        <v>360</v>
      </c>
      <c r="E1129" t="s">
        <v>855</v>
      </c>
    </row>
    <row r="1130" spans="2:5">
      <c r="B1130" t="s">
        <v>2054</v>
      </c>
      <c r="C1130">
        <v>538708</v>
      </c>
      <c r="D1130" t="s">
        <v>360</v>
      </c>
      <c r="E1130" t="s">
        <v>377</v>
      </c>
    </row>
    <row r="1131" spans="2:5">
      <c r="B1131" t="s">
        <v>2055</v>
      </c>
      <c r="C1131">
        <v>538708</v>
      </c>
      <c r="D1131" t="s">
        <v>360</v>
      </c>
      <c r="E1131" t="s">
        <v>377</v>
      </c>
    </row>
    <row r="1132" spans="2:5">
      <c r="B1132" t="s">
        <v>2056</v>
      </c>
      <c r="C1132">
        <v>526703</v>
      </c>
      <c r="D1132" t="s">
        <v>360</v>
      </c>
      <c r="E1132" t="s">
        <v>480</v>
      </c>
    </row>
    <row r="1133" spans="2:5">
      <c r="B1133" t="s">
        <v>2057</v>
      </c>
      <c r="C1133">
        <v>540063</v>
      </c>
      <c r="D1133" t="s">
        <v>360</v>
      </c>
      <c r="E1133" t="s">
        <v>346</v>
      </c>
    </row>
    <row r="1134" spans="2:5">
      <c r="B1134" t="s">
        <v>2058</v>
      </c>
      <c r="C1134">
        <v>532922</v>
      </c>
      <c r="D1134" t="s">
        <v>2059</v>
      </c>
      <c r="E1134" t="s">
        <v>343</v>
      </c>
    </row>
    <row r="1135" spans="2:5">
      <c r="B1135" t="s">
        <v>2060</v>
      </c>
      <c r="C1135">
        <v>532696</v>
      </c>
      <c r="D1135" t="s">
        <v>2061</v>
      </c>
      <c r="E1135" t="s">
        <v>465</v>
      </c>
    </row>
    <row r="1136" spans="2:5">
      <c r="B1136" t="s">
        <v>2062</v>
      </c>
      <c r="C1136">
        <v>526483</v>
      </c>
      <c r="D1136" t="s">
        <v>360</v>
      </c>
      <c r="E1136" t="s">
        <v>1598</v>
      </c>
    </row>
    <row r="1137" spans="2:5">
      <c r="B1137" t="s">
        <v>2063</v>
      </c>
      <c r="C1137">
        <v>535694</v>
      </c>
      <c r="D1137" t="s">
        <v>360</v>
      </c>
      <c r="E1137" t="s">
        <v>382</v>
      </c>
    </row>
    <row r="1138" spans="2:5">
      <c r="B1138" t="s">
        <v>2064</v>
      </c>
      <c r="C1138">
        <v>505200</v>
      </c>
      <c r="D1138" t="s">
        <v>2065</v>
      </c>
      <c r="E1138" t="s">
        <v>1017</v>
      </c>
    </row>
    <row r="1139" spans="2:5">
      <c r="B1139" t="s">
        <v>2066</v>
      </c>
      <c r="C1139">
        <v>500125</v>
      </c>
      <c r="D1139" t="s">
        <v>2067</v>
      </c>
      <c r="E1139" t="s">
        <v>1058</v>
      </c>
    </row>
    <row r="1140" spans="2:5">
      <c r="B1140" t="s">
        <v>2068</v>
      </c>
      <c r="C1140">
        <v>500125</v>
      </c>
      <c r="D1140" t="s">
        <v>2067</v>
      </c>
      <c r="E1140" t="s">
        <v>1058</v>
      </c>
    </row>
    <row r="1141" spans="2:5">
      <c r="B1141" t="s">
        <v>2069</v>
      </c>
      <c r="C1141">
        <v>523127</v>
      </c>
      <c r="D1141" t="s">
        <v>2070</v>
      </c>
      <c r="E1141" t="s">
        <v>561</v>
      </c>
    </row>
    <row r="1142" spans="2:5">
      <c r="B1142" t="s">
        <v>2071</v>
      </c>
      <c r="C1142">
        <v>500840</v>
      </c>
      <c r="D1142" t="s">
        <v>2072</v>
      </c>
      <c r="E1142" t="s">
        <v>561</v>
      </c>
    </row>
    <row r="1143" spans="2:5">
      <c r="B1143" t="s">
        <v>2073</v>
      </c>
      <c r="C1143">
        <v>523708</v>
      </c>
      <c r="D1143" t="s">
        <v>2074</v>
      </c>
      <c r="E1143" t="s">
        <v>368</v>
      </c>
    </row>
    <row r="1144" spans="2:5">
      <c r="B1144" t="s">
        <v>2075</v>
      </c>
      <c r="C1144">
        <v>523708</v>
      </c>
      <c r="D1144" t="s">
        <v>2074</v>
      </c>
      <c r="E1144" t="s">
        <v>368</v>
      </c>
    </row>
    <row r="1145" spans="2:5">
      <c r="B1145" t="s">
        <v>2076</v>
      </c>
      <c r="C1145">
        <v>538653</v>
      </c>
      <c r="D1145" t="s">
        <v>2077</v>
      </c>
      <c r="E1145" t="s">
        <v>726</v>
      </c>
    </row>
    <row r="1146" spans="2:5">
      <c r="B1146" t="s">
        <v>2078</v>
      </c>
      <c r="C1146">
        <v>530581</v>
      </c>
      <c r="D1146" t="s">
        <v>360</v>
      </c>
      <c r="E1146" t="s">
        <v>781</v>
      </c>
    </row>
    <row r="1147" spans="2:5">
      <c r="B1147" t="s">
        <v>2079</v>
      </c>
      <c r="C1147">
        <v>532820</v>
      </c>
      <c r="D1147" t="s">
        <v>2080</v>
      </c>
      <c r="E1147" t="s">
        <v>375</v>
      </c>
    </row>
    <row r="1148" spans="2:5">
      <c r="B1148" t="s">
        <v>2081</v>
      </c>
      <c r="C1148">
        <v>513452</v>
      </c>
      <c r="D1148" t="s">
        <v>360</v>
      </c>
      <c r="E1148" t="s">
        <v>392</v>
      </c>
    </row>
    <row r="1149" spans="2:5">
      <c r="B1149" t="s">
        <v>2082</v>
      </c>
      <c r="C1149">
        <v>500123</v>
      </c>
      <c r="D1149" t="s">
        <v>360</v>
      </c>
      <c r="E1149" t="s">
        <v>408</v>
      </c>
    </row>
    <row r="1150" spans="2:5">
      <c r="B1150" t="s">
        <v>2083</v>
      </c>
      <c r="C1150">
        <v>500123</v>
      </c>
      <c r="D1150" t="s">
        <v>360</v>
      </c>
      <c r="E1150" t="s">
        <v>408</v>
      </c>
    </row>
    <row r="1151" spans="2:5">
      <c r="B1151" t="s">
        <v>2084</v>
      </c>
      <c r="C1151">
        <v>503681</v>
      </c>
      <c r="D1151" t="s">
        <v>360</v>
      </c>
      <c r="E1151" t="s">
        <v>781</v>
      </c>
    </row>
    <row r="1152" spans="2:5">
      <c r="B1152" t="s">
        <v>2085</v>
      </c>
      <c r="C1152">
        <v>523329</v>
      </c>
      <c r="D1152" t="s">
        <v>360</v>
      </c>
      <c r="E1152" t="s">
        <v>446</v>
      </c>
    </row>
    <row r="1153" spans="2:5">
      <c r="B1153" t="s">
        <v>2086</v>
      </c>
      <c r="C1153">
        <v>505700</v>
      </c>
      <c r="D1153" t="s">
        <v>2087</v>
      </c>
      <c r="E1153" t="s">
        <v>368</v>
      </c>
    </row>
    <row r="1154" spans="2:5">
      <c r="B1154" t="s">
        <v>2088</v>
      </c>
      <c r="C1154">
        <v>500128</v>
      </c>
      <c r="D1154" t="s">
        <v>2089</v>
      </c>
      <c r="E1154" t="s">
        <v>758</v>
      </c>
    </row>
    <row r="1155" spans="2:5">
      <c r="B1155" t="s">
        <v>2090</v>
      </c>
      <c r="C1155">
        <v>533264</v>
      </c>
      <c r="D1155" t="s">
        <v>2091</v>
      </c>
      <c r="E1155" t="s">
        <v>758</v>
      </c>
    </row>
    <row r="1156" spans="2:5">
      <c r="B1156" t="s">
        <v>2092</v>
      </c>
      <c r="C1156">
        <v>526608</v>
      </c>
      <c r="D1156" t="s">
        <v>2093</v>
      </c>
      <c r="E1156" t="s">
        <v>683</v>
      </c>
    </row>
    <row r="1157" spans="2:5">
      <c r="B1157" t="s">
        <v>2094</v>
      </c>
      <c r="C1157">
        <v>526608</v>
      </c>
      <c r="D1157" t="s">
        <v>2093</v>
      </c>
      <c r="E1157" t="s">
        <v>683</v>
      </c>
    </row>
    <row r="1158" spans="2:5">
      <c r="B1158" t="s">
        <v>2095</v>
      </c>
      <c r="C1158">
        <v>526473</v>
      </c>
      <c r="D1158" t="s">
        <v>360</v>
      </c>
      <c r="E1158" t="s">
        <v>558</v>
      </c>
    </row>
    <row r="1159" spans="2:5">
      <c r="B1159" t="s">
        <v>2096</v>
      </c>
      <c r="C1159">
        <v>526473</v>
      </c>
      <c r="D1159" t="s">
        <v>360</v>
      </c>
      <c r="E1159" t="s">
        <v>558</v>
      </c>
    </row>
    <row r="1160" spans="2:5">
      <c r="B1160" t="s">
        <v>2097</v>
      </c>
      <c r="C1160">
        <v>526705</v>
      </c>
      <c r="D1160" t="s">
        <v>360</v>
      </c>
      <c r="E1160" t="s">
        <v>382</v>
      </c>
    </row>
    <row r="1161" spans="2:5">
      <c r="B1161" t="s">
        <v>2098</v>
      </c>
      <c r="C1161">
        <v>522074</v>
      </c>
      <c r="D1161" t="s">
        <v>2099</v>
      </c>
      <c r="E1161" t="s">
        <v>368</v>
      </c>
    </row>
    <row r="1162" spans="2:5">
      <c r="B1162" t="s">
        <v>2100</v>
      </c>
      <c r="C1162" t="s">
        <v>360</v>
      </c>
      <c r="D1162" t="s">
        <v>2101</v>
      </c>
      <c r="E1162" t="s">
        <v>451</v>
      </c>
    </row>
    <row r="1163" spans="2:5">
      <c r="B1163" t="s">
        <v>2102</v>
      </c>
      <c r="C1163">
        <v>531278</v>
      </c>
      <c r="D1163" t="s">
        <v>360</v>
      </c>
      <c r="E1163" t="s">
        <v>343</v>
      </c>
    </row>
    <row r="1164" spans="2:5">
      <c r="B1164" t="s">
        <v>2103</v>
      </c>
      <c r="C1164">
        <v>517477</v>
      </c>
      <c r="D1164" t="s">
        <v>360</v>
      </c>
      <c r="E1164" t="s">
        <v>453</v>
      </c>
    </row>
    <row r="1165" spans="2:5">
      <c r="B1165" t="s">
        <v>2104</v>
      </c>
      <c r="C1165">
        <v>504000</v>
      </c>
      <c r="D1165" t="s">
        <v>360</v>
      </c>
      <c r="E1165" t="s">
        <v>658</v>
      </c>
    </row>
    <row r="1166" spans="2:5">
      <c r="B1166" t="s">
        <v>2105</v>
      </c>
      <c r="C1166">
        <v>522027</v>
      </c>
      <c r="D1166" t="s">
        <v>360</v>
      </c>
      <c r="E1166" t="s">
        <v>368</v>
      </c>
    </row>
    <row r="1167" spans="2:5">
      <c r="B1167" t="s">
        <v>2106</v>
      </c>
      <c r="C1167">
        <v>522027</v>
      </c>
      <c r="D1167" t="s">
        <v>360</v>
      </c>
      <c r="E1167" t="s">
        <v>368</v>
      </c>
    </row>
    <row r="1168" spans="2:5">
      <c r="B1168" t="s">
        <v>2107</v>
      </c>
      <c r="C1168">
        <v>531162</v>
      </c>
      <c r="D1168" t="s">
        <v>2108</v>
      </c>
      <c r="E1168" t="s">
        <v>542</v>
      </c>
    </row>
    <row r="1169" spans="2:5">
      <c r="B1169" t="s">
        <v>2109</v>
      </c>
      <c r="C1169" t="s">
        <v>360</v>
      </c>
      <c r="D1169" t="s">
        <v>2110</v>
      </c>
      <c r="E1169" t="s">
        <v>542</v>
      </c>
    </row>
    <row r="1170" spans="2:5">
      <c r="B1170" t="s">
        <v>2111</v>
      </c>
      <c r="C1170">
        <v>533208</v>
      </c>
      <c r="D1170" t="s">
        <v>360</v>
      </c>
      <c r="E1170" t="s">
        <v>354</v>
      </c>
    </row>
    <row r="1171" spans="2:5">
      <c r="B1171" t="s">
        <v>2112</v>
      </c>
      <c r="C1171">
        <v>533218</v>
      </c>
      <c r="D1171" t="s">
        <v>2113</v>
      </c>
      <c r="E1171" t="s">
        <v>446</v>
      </c>
    </row>
    <row r="1172" spans="2:5">
      <c r="B1172" t="s">
        <v>2114</v>
      </c>
      <c r="C1172">
        <v>542602</v>
      </c>
      <c r="D1172" t="s">
        <v>2115</v>
      </c>
      <c r="E1172" t="s">
        <v>380</v>
      </c>
    </row>
    <row r="1173" spans="2:5">
      <c r="B1173" t="s">
        <v>2116</v>
      </c>
      <c r="C1173">
        <v>504008</v>
      </c>
      <c r="D1173" t="s">
        <v>2117</v>
      </c>
      <c r="E1173" t="s">
        <v>403</v>
      </c>
    </row>
    <row r="1174" spans="2:5">
      <c r="B1174" t="s">
        <v>2118</v>
      </c>
      <c r="C1174">
        <v>538882</v>
      </c>
      <c r="D1174" t="s">
        <v>360</v>
      </c>
      <c r="E1174" t="s">
        <v>343</v>
      </c>
    </row>
    <row r="1175" spans="2:5">
      <c r="B1175" t="s">
        <v>2119</v>
      </c>
      <c r="C1175">
        <v>507265</v>
      </c>
      <c r="D1175" t="s">
        <v>360</v>
      </c>
      <c r="E1175" t="s">
        <v>538</v>
      </c>
    </row>
    <row r="1176" spans="2:5">
      <c r="B1176" t="s">
        <v>2120</v>
      </c>
      <c r="C1176">
        <v>530333</v>
      </c>
      <c r="D1176" t="s">
        <v>360</v>
      </c>
      <c r="E1176" t="s">
        <v>658</v>
      </c>
    </row>
    <row r="1177" spans="2:5">
      <c r="B1177" t="s">
        <v>2121</v>
      </c>
      <c r="C1177">
        <v>532737</v>
      </c>
      <c r="D1177" t="s">
        <v>2122</v>
      </c>
      <c r="E1177" t="s">
        <v>343</v>
      </c>
    </row>
    <row r="1178" spans="2:5">
      <c r="B1178" t="s">
        <v>2123</v>
      </c>
      <c r="C1178" t="s">
        <v>360</v>
      </c>
      <c r="D1178" t="s">
        <v>2124</v>
      </c>
      <c r="E1178" t="s">
        <v>371</v>
      </c>
    </row>
    <row r="1179" spans="2:5">
      <c r="B1179" t="s">
        <v>2125</v>
      </c>
      <c r="C1179">
        <v>533161</v>
      </c>
      <c r="D1179" t="s">
        <v>2126</v>
      </c>
      <c r="E1179" t="s">
        <v>555</v>
      </c>
    </row>
    <row r="1180" spans="2:5">
      <c r="B1180" t="s">
        <v>2127</v>
      </c>
      <c r="C1180">
        <v>524768</v>
      </c>
      <c r="D1180" t="s">
        <v>360</v>
      </c>
      <c r="E1180" t="s">
        <v>408</v>
      </c>
    </row>
    <row r="1181" spans="2:5">
      <c r="B1181" t="s">
        <v>2128</v>
      </c>
      <c r="C1181">
        <v>532038</v>
      </c>
      <c r="D1181" t="s">
        <v>360</v>
      </c>
      <c r="E1181" t="s">
        <v>382</v>
      </c>
    </row>
    <row r="1182" spans="2:5">
      <c r="B1182" t="s">
        <v>2129</v>
      </c>
      <c r="C1182">
        <v>532920</v>
      </c>
      <c r="D1182" t="s">
        <v>2130</v>
      </c>
      <c r="E1182" t="s">
        <v>991</v>
      </c>
    </row>
    <row r="1183" spans="2:5">
      <c r="B1183" t="s">
        <v>2131</v>
      </c>
      <c r="C1183">
        <v>500132</v>
      </c>
      <c r="D1183" t="s">
        <v>360</v>
      </c>
      <c r="E1183" t="s">
        <v>1058</v>
      </c>
    </row>
    <row r="1184" spans="2:5">
      <c r="B1184" t="s">
        <v>2132</v>
      </c>
      <c r="C1184">
        <v>509525</v>
      </c>
      <c r="D1184" t="s">
        <v>360</v>
      </c>
      <c r="E1184" t="s">
        <v>349</v>
      </c>
    </row>
    <row r="1185" spans="2:5">
      <c r="B1185" t="s">
        <v>2133</v>
      </c>
      <c r="C1185">
        <v>504351</v>
      </c>
      <c r="D1185" t="s">
        <v>360</v>
      </c>
      <c r="E1185" t="s">
        <v>346</v>
      </c>
    </row>
    <row r="1186" spans="2:5">
      <c r="B1186" t="s">
        <v>2134</v>
      </c>
      <c r="C1186">
        <v>504351</v>
      </c>
      <c r="D1186" t="s">
        <v>360</v>
      </c>
      <c r="E1186" t="s">
        <v>346</v>
      </c>
    </row>
    <row r="1187" spans="2:5">
      <c r="B1187" t="s">
        <v>2135</v>
      </c>
      <c r="C1187">
        <v>512441</v>
      </c>
      <c r="D1187" t="s">
        <v>360</v>
      </c>
      <c r="E1187" t="s">
        <v>781</v>
      </c>
    </row>
    <row r="1188" spans="2:5">
      <c r="B1188" t="s">
        <v>2136</v>
      </c>
      <c r="C1188">
        <v>538684</v>
      </c>
      <c r="D1188" t="s">
        <v>360</v>
      </c>
      <c r="E1188" t="s">
        <v>363</v>
      </c>
    </row>
    <row r="1189" spans="2:5">
      <c r="B1189" t="s">
        <v>2137</v>
      </c>
      <c r="C1189">
        <v>540153</v>
      </c>
      <c r="D1189" t="s">
        <v>2138</v>
      </c>
      <c r="E1189" t="s">
        <v>1017</v>
      </c>
    </row>
    <row r="1190" spans="2:5">
      <c r="B1190" t="s">
        <v>2139</v>
      </c>
      <c r="C1190">
        <v>532219</v>
      </c>
      <c r="D1190" t="s">
        <v>2140</v>
      </c>
      <c r="E1190" t="s">
        <v>499</v>
      </c>
    </row>
    <row r="1191" spans="2:5">
      <c r="B1191" t="s">
        <v>2141</v>
      </c>
      <c r="C1191">
        <v>532178</v>
      </c>
      <c r="D1191" t="s">
        <v>2142</v>
      </c>
      <c r="E1191" t="s">
        <v>444</v>
      </c>
    </row>
    <row r="1192" spans="2:5">
      <c r="B1192" t="s">
        <v>2143</v>
      </c>
      <c r="C1192">
        <v>532178</v>
      </c>
      <c r="D1192" t="s">
        <v>2142</v>
      </c>
      <c r="E1192" t="s">
        <v>444</v>
      </c>
    </row>
    <row r="1193" spans="2:5">
      <c r="B1193" t="s">
        <v>2144</v>
      </c>
      <c r="C1193">
        <v>533477</v>
      </c>
      <c r="D1193" t="s">
        <v>360</v>
      </c>
      <c r="E1193" t="s">
        <v>715</v>
      </c>
    </row>
    <row r="1194" spans="2:5">
      <c r="B1194" t="s">
        <v>2145</v>
      </c>
      <c r="C1194">
        <v>533477</v>
      </c>
      <c r="D1194" t="s">
        <v>360</v>
      </c>
      <c r="E1194" t="s">
        <v>715</v>
      </c>
    </row>
    <row r="1195" spans="2:5">
      <c r="B1195" t="s">
        <v>2146</v>
      </c>
      <c r="C1195">
        <v>526574</v>
      </c>
      <c r="D1195" t="s">
        <v>360</v>
      </c>
      <c r="E1195" t="s">
        <v>382</v>
      </c>
    </row>
    <row r="1196" spans="2:5">
      <c r="B1196" t="s">
        <v>2147</v>
      </c>
      <c r="C1196">
        <v>532700</v>
      </c>
      <c r="D1196" t="s">
        <v>2148</v>
      </c>
      <c r="E1196" t="s">
        <v>1098</v>
      </c>
    </row>
    <row r="1197" spans="2:5">
      <c r="B1197" t="s">
        <v>2149</v>
      </c>
      <c r="C1197">
        <v>532700</v>
      </c>
      <c r="D1197" t="s">
        <v>2148</v>
      </c>
      <c r="E1197" t="s">
        <v>1098</v>
      </c>
    </row>
    <row r="1198" spans="2:5">
      <c r="B1198" t="s">
        <v>2150</v>
      </c>
      <c r="C1198">
        <v>500246</v>
      </c>
      <c r="D1198" t="s">
        <v>360</v>
      </c>
      <c r="E1198" t="s">
        <v>368</v>
      </c>
    </row>
    <row r="1199" spans="2:5">
      <c r="B1199" t="s">
        <v>2151</v>
      </c>
      <c r="C1199">
        <v>532658</v>
      </c>
      <c r="D1199" t="s">
        <v>2152</v>
      </c>
      <c r="E1199" t="s">
        <v>658</v>
      </c>
    </row>
    <row r="1200" spans="2:5">
      <c r="B1200" t="s">
        <v>2153</v>
      </c>
      <c r="C1200">
        <v>523754</v>
      </c>
      <c r="D1200" t="s">
        <v>360</v>
      </c>
      <c r="E1200" t="s">
        <v>480</v>
      </c>
    </row>
    <row r="1201" spans="2:5">
      <c r="B1201" t="s">
        <v>2154</v>
      </c>
      <c r="C1201">
        <v>530407</v>
      </c>
      <c r="D1201" t="s">
        <v>360</v>
      </c>
      <c r="E1201" t="s">
        <v>377</v>
      </c>
    </row>
    <row r="1202" spans="2:5">
      <c r="B1202" t="s">
        <v>2155</v>
      </c>
      <c r="C1202">
        <v>531155</v>
      </c>
      <c r="D1202" t="s">
        <v>360</v>
      </c>
      <c r="E1202" t="s">
        <v>398</v>
      </c>
    </row>
    <row r="1203" spans="2:5">
      <c r="B1203" t="s">
        <v>2156</v>
      </c>
      <c r="C1203">
        <v>539844</v>
      </c>
      <c r="D1203" t="s">
        <v>2157</v>
      </c>
      <c r="E1203" t="s">
        <v>526</v>
      </c>
    </row>
    <row r="1204" spans="2:5">
      <c r="B1204" t="s">
        <v>2158</v>
      </c>
      <c r="C1204">
        <v>540596</v>
      </c>
      <c r="D1204" t="s">
        <v>2159</v>
      </c>
      <c r="E1204" t="s">
        <v>398</v>
      </c>
    </row>
    <row r="1205" spans="2:5">
      <c r="B1205" t="s">
        <v>2160</v>
      </c>
      <c r="C1205">
        <v>533261</v>
      </c>
      <c r="D1205" t="s">
        <v>2161</v>
      </c>
      <c r="E1205" t="s">
        <v>363</v>
      </c>
    </row>
    <row r="1206" spans="2:5">
      <c r="B1206" t="s">
        <v>2162</v>
      </c>
      <c r="C1206">
        <v>530909</v>
      </c>
      <c r="D1206" t="s">
        <v>360</v>
      </c>
      <c r="E1206" t="s">
        <v>781</v>
      </c>
    </row>
    <row r="1207" spans="2:5">
      <c r="B1207" t="s">
        <v>2163</v>
      </c>
      <c r="C1207">
        <v>531502</v>
      </c>
      <c r="D1207" t="s">
        <v>360</v>
      </c>
      <c r="E1207" t="s">
        <v>781</v>
      </c>
    </row>
    <row r="1208" spans="2:5">
      <c r="B1208" t="s">
        <v>2164</v>
      </c>
      <c r="C1208">
        <v>531502</v>
      </c>
      <c r="D1208" t="s">
        <v>360</v>
      </c>
      <c r="E1208" t="s">
        <v>781</v>
      </c>
    </row>
    <row r="1209" spans="2:5">
      <c r="B1209" t="s">
        <v>2165</v>
      </c>
      <c r="C1209">
        <v>500133</v>
      </c>
      <c r="D1209" t="s">
        <v>2166</v>
      </c>
      <c r="E1209" t="s">
        <v>545</v>
      </c>
    </row>
    <row r="1210" spans="2:5">
      <c r="B1210" t="s">
        <v>2167</v>
      </c>
      <c r="C1210">
        <v>500133</v>
      </c>
      <c r="D1210" t="s">
        <v>2168</v>
      </c>
      <c r="E1210" t="s">
        <v>545</v>
      </c>
    </row>
    <row r="1211" spans="2:5">
      <c r="B1211" t="s">
        <v>2169</v>
      </c>
      <c r="C1211">
        <v>540455</v>
      </c>
      <c r="D1211" t="s">
        <v>360</v>
      </c>
      <c r="E1211" t="s">
        <v>343</v>
      </c>
    </row>
    <row r="1212" spans="2:5">
      <c r="B1212" t="s">
        <v>2170</v>
      </c>
      <c r="C1212">
        <v>511716</v>
      </c>
      <c r="D1212" t="s">
        <v>360</v>
      </c>
      <c r="E1212" t="s">
        <v>377</v>
      </c>
    </row>
    <row r="1213" spans="2:5">
      <c r="B1213" t="s">
        <v>2171</v>
      </c>
      <c r="C1213">
        <v>500495</v>
      </c>
      <c r="D1213" t="s">
        <v>2172</v>
      </c>
      <c r="E1213" t="s">
        <v>438</v>
      </c>
    </row>
    <row r="1214" spans="2:5">
      <c r="B1214" t="s">
        <v>2173</v>
      </c>
      <c r="C1214">
        <v>531259</v>
      </c>
      <c r="D1214" t="s">
        <v>360</v>
      </c>
      <c r="E1214" t="s">
        <v>1962</v>
      </c>
    </row>
    <row r="1215" spans="2:5">
      <c r="B1215" t="s">
        <v>2174</v>
      </c>
      <c r="C1215">
        <v>514118</v>
      </c>
      <c r="D1215" t="s">
        <v>360</v>
      </c>
      <c r="E1215" t="s">
        <v>375</v>
      </c>
    </row>
    <row r="1216" spans="2:5">
      <c r="B1216" t="s">
        <v>2175</v>
      </c>
      <c r="C1216">
        <v>514118</v>
      </c>
      <c r="D1216" t="s">
        <v>360</v>
      </c>
      <c r="E1216" t="s">
        <v>375</v>
      </c>
    </row>
    <row r="1217" spans="2:5">
      <c r="B1217" t="s">
        <v>2176</v>
      </c>
      <c r="C1217">
        <v>532787</v>
      </c>
      <c r="D1217" t="s">
        <v>2177</v>
      </c>
      <c r="E1217" t="s">
        <v>2178</v>
      </c>
    </row>
    <row r="1218" spans="2:5">
      <c r="B1218" t="s">
        <v>2179</v>
      </c>
      <c r="C1218">
        <v>533149</v>
      </c>
      <c r="D1218" t="s">
        <v>360</v>
      </c>
      <c r="E1218" t="s">
        <v>343</v>
      </c>
    </row>
    <row r="1219" spans="2:5">
      <c r="B1219" t="s">
        <v>2180</v>
      </c>
      <c r="C1219">
        <v>533704</v>
      </c>
      <c r="D1219" t="s">
        <v>2181</v>
      </c>
      <c r="E1219" t="s">
        <v>1607</v>
      </c>
    </row>
    <row r="1220" spans="2:5">
      <c r="B1220" t="s">
        <v>2182</v>
      </c>
      <c r="C1220">
        <v>500135</v>
      </c>
      <c r="D1220" t="s">
        <v>2183</v>
      </c>
      <c r="E1220" t="s">
        <v>555</v>
      </c>
    </row>
    <row r="1221" spans="2:5">
      <c r="B1221" t="s">
        <v>2184</v>
      </c>
      <c r="C1221">
        <v>534927</v>
      </c>
      <c r="D1221" t="s">
        <v>360</v>
      </c>
      <c r="E1221" t="s">
        <v>558</v>
      </c>
    </row>
    <row r="1222" spans="2:5">
      <c r="B1222" t="s">
        <v>2185</v>
      </c>
      <c r="C1222">
        <v>500136</v>
      </c>
      <c r="D1222" t="s">
        <v>2186</v>
      </c>
      <c r="E1222" t="s">
        <v>408</v>
      </c>
    </row>
    <row r="1223" spans="2:5">
      <c r="B1223" t="s">
        <v>2187</v>
      </c>
      <c r="C1223">
        <v>537707</v>
      </c>
      <c r="D1223" t="s">
        <v>360</v>
      </c>
      <c r="E1223" t="s">
        <v>446</v>
      </c>
    </row>
    <row r="1224" spans="2:5">
      <c r="B1224" t="s">
        <v>2188</v>
      </c>
      <c r="C1224">
        <v>521137</v>
      </c>
      <c r="D1224" t="s">
        <v>360</v>
      </c>
      <c r="E1224" t="s">
        <v>375</v>
      </c>
    </row>
    <row r="1225" spans="2:5">
      <c r="B1225" t="s">
        <v>2189</v>
      </c>
      <c r="C1225">
        <v>530929</v>
      </c>
      <c r="D1225" t="s">
        <v>360</v>
      </c>
      <c r="E1225" t="s">
        <v>382</v>
      </c>
    </row>
    <row r="1226" spans="2:5">
      <c r="B1226" t="s">
        <v>2190</v>
      </c>
      <c r="C1226">
        <v>532823</v>
      </c>
      <c r="D1226" t="s">
        <v>2191</v>
      </c>
      <c r="E1226" t="s">
        <v>637</v>
      </c>
    </row>
    <row r="1227" spans="2:5">
      <c r="B1227" t="s">
        <v>2192</v>
      </c>
      <c r="C1227" t="s">
        <v>360</v>
      </c>
      <c r="D1227" t="s">
        <v>2193</v>
      </c>
      <c r="E1227" t="s">
        <v>371</v>
      </c>
    </row>
    <row r="1228" spans="2:5">
      <c r="B1228" t="s">
        <v>2194</v>
      </c>
      <c r="C1228">
        <v>533109</v>
      </c>
      <c r="D1228" t="s">
        <v>2195</v>
      </c>
      <c r="E1228" t="s">
        <v>457</v>
      </c>
    </row>
    <row r="1229" spans="2:5">
      <c r="B1229" t="s">
        <v>2196</v>
      </c>
      <c r="C1229">
        <v>521014</v>
      </c>
      <c r="D1229" t="s">
        <v>360</v>
      </c>
      <c r="E1229" t="s">
        <v>375</v>
      </c>
    </row>
    <row r="1230" spans="2:5">
      <c r="B1230" t="s">
        <v>2197</v>
      </c>
      <c r="C1230" t="s">
        <v>360</v>
      </c>
      <c r="D1230" t="s">
        <v>2198</v>
      </c>
      <c r="E1230" t="s">
        <v>375</v>
      </c>
    </row>
    <row r="1231" spans="2:5">
      <c r="B1231" t="s">
        <v>2199</v>
      </c>
      <c r="C1231">
        <v>542668</v>
      </c>
      <c r="D1231" t="s">
        <v>2200</v>
      </c>
      <c r="E1231" t="s">
        <v>781</v>
      </c>
    </row>
    <row r="1232" spans="2:5">
      <c r="B1232" t="s">
        <v>2201</v>
      </c>
      <c r="C1232">
        <v>531508</v>
      </c>
      <c r="D1232" t="s">
        <v>2202</v>
      </c>
      <c r="E1232" t="s">
        <v>906</v>
      </c>
    </row>
    <row r="1233" spans="2:5">
      <c r="B1233" t="s">
        <v>2203</v>
      </c>
      <c r="C1233">
        <v>531508</v>
      </c>
      <c r="D1233" t="s">
        <v>2202</v>
      </c>
      <c r="E1233" t="s">
        <v>906</v>
      </c>
    </row>
    <row r="1234" spans="2:5">
      <c r="B1234" t="s">
        <v>2204</v>
      </c>
      <c r="C1234">
        <v>508906</v>
      </c>
      <c r="D1234" t="s">
        <v>2205</v>
      </c>
      <c r="E1234" t="s">
        <v>373</v>
      </c>
    </row>
    <row r="1235" spans="2:5">
      <c r="B1235" t="s">
        <v>2206</v>
      </c>
      <c r="C1235">
        <v>532684</v>
      </c>
      <c r="D1235" t="s">
        <v>2207</v>
      </c>
      <c r="E1235" t="s">
        <v>1279</v>
      </c>
    </row>
    <row r="1236" spans="2:5">
      <c r="B1236" t="s">
        <v>2208</v>
      </c>
      <c r="C1236">
        <v>524790</v>
      </c>
      <c r="D1236" t="s">
        <v>360</v>
      </c>
      <c r="E1236" t="s">
        <v>398</v>
      </c>
    </row>
    <row r="1237" spans="2:5">
      <c r="B1237" t="s">
        <v>2209</v>
      </c>
      <c r="C1237">
        <v>514060</v>
      </c>
      <c r="D1237" t="s">
        <v>360</v>
      </c>
      <c r="E1237" t="s">
        <v>375</v>
      </c>
    </row>
    <row r="1238" spans="2:5">
      <c r="B1238" t="s">
        <v>2210</v>
      </c>
      <c r="C1238">
        <v>514358</v>
      </c>
      <c r="D1238" t="s">
        <v>360</v>
      </c>
      <c r="E1238" t="s">
        <v>375</v>
      </c>
    </row>
    <row r="1239" spans="2:5">
      <c r="B1239" t="s">
        <v>2211</v>
      </c>
      <c r="C1239">
        <v>532511</v>
      </c>
      <c r="D1239" t="s">
        <v>2212</v>
      </c>
      <c r="E1239" t="s">
        <v>504</v>
      </c>
    </row>
    <row r="1240" spans="2:5">
      <c r="B1240" t="s">
        <v>2213</v>
      </c>
      <c r="C1240">
        <v>500650</v>
      </c>
      <c r="D1240" t="s">
        <v>2214</v>
      </c>
      <c r="E1240" t="s">
        <v>520</v>
      </c>
    </row>
    <row r="1241" spans="2:5">
      <c r="B1241" t="s">
        <v>2215</v>
      </c>
      <c r="C1241">
        <v>533090</v>
      </c>
      <c r="D1241" t="s">
        <v>2216</v>
      </c>
      <c r="E1241" t="s">
        <v>690</v>
      </c>
    </row>
    <row r="1242" spans="2:5">
      <c r="B1242" t="s">
        <v>2217</v>
      </c>
      <c r="C1242">
        <v>500086</v>
      </c>
      <c r="D1242" t="s">
        <v>2218</v>
      </c>
      <c r="E1242" t="s">
        <v>715</v>
      </c>
    </row>
    <row r="1243" spans="2:5">
      <c r="B1243" t="s">
        <v>2219</v>
      </c>
      <c r="C1243" t="s">
        <v>360</v>
      </c>
      <c r="D1243" t="s">
        <v>2220</v>
      </c>
      <c r="E1243" t="s">
        <v>715</v>
      </c>
    </row>
    <row r="1244" spans="2:5">
      <c r="B1244" t="s">
        <v>2221</v>
      </c>
      <c r="C1244">
        <v>530571</v>
      </c>
      <c r="D1244" t="s">
        <v>360</v>
      </c>
      <c r="E1244" t="s">
        <v>781</v>
      </c>
    </row>
    <row r="1245" spans="2:5">
      <c r="B1245" t="s">
        <v>2222</v>
      </c>
      <c r="C1245">
        <v>526614</v>
      </c>
      <c r="D1245" t="s">
        <v>360</v>
      </c>
      <c r="E1245" t="s">
        <v>1279</v>
      </c>
    </row>
    <row r="1246" spans="2:5">
      <c r="B1246" t="s">
        <v>2223</v>
      </c>
      <c r="C1246">
        <v>539552</v>
      </c>
      <c r="D1246" t="s">
        <v>360</v>
      </c>
      <c r="E1246" t="s">
        <v>377</v>
      </c>
    </row>
    <row r="1247" spans="2:5">
      <c r="B1247" t="s">
        <v>2224</v>
      </c>
      <c r="C1247">
        <v>532656</v>
      </c>
      <c r="D1247" t="s">
        <v>360</v>
      </c>
      <c r="E1247" t="s">
        <v>392</v>
      </c>
    </row>
    <row r="1248" spans="2:5">
      <c r="B1248" t="s">
        <v>2225</v>
      </c>
      <c r="C1248">
        <v>514474</v>
      </c>
      <c r="D1248" t="s">
        <v>360</v>
      </c>
      <c r="E1248" t="s">
        <v>375</v>
      </c>
    </row>
    <row r="1249" spans="2:5">
      <c r="B1249" t="s">
        <v>2226</v>
      </c>
      <c r="C1249">
        <v>530117</v>
      </c>
      <c r="D1249" t="s">
        <v>2227</v>
      </c>
      <c r="E1249" t="s">
        <v>520</v>
      </c>
    </row>
    <row r="1250" spans="2:5">
      <c r="B1250" t="s">
        <v>2228</v>
      </c>
      <c r="C1250">
        <v>530079</v>
      </c>
      <c r="D1250" t="s">
        <v>360</v>
      </c>
      <c r="E1250" t="s">
        <v>375</v>
      </c>
    </row>
    <row r="1251" spans="2:5">
      <c r="B1251" t="s">
        <v>2229</v>
      </c>
      <c r="C1251">
        <v>532666</v>
      </c>
      <c r="D1251" t="s">
        <v>2230</v>
      </c>
      <c r="E1251" t="s">
        <v>346</v>
      </c>
    </row>
    <row r="1252" spans="2:5">
      <c r="B1252" t="s">
        <v>2231</v>
      </c>
      <c r="C1252">
        <v>531599</v>
      </c>
      <c r="D1252" t="s">
        <v>2232</v>
      </c>
      <c r="E1252" t="s">
        <v>398</v>
      </c>
    </row>
    <row r="1253" spans="2:5">
      <c r="B1253" t="s">
        <v>2233</v>
      </c>
      <c r="C1253">
        <v>505744</v>
      </c>
      <c r="D1253" t="s">
        <v>2234</v>
      </c>
      <c r="E1253" t="s">
        <v>715</v>
      </c>
    </row>
    <row r="1254" spans="2:5">
      <c r="B1254" t="s">
        <v>2235</v>
      </c>
      <c r="C1254">
        <v>505744</v>
      </c>
      <c r="D1254" t="s">
        <v>2234</v>
      </c>
      <c r="E1254" t="s">
        <v>715</v>
      </c>
    </row>
    <row r="1255" spans="2:5">
      <c r="B1255" t="s">
        <v>2236</v>
      </c>
      <c r="C1255" t="s">
        <v>360</v>
      </c>
      <c r="D1255" t="s">
        <v>2237</v>
      </c>
      <c r="E1255" t="s">
        <v>371</v>
      </c>
    </row>
    <row r="1256" spans="2:5">
      <c r="B1256" t="s">
        <v>2238</v>
      </c>
      <c r="C1256">
        <v>526689</v>
      </c>
      <c r="D1256" t="s">
        <v>360</v>
      </c>
      <c r="E1256" t="s">
        <v>480</v>
      </c>
    </row>
    <row r="1257" spans="2:5">
      <c r="B1257" t="s">
        <v>2239</v>
      </c>
      <c r="C1257">
        <v>500141</v>
      </c>
      <c r="D1257" t="s">
        <v>360</v>
      </c>
      <c r="E1257" t="s">
        <v>392</v>
      </c>
    </row>
    <row r="1258" spans="2:5">
      <c r="B1258" t="s">
        <v>2240</v>
      </c>
      <c r="C1258">
        <v>590024</v>
      </c>
      <c r="D1258" t="s">
        <v>2241</v>
      </c>
      <c r="E1258" t="s">
        <v>868</v>
      </c>
    </row>
    <row r="1259" spans="2:5">
      <c r="B1259" t="s">
        <v>2242</v>
      </c>
      <c r="C1259">
        <v>533896</v>
      </c>
      <c r="D1259" t="s">
        <v>360</v>
      </c>
      <c r="E1259" t="s">
        <v>398</v>
      </c>
    </row>
    <row r="1260" spans="2:5">
      <c r="B1260" t="s">
        <v>2243</v>
      </c>
      <c r="C1260">
        <v>500142</v>
      </c>
      <c r="D1260" t="s">
        <v>360</v>
      </c>
      <c r="E1260" t="s">
        <v>377</v>
      </c>
    </row>
    <row r="1261" spans="2:5">
      <c r="B1261" t="s">
        <v>2244</v>
      </c>
      <c r="C1261">
        <v>507910</v>
      </c>
      <c r="D1261" t="s">
        <v>360</v>
      </c>
      <c r="E1261" t="s">
        <v>480</v>
      </c>
    </row>
    <row r="1262" spans="2:5">
      <c r="B1262" t="s">
        <v>2245</v>
      </c>
      <c r="C1262">
        <v>507910</v>
      </c>
      <c r="D1262" t="s">
        <v>360</v>
      </c>
      <c r="E1262" t="s">
        <v>480</v>
      </c>
    </row>
    <row r="1263" spans="2:5">
      <c r="B1263" t="s">
        <v>2246</v>
      </c>
      <c r="C1263">
        <v>532768</v>
      </c>
      <c r="D1263" t="s">
        <v>2247</v>
      </c>
      <c r="E1263" t="s">
        <v>715</v>
      </c>
    </row>
    <row r="1264" spans="2:5">
      <c r="B1264" t="s">
        <v>2248</v>
      </c>
      <c r="C1264">
        <v>526227</v>
      </c>
      <c r="D1264" t="s">
        <v>2249</v>
      </c>
      <c r="E1264" t="s">
        <v>375</v>
      </c>
    </row>
    <row r="1265" spans="2:5">
      <c r="B1265" t="s">
        <v>2250</v>
      </c>
      <c r="C1265">
        <v>532022</v>
      </c>
      <c r="D1265" t="s">
        <v>360</v>
      </c>
      <c r="E1265" t="s">
        <v>375</v>
      </c>
    </row>
    <row r="1266" spans="2:5">
      <c r="B1266" t="s">
        <v>2251</v>
      </c>
      <c r="C1266">
        <v>526227</v>
      </c>
      <c r="D1266" t="s">
        <v>2249</v>
      </c>
      <c r="E1266" t="s">
        <v>375</v>
      </c>
    </row>
    <row r="1267" spans="2:5">
      <c r="B1267" t="s">
        <v>2252</v>
      </c>
      <c r="C1267">
        <v>539098</v>
      </c>
      <c r="D1267" t="s">
        <v>360</v>
      </c>
      <c r="E1267" t="s">
        <v>385</v>
      </c>
    </row>
    <row r="1268" spans="2:5">
      <c r="B1268" t="s">
        <v>2253</v>
      </c>
      <c r="C1268">
        <v>541557</v>
      </c>
      <c r="D1268" t="s">
        <v>2254</v>
      </c>
      <c r="E1268" t="s">
        <v>520</v>
      </c>
    </row>
    <row r="1269" spans="2:5">
      <c r="B1269" t="s">
        <v>2255</v>
      </c>
      <c r="C1269">
        <v>517264</v>
      </c>
      <c r="D1269" t="s">
        <v>2256</v>
      </c>
      <c r="E1269" t="s">
        <v>902</v>
      </c>
    </row>
    <row r="1270" spans="2:5">
      <c r="B1270" t="s">
        <v>2257</v>
      </c>
      <c r="C1270">
        <v>533333</v>
      </c>
      <c r="D1270" t="s">
        <v>2258</v>
      </c>
      <c r="E1270" t="s">
        <v>520</v>
      </c>
    </row>
    <row r="1271" spans="2:5">
      <c r="B1271" t="s">
        <v>2259</v>
      </c>
      <c r="C1271">
        <v>508954</v>
      </c>
      <c r="D1271" t="s">
        <v>360</v>
      </c>
      <c r="E1271" t="s">
        <v>377</v>
      </c>
    </row>
    <row r="1272" spans="2:5">
      <c r="B1272" t="s">
        <v>2260</v>
      </c>
      <c r="C1272">
        <v>500144</v>
      </c>
      <c r="D1272" t="s">
        <v>2261</v>
      </c>
      <c r="E1272" t="s">
        <v>658</v>
      </c>
    </row>
    <row r="1273" spans="2:5">
      <c r="B1273" t="s">
        <v>2262</v>
      </c>
      <c r="C1273">
        <v>500940</v>
      </c>
      <c r="D1273" t="s">
        <v>2263</v>
      </c>
      <c r="E1273" t="s">
        <v>480</v>
      </c>
    </row>
    <row r="1274" spans="2:5">
      <c r="B1274" t="s">
        <v>2264</v>
      </c>
      <c r="C1274">
        <v>511122</v>
      </c>
      <c r="D1274" t="s">
        <v>360</v>
      </c>
      <c r="E1274" t="s">
        <v>377</v>
      </c>
    </row>
    <row r="1275" spans="2:5">
      <c r="B1275" t="s">
        <v>2265</v>
      </c>
      <c r="C1275">
        <v>511122</v>
      </c>
      <c r="D1275" t="s">
        <v>360</v>
      </c>
      <c r="E1275" t="s">
        <v>377</v>
      </c>
    </row>
    <row r="1276" spans="2:5">
      <c r="B1276" t="s">
        <v>2266</v>
      </c>
      <c r="C1276">
        <v>532379</v>
      </c>
      <c r="D1276" t="s">
        <v>360</v>
      </c>
      <c r="E1276" t="s">
        <v>453</v>
      </c>
    </row>
    <row r="1277" spans="2:5">
      <c r="B1277" t="s">
        <v>2267</v>
      </c>
      <c r="C1277">
        <v>532809</v>
      </c>
      <c r="D1277" t="s">
        <v>2268</v>
      </c>
      <c r="E1277" t="s">
        <v>690</v>
      </c>
    </row>
    <row r="1278" spans="2:5">
      <c r="B1278" t="s">
        <v>2269</v>
      </c>
      <c r="C1278">
        <v>524743</v>
      </c>
      <c r="D1278" t="s">
        <v>360</v>
      </c>
      <c r="E1278" t="s">
        <v>408</v>
      </c>
    </row>
    <row r="1279" spans="2:5">
      <c r="B1279" t="s">
        <v>2270</v>
      </c>
      <c r="C1279" t="s">
        <v>360</v>
      </c>
      <c r="D1279" t="s">
        <v>2271</v>
      </c>
      <c r="E1279" t="s">
        <v>371</v>
      </c>
    </row>
    <row r="1280" spans="2:5">
      <c r="B1280" t="s">
        <v>2272</v>
      </c>
      <c r="C1280">
        <v>530885</v>
      </c>
      <c r="D1280" t="s">
        <v>360</v>
      </c>
      <c r="E1280" t="s">
        <v>346</v>
      </c>
    </row>
    <row r="1281" spans="2:5">
      <c r="B1281" t="s">
        <v>2273</v>
      </c>
      <c r="C1281">
        <v>536751</v>
      </c>
      <c r="D1281" t="s">
        <v>360</v>
      </c>
      <c r="E1281" t="s">
        <v>343</v>
      </c>
    </row>
    <row r="1282" spans="2:5">
      <c r="B1282" t="s">
        <v>2274</v>
      </c>
      <c r="C1282">
        <v>523672</v>
      </c>
      <c r="D1282" t="s">
        <v>360</v>
      </c>
      <c r="E1282" t="s">
        <v>558</v>
      </c>
    </row>
    <row r="1283" spans="2:5">
      <c r="B1283" t="s">
        <v>2275</v>
      </c>
      <c r="C1283">
        <v>533638</v>
      </c>
      <c r="D1283" t="s">
        <v>2276</v>
      </c>
      <c r="E1283" t="s">
        <v>480</v>
      </c>
    </row>
    <row r="1284" spans="2:5">
      <c r="B1284" t="s">
        <v>2277</v>
      </c>
      <c r="C1284">
        <v>540267</v>
      </c>
      <c r="D1284" t="s">
        <v>360</v>
      </c>
      <c r="E1284" t="s">
        <v>382</v>
      </c>
    </row>
    <row r="1285" spans="2:5">
      <c r="B1285" t="s">
        <v>2278</v>
      </c>
      <c r="C1285">
        <v>530705</v>
      </c>
      <c r="D1285" t="s">
        <v>360</v>
      </c>
      <c r="E1285" t="s">
        <v>375</v>
      </c>
    </row>
    <row r="1286" spans="2:5">
      <c r="B1286" t="s">
        <v>2279</v>
      </c>
      <c r="C1286">
        <v>532518</v>
      </c>
      <c r="D1286" t="s">
        <v>360</v>
      </c>
      <c r="E1286" t="s">
        <v>380</v>
      </c>
    </row>
    <row r="1287" spans="2:5">
      <c r="B1287" t="s">
        <v>2280</v>
      </c>
      <c r="C1287">
        <v>522017</v>
      </c>
      <c r="D1287" t="s">
        <v>360</v>
      </c>
      <c r="E1287" t="s">
        <v>658</v>
      </c>
    </row>
    <row r="1288" spans="2:5">
      <c r="B1288" t="s">
        <v>2281</v>
      </c>
      <c r="C1288">
        <v>534757</v>
      </c>
      <c r="D1288" t="s">
        <v>360</v>
      </c>
      <c r="E1288" t="s">
        <v>377</v>
      </c>
    </row>
    <row r="1289" spans="2:5">
      <c r="B1289" t="s">
        <v>2282</v>
      </c>
      <c r="C1289" t="s">
        <v>360</v>
      </c>
      <c r="D1289" t="s">
        <v>2283</v>
      </c>
      <c r="E1289" t="s">
        <v>371</v>
      </c>
    </row>
    <row r="1290" spans="2:5">
      <c r="B1290" t="s">
        <v>2284</v>
      </c>
      <c r="C1290">
        <v>540945</v>
      </c>
      <c r="D1290" t="s">
        <v>360</v>
      </c>
      <c r="E1290" t="s">
        <v>444</v>
      </c>
    </row>
    <row r="1291" spans="2:5">
      <c r="B1291" t="s">
        <v>2285</v>
      </c>
      <c r="C1291">
        <v>503831</v>
      </c>
      <c r="D1291" t="s">
        <v>360</v>
      </c>
      <c r="E1291" t="s">
        <v>561</v>
      </c>
    </row>
    <row r="1292" spans="2:5">
      <c r="B1292" t="s">
        <v>2286</v>
      </c>
      <c r="C1292">
        <v>507552</v>
      </c>
      <c r="D1292" t="s">
        <v>360</v>
      </c>
      <c r="E1292" t="s">
        <v>440</v>
      </c>
    </row>
    <row r="1293" spans="2:5">
      <c r="B1293" t="s">
        <v>2287</v>
      </c>
      <c r="C1293">
        <v>502865</v>
      </c>
      <c r="D1293" t="s">
        <v>360</v>
      </c>
      <c r="E1293" t="s">
        <v>368</v>
      </c>
    </row>
    <row r="1294" spans="2:5">
      <c r="B1294" t="s">
        <v>2288</v>
      </c>
      <c r="C1294">
        <v>500033</v>
      </c>
      <c r="D1294" t="s">
        <v>360</v>
      </c>
      <c r="E1294" t="s">
        <v>2289</v>
      </c>
    </row>
    <row r="1295" spans="2:5">
      <c r="B1295" t="s">
        <v>2290</v>
      </c>
      <c r="C1295">
        <v>532843</v>
      </c>
      <c r="D1295" t="s">
        <v>2291</v>
      </c>
      <c r="E1295" t="s">
        <v>830</v>
      </c>
    </row>
    <row r="1296" spans="2:5">
      <c r="B1296" t="s">
        <v>2292</v>
      </c>
      <c r="C1296">
        <v>523696</v>
      </c>
      <c r="D1296" t="s">
        <v>360</v>
      </c>
      <c r="E1296" t="s">
        <v>549</v>
      </c>
    </row>
    <row r="1297" spans="2:5">
      <c r="B1297" t="s">
        <v>2293</v>
      </c>
      <c r="C1297">
        <v>530213</v>
      </c>
      <c r="D1297" t="s">
        <v>360</v>
      </c>
      <c r="E1297" t="s">
        <v>382</v>
      </c>
    </row>
    <row r="1298" spans="2:5">
      <c r="B1298" t="s">
        <v>2294</v>
      </c>
      <c r="C1298">
        <v>500150</v>
      </c>
      <c r="D1298" t="s">
        <v>2295</v>
      </c>
      <c r="E1298" t="s">
        <v>408</v>
      </c>
    </row>
    <row r="1299" spans="2:5">
      <c r="B1299" t="s">
        <v>2296</v>
      </c>
      <c r="C1299">
        <v>500150</v>
      </c>
      <c r="D1299" t="s">
        <v>2295</v>
      </c>
      <c r="E1299" t="s">
        <v>408</v>
      </c>
    </row>
    <row r="1300" spans="2:5">
      <c r="B1300" t="s">
        <v>2297</v>
      </c>
      <c r="C1300">
        <v>513579</v>
      </c>
      <c r="D1300" t="s">
        <v>360</v>
      </c>
      <c r="E1300" t="s">
        <v>1037</v>
      </c>
    </row>
    <row r="1301" spans="2:5">
      <c r="B1301" t="s">
        <v>2298</v>
      </c>
      <c r="C1301" t="s">
        <v>360</v>
      </c>
      <c r="D1301" t="s">
        <v>2299</v>
      </c>
      <c r="E1301" t="s">
        <v>371</v>
      </c>
    </row>
    <row r="1302" spans="2:5">
      <c r="B1302" t="s">
        <v>2300</v>
      </c>
      <c r="C1302">
        <v>532403</v>
      </c>
      <c r="D1302" t="s">
        <v>360</v>
      </c>
      <c r="E1302" t="s">
        <v>453</v>
      </c>
    </row>
    <row r="1303" spans="2:5">
      <c r="B1303" t="s">
        <v>2301</v>
      </c>
      <c r="C1303">
        <v>540190</v>
      </c>
      <c r="D1303" t="s">
        <v>360</v>
      </c>
      <c r="E1303" t="s">
        <v>382</v>
      </c>
    </row>
    <row r="1304" spans="2:5">
      <c r="B1304" t="s">
        <v>2302</v>
      </c>
      <c r="C1304">
        <v>539839</v>
      </c>
      <c r="D1304" t="s">
        <v>360</v>
      </c>
      <c r="E1304" t="s">
        <v>377</v>
      </c>
    </row>
    <row r="1305" spans="2:5">
      <c r="B1305" t="s">
        <v>2303</v>
      </c>
      <c r="C1305">
        <v>539032</v>
      </c>
      <c r="D1305" t="s">
        <v>2304</v>
      </c>
      <c r="E1305" t="s">
        <v>726</v>
      </c>
    </row>
    <row r="1306" spans="2:5">
      <c r="B1306" t="s">
        <v>2305</v>
      </c>
      <c r="C1306">
        <v>539730</v>
      </c>
      <c r="D1306" t="s">
        <v>360</v>
      </c>
      <c r="E1306" t="s">
        <v>398</v>
      </c>
    </row>
    <row r="1307" spans="2:5">
      <c r="B1307" t="s">
        <v>2306</v>
      </c>
      <c r="C1307">
        <v>530077</v>
      </c>
      <c r="D1307" t="s">
        <v>360</v>
      </c>
      <c r="E1307" t="s">
        <v>558</v>
      </c>
    </row>
    <row r="1308" spans="2:5">
      <c r="B1308" t="s">
        <v>2307</v>
      </c>
      <c r="C1308">
        <v>508980</v>
      </c>
      <c r="D1308" t="s">
        <v>360</v>
      </c>
      <c r="E1308" t="s">
        <v>781</v>
      </c>
    </row>
    <row r="1309" spans="2:5">
      <c r="B1309" t="s">
        <v>2308</v>
      </c>
      <c r="C1309">
        <v>522195</v>
      </c>
      <c r="D1309" t="s">
        <v>360</v>
      </c>
      <c r="E1309" t="s">
        <v>715</v>
      </c>
    </row>
    <row r="1310" spans="2:5">
      <c r="B1310" t="s">
        <v>2309</v>
      </c>
      <c r="C1310">
        <v>521167</v>
      </c>
      <c r="D1310" t="s">
        <v>2310</v>
      </c>
      <c r="E1310" t="s">
        <v>916</v>
      </c>
    </row>
    <row r="1311" spans="2:5">
      <c r="B1311" t="s">
        <v>2311</v>
      </c>
      <c r="C1311">
        <v>532042</v>
      </c>
      <c r="D1311" t="s">
        <v>360</v>
      </c>
      <c r="E1311" t="s">
        <v>432</v>
      </c>
    </row>
    <row r="1312" spans="2:5">
      <c r="B1312" t="s">
        <v>2312</v>
      </c>
      <c r="C1312">
        <v>533213</v>
      </c>
      <c r="D1312" t="s">
        <v>360</v>
      </c>
      <c r="E1312" t="s">
        <v>343</v>
      </c>
    </row>
    <row r="1313" spans="2:5">
      <c r="B1313" t="s">
        <v>2313</v>
      </c>
      <c r="C1313">
        <v>538568</v>
      </c>
      <c r="D1313" t="s">
        <v>360</v>
      </c>
      <c r="E1313" t="s">
        <v>382</v>
      </c>
    </row>
    <row r="1314" spans="2:5">
      <c r="B1314" t="s">
        <v>2314</v>
      </c>
      <c r="C1314">
        <v>539169</v>
      </c>
      <c r="D1314" t="s">
        <v>360</v>
      </c>
      <c r="E1314" t="s">
        <v>346</v>
      </c>
    </row>
    <row r="1315" spans="2:5">
      <c r="B1315" t="s">
        <v>2315</v>
      </c>
      <c r="C1315">
        <v>533400</v>
      </c>
      <c r="D1315" t="s">
        <v>2316</v>
      </c>
      <c r="E1315" t="s">
        <v>420</v>
      </c>
    </row>
    <row r="1316" spans="2:5">
      <c r="B1316" t="s">
        <v>2317</v>
      </c>
      <c r="C1316">
        <v>523574</v>
      </c>
      <c r="D1316" t="s">
        <v>2318</v>
      </c>
      <c r="E1316" t="s">
        <v>529</v>
      </c>
    </row>
    <row r="1317" spans="2:5">
      <c r="B1317" t="s">
        <v>2317</v>
      </c>
      <c r="C1317">
        <v>570002</v>
      </c>
      <c r="D1317" t="s">
        <v>2319</v>
      </c>
      <c r="E1317" t="s">
        <v>529</v>
      </c>
    </row>
    <row r="1318" spans="2:5">
      <c r="B1318" t="s">
        <v>2320</v>
      </c>
      <c r="C1318">
        <v>536507</v>
      </c>
      <c r="D1318" t="s">
        <v>2321</v>
      </c>
      <c r="E1318" t="s">
        <v>529</v>
      </c>
    </row>
    <row r="1319" spans="2:5">
      <c r="B1319" t="s">
        <v>2322</v>
      </c>
      <c r="C1319">
        <v>533296</v>
      </c>
      <c r="D1319" t="s">
        <v>2323</v>
      </c>
      <c r="E1319" t="s">
        <v>529</v>
      </c>
    </row>
    <row r="1320" spans="2:5">
      <c r="B1320" t="s">
        <v>2324</v>
      </c>
      <c r="C1320">
        <v>540064</v>
      </c>
      <c r="D1320" t="s">
        <v>2325</v>
      </c>
      <c r="E1320" t="s">
        <v>529</v>
      </c>
    </row>
    <row r="1321" spans="2:5">
      <c r="B1321" t="s">
        <v>2326</v>
      </c>
      <c r="C1321">
        <v>540798</v>
      </c>
      <c r="D1321" t="s">
        <v>2327</v>
      </c>
      <c r="E1321" t="s">
        <v>681</v>
      </c>
    </row>
    <row r="1322" spans="2:5">
      <c r="B1322" t="s">
        <v>2328</v>
      </c>
      <c r="C1322">
        <v>523113</v>
      </c>
      <c r="D1322" t="s">
        <v>360</v>
      </c>
      <c r="E1322" t="s">
        <v>377</v>
      </c>
    </row>
    <row r="1323" spans="2:5">
      <c r="B1323" t="s">
        <v>2329</v>
      </c>
      <c r="C1323">
        <v>534063</v>
      </c>
      <c r="D1323" t="s">
        <v>360</v>
      </c>
      <c r="E1323" t="s">
        <v>343</v>
      </c>
    </row>
    <row r="1324" spans="2:5">
      <c r="B1324" t="s">
        <v>2330</v>
      </c>
      <c r="C1324">
        <v>504346</v>
      </c>
      <c r="D1324" t="s">
        <v>360</v>
      </c>
      <c r="E1324" t="s">
        <v>343</v>
      </c>
    </row>
    <row r="1325" spans="2:5">
      <c r="B1325" t="s">
        <v>2331</v>
      </c>
      <c r="C1325">
        <v>505250</v>
      </c>
      <c r="D1325" t="s">
        <v>360</v>
      </c>
      <c r="E1325" t="s">
        <v>368</v>
      </c>
    </row>
    <row r="1326" spans="2:5">
      <c r="B1326" t="s">
        <v>2332</v>
      </c>
      <c r="C1326">
        <v>540614</v>
      </c>
      <c r="D1326" t="s">
        <v>360</v>
      </c>
      <c r="E1326" t="s">
        <v>403</v>
      </c>
    </row>
    <row r="1327" spans="2:5">
      <c r="B1327" t="s">
        <v>2333</v>
      </c>
      <c r="C1327">
        <v>531758</v>
      </c>
      <c r="D1327" t="s">
        <v>360</v>
      </c>
      <c r="E1327" t="s">
        <v>377</v>
      </c>
    </row>
    <row r="1328" spans="2:5">
      <c r="B1328" t="s">
        <v>2334</v>
      </c>
      <c r="C1328">
        <v>513059</v>
      </c>
      <c r="D1328" t="s">
        <v>360</v>
      </c>
      <c r="E1328" t="s">
        <v>715</v>
      </c>
    </row>
    <row r="1329" spans="2:5">
      <c r="B1329" t="s">
        <v>2335</v>
      </c>
      <c r="C1329">
        <v>542666</v>
      </c>
      <c r="D1329" t="s">
        <v>2336</v>
      </c>
      <c r="E1329" t="s">
        <v>2337</v>
      </c>
    </row>
    <row r="1330" spans="2:5">
      <c r="B1330" t="s">
        <v>2338</v>
      </c>
      <c r="C1330">
        <v>505714</v>
      </c>
      <c r="D1330" t="s">
        <v>2339</v>
      </c>
      <c r="E1330" t="s">
        <v>715</v>
      </c>
    </row>
    <row r="1331" spans="2:5">
      <c r="B1331" t="s">
        <v>2340</v>
      </c>
      <c r="C1331">
        <v>505714</v>
      </c>
      <c r="D1331" t="s">
        <v>2339</v>
      </c>
      <c r="E1331" t="s">
        <v>715</v>
      </c>
    </row>
    <row r="1332" spans="2:5">
      <c r="B1332" t="s">
        <v>2341</v>
      </c>
      <c r="C1332">
        <v>524624</v>
      </c>
      <c r="D1332" t="s">
        <v>2342</v>
      </c>
      <c r="E1332" t="s">
        <v>2343</v>
      </c>
    </row>
    <row r="1333" spans="2:5">
      <c r="B1333" t="s">
        <v>2344</v>
      </c>
      <c r="C1333">
        <v>531196</v>
      </c>
      <c r="D1333" t="s">
        <v>360</v>
      </c>
      <c r="E1333" t="s">
        <v>382</v>
      </c>
    </row>
    <row r="1334" spans="2:5">
      <c r="B1334" t="s">
        <v>2345</v>
      </c>
      <c r="C1334">
        <v>531196</v>
      </c>
      <c r="D1334" t="s">
        <v>360</v>
      </c>
      <c r="E1334" t="s">
        <v>382</v>
      </c>
    </row>
    <row r="1335" spans="2:5">
      <c r="B1335" t="s">
        <v>2346</v>
      </c>
      <c r="C1335">
        <v>532155</v>
      </c>
      <c r="D1335" t="s">
        <v>2347</v>
      </c>
      <c r="E1335" t="s">
        <v>385</v>
      </c>
    </row>
    <row r="1336" spans="2:5">
      <c r="B1336" t="s">
        <v>2348</v>
      </c>
      <c r="C1336">
        <v>532155</v>
      </c>
      <c r="D1336" t="s">
        <v>2347</v>
      </c>
      <c r="E1336" t="s">
        <v>385</v>
      </c>
    </row>
    <row r="1337" spans="2:5">
      <c r="B1337" t="s">
        <v>2349</v>
      </c>
      <c r="C1337">
        <v>538609</v>
      </c>
      <c r="D1337" t="s">
        <v>360</v>
      </c>
      <c r="E1337" t="s">
        <v>343</v>
      </c>
    </row>
    <row r="1338" spans="2:5">
      <c r="B1338" t="s">
        <v>2350</v>
      </c>
      <c r="C1338">
        <v>505711</v>
      </c>
      <c r="D1338" t="s">
        <v>360</v>
      </c>
      <c r="E1338" t="s">
        <v>715</v>
      </c>
    </row>
    <row r="1339" spans="2:5">
      <c r="B1339" t="s">
        <v>2351</v>
      </c>
      <c r="C1339">
        <v>539228</v>
      </c>
      <c r="D1339" t="s">
        <v>360</v>
      </c>
      <c r="E1339" t="s">
        <v>2352</v>
      </c>
    </row>
    <row r="1340" spans="2:5">
      <c r="B1340" t="s">
        <v>2353</v>
      </c>
      <c r="C1340">
        <v>538881</v>
      </c>
      <c r="D1340" t="s">
        <v>360</v>
      </c>
      <c r="E1340" t="s">
        <v>377</v>
      </c>
    </row>
    <row r="1341" spans="2:5">
      <c r="B1341" t="s">
        <v>2354</v>
      </c>
      <c r="C1341">
        <v>504697</v>
      </c>
      <c r="D1341" t="s">
        <v>360</v>
      </c>
      <c r="E1341" t="s">
        <v>658</v>
      </c>
    </row>
    <row r="1342" spans="2:5">
      <c r="B1342" t="s">
        <v>2355</v>
      </c>
      <c r="C1342">
        <v>531911</v>
      </c>
      <c r="D1342" t="s">
        <v>360</v>
      </c>
      <c r="E1342" t="s">
        <v>368</v>
      </c>
    </row>
    <row r="1343" spans="2:5">
      <c r="B1343" t="s">
        <v>2356</v>
      </c>
      <c r="C1343">
        <v>526073</v>
      </c>
      <c r="D1343" t="s">
        <v>360</v>
      </c>
      <c r="E1343" t="s">
        <v>545</v>
      </c>
    </row>
    <row r="1344" spans="2:5">
      <c r="B1344" t="s">
        <v>2357</v>
      </c>
      <c r="C1344">
        <v>506186</v>
      </c>
      <c r="D1344" t="s">
        <v>360</v>
      </c>
      <c r="E1344" t="s">
        <v>363</v>
      </c>
    </row>
    <row r="1345" spans="2:5">
      <c r="B1345" t="s">
        <v>2358</v>
      </c>
      <c r="C1345">
        <v>540935</v>
      </c>
      <c r="D1345" t="s">
        <v>2359</v>
      </c>
      <c r="E1345" t="s">
        <v>520</v>
      </c>
    </row>
    <row r="1346" spans="2:5">
      <c r="B1346" t="s">
        <v>2360</v>
      </c>
      <c r="C1346">
        <v>533265</v>
      </c>
      <c r="D1346" t="s">
        <v>2361</v>
      </c>
      <c r="E1346" t="s">
        <v>392</v>
      </c>
    </row>
    <row r="1347" spans="2:5">
      <c r="B1347" t="s">
        <v>2362</v>
      </c>
      <c r="C1347">
        <v>532726</v>
      </c>
      <c r="D1347" t="s">
        <v>2363</v>
      </c>
      <c r="E1347" t="s">
        <v>392</v>
      </c>
    </row>
    <row r="1348" spans="2:5">
      <c r="B1348" t="s">
        <v>2364</v>
      </c>
      <c r="C1348">
        <v>531902</v>
      </c>
      <c r="D1348" t="s">
        <v>2365</v>
      </c>
      <c r="E1348" t="s">
        <v>446</v>
      </c>
    </row>
    <row r="1349" spans="2:5">
      <c r="B1349" t="s">
        <v>2366</v>
      </c>
      <c r="C1349">
        <v>532959</v>
      </c>
      <c r="D1349" t="s">
        <v>2367</v>
      </c>
      <c r="E1349" t="s">
        <v>758</v>
      </c>
    </row>
    <row r="1350" spans="2:5">
      <c r="B1350" t="s">
        <v>2368</v>
      </c>
      <c r="C1350">
        <v>513108</v>
      </c>
      <c r="D1350" t="s">
        <v>2369</v>
      </c>
      <c r="E1350" t="s">
        <v>683</v>
      </c>
    </row>
    <row r="1351" spans="2:5">
      <c r="B1351" t="s">
        <v>2370</v>
      </c>
      <c r="C1351">
        <v>500153</v>
      </c>
      <c r="D1351" t="s">
        <v>360</v>
      </c>
      <c r="E1351" t="s">
        <v>408</v>
      </c>
    </row>
    <row r="1352" spans="2:5">
      <c r="B1352" t="s">
        <v>2371</v>
      </c>
      <c r="C1352">
        <v>541703</v>
      </c>
      <c r="D1352" t="s">
        <v>360</v>
      </c>
      <c r="E1352" t="s">
        <v>361</v>
      </c>
    </row>
    <row r="1353" spans="2:5">
      <c r="B1353" t="s">
        <v>2372</v>
      </c>
      <c r="C1353">
        <v>541703</v>
      </c>
      <c r="D1353" t="s">
        <v>360</v>
      </c>
      <c r="E1353" t="s">
        <v>361</v>
      </c>
    </row>
    <row r="1354" spans="2:5">
      <c r="B1354" t="s">
        <v>2373</v>
      </c>
      <c r="C1354">
        <v>504397</v>
      </c>
      <c r="D1354" t="s">
        <v>360</v>
      </c>
      <c r="E1354" t="s">
        <v>781</v>
      </c>
    </row>
    <row r="1355" spans="2:5">
      <c r="B1355" t="s">
        <v>2374</v>
      </c>
      <c r="C1355">
        <v>526367</v>
      </c>
      <c r="D1355" t="s">
        <v>2375</v>
      </c>
      <c r="E1355" t="s">
        <v>446</v>
      </c>
    </row>
    <row r="1356" spans="2:5">
      <c r="B1356" t="s">
        <v>2376</v>
      </c>
      <c r="C1356">
        <v>514167</v>
      </c>
      <c r="D1356" t="s">
        <v>2377</v>
      </c>
      <c r="E1356" t="s">
        <v>781</v>
      </c>
    </row>
    <row r="1357" spans="2:5">
      <c r="B1357" t="s">
        <v>2378</v>
      </c>
      <c r="C1357" t="s">
        <v>360</v>
      </c>
      <c r="D1357" t="s">
        <v>2379</v>
      </c>
      <c r="E1357" t="s">
        <v>371</v>
      </c>
    </row>
    <row r="1358" spans="2:5">
      <c r="B1358" t="s">
        <v>2380</v>
      </c>
      <c r="C1358">
        <v>531813</v>
      </c>
      <c r="D1358" t="s">
        <v>360</v>
      </c>
      <c r="E1358" t="s">
        <v>354</v>
      </c>
    </row>
    <row r="1359" spans="2:5">
      <c r="B1359" t="s">
        <v>2381</v>
      </c>
      <c r="C1359">
        <v>531813</v>
      </c>
      <c r="D1359" t="s">
        <v>360</v>
      </c>
      <c r="E1359" t="s">
        <v>354</v>
      </c>
    </row>
    <row r="1360" spans="2:5">
      <c r="B1360" t="s">
        <v>2382</v>
      </c>
      <c r="C1360">
        <v>539680</v>
      </c>
      <c r="D1360" t="s">
        <v>360</v>
      </c>
      <c r="E1360" t="s">
        <v>398</v>
      </c>
    </row>
    <row r="1361" spans="2:5">
      <c r="B1361" t="s">
        <v>2383</v>
      </c>
      <c r="C1361">
        <v>540647</v>
      </c>
      <c r="D1361" t="s">
        <v>2384</v>
      </c>
      <c r="E1361" t="s">
        <v>380</v>
      </c>
    </row>
    <row r="1362" spans="2:5">
      <c r="B1362" t="s">
        <v>2385</v>
      </c>
      <c r="C1362">
        <v>521176</v>
      </c>
      <c r="D1362" t="s">
        <v>2386</v>
      </c>
      <c r="E1362" t="s">
        <v>375</v>
      </c>
    </row>
    <row r="1363" spans="2:5">
      <c r="B1363" t="s">
        <v>2387</v>
      </c>
      <c r="C1363">
        <v>512443</v>
      </c>
      <c r="D1363" t="s">
        <v>360</v>
      </c>
      <c r="E1363" t="s">
        <v>382</v>
      </c>
    </row>
    <row r="1364" spans="2:5">
      <c r="B1364" t="s">
        <v>2388</v>
      </c>
      <c r="C1364">
        <v>539492</v>
      </c>
      <c r="D1364" t="s">
        <v>360</v>
      </c>
      <c r="E1364" t="s">
        <v>377</v>
      </c>
    </row>
    <row r="1365" spans="2:5">
      <c r="B1365" t="s">
        <v>2389</v>
      </c>
      <c r="C1365">
        <v>542011</v>
      </c>
      <c r="D1365" t="s">
        <v>2390</v>
      </c>
      <c r="E1365" t="s">
        <v>438</v>
      </c>
    </row>
    <row r="1366" spans="2:5">
      <c r="B1366" t="s">
        <v>2391</v>
      </c>
      <c r="C1366">
        <v>500155</v>
      </c>
      <c r="D1366" t="s">
        <v>2392</v>
      </c>
      <c r="E1366" t="s">
        <v>375</v>
      </c>
    </row>
    <row r="1367" spans="2:5">
      <c r="B1367" t="s">
        <v>2393</v>
      </c>
      <c r="C1367">
        <v>530615</v>
      </c>
      <c r="D1367" t="s">
        <v>360</v>
      </c>
      <c r="E1367" t="s">
        <v>392</v>
      </c>
    </row>
    <row r="1368" spans="2:5">
      <c r="B1368" t="s">
        <v>2394</v>
      </c>
      <c r="C1368">
        <v>526727</v>
      </c>
      <c r="D1368" t="s">
        <v>360</v>
      </c>
      <c r="E1368" t="s">
        <v>758</v>
      </c>
    </row>
    <row r="1369" spans="2:5">
      <c r="B1369" t="s">
        <v>2395</v>
      </c>
      <c r="C1369">
        <v>512493</v>
      </c>
      <c r="D1369" t="s">
        <v>360</v>
      </c>
      <c r="E1369" t="s">
        <v>343</v>
      </c>
    </row>
    <row r="1370" spans="2:5">
      <c r="B1370" t="s">
        <v>2396</v>
      </c>
      <c r="C1370">
        <v>530161</v>
      </c>
      <c r="D1370" t="s">
        <v>360</v>
      </c>
      <c r="E1370" t="s">
        <v>382</v>
      </c>
    </row>
    <row r="1371" spans="2:5">
      <c r="B1371" t="s">
        <v>2397</v>
      </c>
      <c r="C1371">
        <v>541276</v>
      </c>
      <c r="D1371" t="s">
        <v>360</v>
      </c>
      <c r="E1371" t="s">
        <v>382</v>
      </c>
    </row>
    <row r="1372" spans="2:5">
      <c r="B1372" t="s">
        <v>2398</v>
      </c>
      <c r="C1372">
        <v>509563</v>
      </c>
      <c r="D1372" t="s">
        <v>360</v>
      </c>
      <c r="E1372" t="s">
        <v>375</v>
      </c>
    </row>
    <row r="1373" spans="2:5">
      <c r="B1373" t="s">
        <v>2399</v>
      </c>
      <c r="C1373">
        <v>500655</v>
      </c>
      <c r="D1373" t="s">
        <v>360</v>
      </c>
      <c r="E1373" t="s">
        <v>408</v>
      </c>
    </row>
    <row r="1374" spans="2:5">
      <c r="B1374" t="s">
        <v>2400</v>
      </c>
      <c r="C1374">
        <v>514400</v>
      </c>
      <c r="D1374" t="s">
        <v>360</v>
      </c>
      <c r="E1374" t="s">
        <v>382</v>
      </c>
    </row>
    <row r="1375" spans="2:5">
      <c r="B1375" t="s">
        <v>2401</v>
      </c>
      <c r="C1375">
        <v>509557</v>
      </c>
      <c r="D1375" t="s">
        <v>2402</v>
      </c>
      <c r="E1375" t="s">
        <v>375</v>
      </c>
    </row>
    <row r="1376" spans="2:5">
      <c r="B1376" t="s">
        <v>2403</v>
      </c>
      <c r="C1376">
        <v>532622</v>
      </c>
      <c r="D1376" t="s">
        <v>2404</v>
      </c>
      <c r="E1376" t="s">
        <v>681</v>
      </c>
    </row>
    <row r="1377" spans="2:5">
      <c r="B1377" t="s">
        <v>2405</v>
      </c>
      <c r="C1377">
        <v>532345</v>
      </c>
      <c r="D1377" t="s">
        <v>2406</v>
      </c>
      <c r="E1377" t="s">
        <v>681</v>
      </c>
    </row>
    <row r="1378" spans="2:5">
      <c r="B1378" t="s">
        <v>2407</v>
      </c>
      <c r="C1378">
        <v>539515</v>
      </c>
      <c r="D1378" t="s">
        <v>360</v>
      </c>
      <c r="E1378" t="s">
        <v>382</v>
      </c>
    </row>
    <row r="1379" spans="2:5">
      <c r="B1379" t="s">
        <v>2408</v>
      </c>
      <c r="C1379">
        <v>540613</v>
      </c>
      <c r="D1379" t="s">
        <v>360</v>
      </c>
      <c r="E1379" t="s">
        <v>382</v>
      </c>
    </row>
    <row r="1380" spans="2:5">
      <c r="B1380" t="s">
        <v>2409</v>
      </c>
      <c r="C1380">
        <v>540936</v>
      </c>
      <c r="D1380" t="s">
        <v>360</v>
      </c>
      <c r="E1380" t="s">
        <v>382</v>
      </c>
    </row>
    <row r="1381" spans="2:5">
      <c r="B1381" t="s">
        <v>2410</v>
      </c>
      <c r="C1381">
        <v>524564</v>
      </c>
      <c r="D1381" t="s">
        <v>360</v>
      </c>
      <c r="E1381" t="s">
        <v>408</v>
      </c>
    </row>
    <row r="1382" spans="2:5">
      <c r="B1382" t="s">
        <v>2411</v>
      </c>
      <c r="C1382">
        <v>541546</v>
      </c>
      <c r="D1382" t="s">
        <v>2412</v>
      </c>
      <c r="E1382" t="s">
        <v>758</v>
      </c>
    </row>
    <row r="1383" spans="2:5">
      <c r="B1383" t="s">
        <v>2413</v>
      </c>
      <c r="C1383">
        <v>532767</v>
      </c>
      <c r="D1383" t="s">
        <v>2414</v>
      </c>
      <c r="E1383" t="s">
        <v>758</v>
      </c>
    </row>
    <row r="1384" spans="2:5">
      <c r="B1384" t="s">
        <v>2415</v>
      </c>
      <c r="C1384">
        <v>532183</v>
      </c>
      <c r="D1384" t="s">
        <v>360</v>
      </c>
      <c r="E1384" t="s">
        <v>1058</v>
      </c>
    </row>
    <row r="1385" spans="2:5">
      <c r="B1385" t="s">
        <v>2416</v>
      </c>
      <c r="C1385">
        <v>539009</v>
      </c>
      <c r="D1385" t="s">
        <v>360</v>
      </c>
      <c r="E1385" t="s">
        <v>758</v>
      </c>
    </row>
    <row r="1386" spans="2:5">
      <c r="B1386" t="s">
        <v>2417</v>
      </c>
      <c r="C1386">
        <v>538319</v>
      </c>
      <c r="D1386" t="s">
        <v>360</v>
      </c>
      <c r="E1386" t="s">
        <v>343</v>
      </c>
    </row>
    <row r="1387" spans="2:5">
      <c r="B1387" t="s">
        <v>2418</v>
      </c>
      <c r="C1387">
        <v>535917</v>
      </c>
      <c r="D1387" t="s">
        <v>360</v>
      </c>
      <c r="E1387" t="s">
        <v>343</v>
      </c>
    </row>
    <row r="1388" spans="2:5">
      <c r="B1388" t="s">
        <v>2419</v>
      </c>
      <c r="C1388">
        <v>535431</v>
      </c>
      <c r="D1388" t="s">
        <v>360</v>
      </c>
      <c r="E1388" t="s">
        <v>343</v>
      </c>
    </row>
    <row r="1389" spans="2:5">
      <c r="B1389" t="s">
        <v>2420</v>
      </c>
      <c r="C1389">
        <v>530855</v>
      </c>
      <c r="D1389" t="s">
        <v>360</v>
      </c>
      <c r="E1389" t="s">
        <v>377</v>
      </c>
    </row>
    <row r="1390" spans="2:5">
      <c r="B1390" t="s">
        <v>2421</v>
      </c>
      <c r="C1390">
        <v>532309</v>
      </c>
      <c r="D1390" t="s">
        <v>2422</v>
      </c>
      <c r="E1390" t="s">
        <v>403</v>
      </c>
    </row>
    <row r="1391" spans="2:5">
      <c r="B1391" t="s">
        <v>2423</v>
      </c>
      <c r="C1391">
        <v>532309</v>
      </c>
      <c r="D1391" t="s">
        <v>2422</v>
      </c>
      <c r="E1391" t="s">
        <v>403</v>
      </c>
    </row>
    <row r="1392" spans="2:5">
      <c r="B1392" t="s">
        <v>2424</v>
      </c>
      <c r="C1392">
        <v>522275</v>
      </c>
      <c r="D1392" t="s">
        <v>2425</v>
      </c>
      <c r="E1392" t="s">
        <v>499</v>
      </c>
    </row>
    <row r="1393" spans="2:5">
      <c r="B1393" t="s">
        <v>2426</v>
      </c>
      <c r="C1393">
        <v>522275</v>
      </c>
      <c r="D1393" t="s">
        <v>2425</v>
      </c>
      <c r="E1393" t="s">
        <v>499</v>
      </c>
    </row>
    <row r="1394" spans="2:5">
      <c r="B1394" t="s">
        <v>2427</v>
      </c>
      <c r="C1394">
        <v>504028</v>
      </c>
      <c r="D1394" t="s">
        <v>360</v>
      </c>
      <c r="E1394" t="s">
        <v>545</v>
      </c>
    </row>
    <row r="1395" spans="2:5">
      <c r="B1395" t="s">
        <v>2428</v>
      </c>
      <c r="C1395">
        <v>532764</v>
      </c>
      <c r="D1395" t="s">
        <v>2429</v>
      </c>
      <c r="E1395" t="s">
        <v>446</v>
      </c>
    </row>
    <row r="1396" spans="2:5">
      <c r="B1396" t="s">
        <v>2430</v>
      </c>
      <c r="C1396">
        <v>530389</v>
      </c>
      <c r="D1396" t="s">
        <v>360</v>
      </c>
      <c r="E1396" t="s">
        <v>380</v>
      </c>
    </row>
    <row r="1397" spans="2:5">
      <c r="B1397" t="s">
        <v>2431</v>
      </c>
      <c r="C1397" t="s">
        <v>360</v>
      </c>
      <c r="D1397" t="s">
        <v>2432</v>
      </c>
      <c r="E1397" t="s">
        <v>371</v>
      </c>
    </row>
    <row r="1398" spans="2:5">
      <c r="B1398" t="s">
        <v>2433</v>
      </c>
      <c r="C1398">
        <v>539486</v>
      </c>
      <c r="D1398" t="s">
        <v>360</v>
      </c>
      <c r="E1398" t="s">
        <v>377</v>
      </c>
    </row>
    <row r="1399" spans="2:5">
      <c r="B1399" t="s">
        <v>2434</v>
      </c>
      <c r="C1399">
        <v>521133</v>
      </c>
      <c r="D1399" t="s">
        <v>360</v>
      </c>
      <c r="E1399" t="s">
        <v>375</v>
      </c>
    </row>
    <row r="1400" spans="2:5">
      <c r="B1400" t="s">
        <v>2435</v>
      </c>
      <c r="C1400">
        <v>521133</v>
      </c>
      <c r="D1400" t="s">
        <v>360</v>
      </c>
      <c r="E1400" t="s">
        <v>375</v>
      </c>
    </row>
    <row r="1401" spans="2:5">
      <c r="B1401" t="s">
        <v>2436</v>
      </c>
      <c r="C1401">
        <v>532318</v>
      </c>
      <c r="D1401" t="s">
        <v>2437</v>
      </c>
      <c r="E1401" t="s">
        <v>1986</v>
      </c>
    </row>
    <row r="1402" spans="2:5">
      <c r="B1402" t="s">
        <v>2438</v>
      </c>
      <c r="C1402">
        <v>531137</v>
      </c>
      <c r="D1402" t="s">
        <v>360</v>
      </c>
      <c r="E1402" t="s">
        <v>781</v>
      </c>
    </row>
    <row r="1403" spans="2:5">
      <c r="B1403" t="s">
        <v>2439</v>
      </c>
      <c r="C1403">
        <v>541999</v>
      </c>
      <c r="D1403" t="s">
        <v>360</v>
      </c>
      <c r="E1403" t="s">
        <v>558</v>
      </c>
    </row>
    <row r="1404" spans="2:5">
      <c r="B1404" t="s">
        <v>2440</v>
      </c>
      <c r="C1404">
        <v>540755</v>
      </c>
      <c r="D1404" t="s">
        <v>2441</v>
      </c>
      <c r="E1404" t="s">
        <v>2442</v>
      </c>
    </row>
    <row r="1405" spans="2:5">
      <c r="B1405" t="s">
        <v>2443</v>
      </c>
      <c r="C1405">
        <v>539407</v>
      </c>
      <c r="D1405" t="s">
        <v>360</v>
      </c>
      <c r="E1405" t="s">
        <v>758</v>
      </c>
    </row>
    <row r="1406" spans="2:5">
      <c r="B1406" t="s">
        <v>2444</v>
      </c>
      <c r="C1406">
        <v>514336</v>
      </c>
      <c r="D1406" t="s">
        <v>360</v>
      </c>
      <c r="E1406" t="s">
        <v>698</v>
      </c>
    </row>
    <row r="1407" spans="2:5">
      <c r="B1407" t="s">
        <v>2445</v>
      </c>
      <c r="C1407">
        <v>514336</v>
      </c>
      <c r="D1407" t="s">
        <v>360</v>
      </c>
      <c r="E1407" t="s">
        <v>698</v>
      </c>
    </row>
    <row r="1408" spans="2:5">
      <c r="B1408" t="s">
        <v>2446</v>
      </c>
      <c r="C1408">
        <v>506109</v>
      </c>
      <c r="D1408" t="s">
        <v>2447</v>
      </c>
      <c r="E1408" t="s">
        <v>453</v>
      </c>
    </row>
    <row r="1409" spans="2:5">
      <c r="B1409" t="s">
        <v>2448</v>
      </c>
      <c r="C1409">
        <v>531739</v>
      </c>
      <c r="D1409" t="s">
        <v>360</v>
      </c>
      <c r="E1409" t="s">
        <v>398</v>
      </c>
    </row>
    <row r="1410" spans="2:5">
      <c r="B1410" t="s">
        <v>2449</v>
      </c>
      <c r="C1410">
        <v>539206</v>
      </c>
      <c r="D1410" t="s">
        <v>360</v>
      </c>
      <c r="E1410" t="s">
        <v>698</v>
      </c>
    </row>
    <row r="1411" spans="2:5">
      <c r="B1411" t="s">
        <v>2450</v>
      </c>
      <c r="C1411">
        <v>538961</v>
      </c>
      <c r="D1411" t="s">
        <v>2451</v>
      </c>
      <c r="E1411" t="s">
        <v>354</v>
      </c>
    </row>
    <row r="1412" spans="2:5">
      <c r="B1412" t="s">
        <v>2452</v>
      </c>
      <c r="C1412">
        <v>530343</v>
      </c>
      <c r="D1412" t="s">
        <v>2453</v>
      </c>
      <c r="E1412" t="s">
        <v>658</v>
      </c>
    </row>
    <row r="1413" spans="2:5">
      <c r="B1413" t="s">
        <v>2454</v>
      </c>
      <c r="C1413">
        <v>532285</v>
      </c>
      <c r="D1413" t="s">
        <v>2455</v>
      </c>
      <c r="E1413" t="s">
        <v>343</v>
      </c>
    </row>
    <row r="1414" spans="2:5">
      <c r="B1414" t="s">
        <v>2456</v>
      </c>
      <c r="C1414">
        <v>500171</v>
      </c>
      <c r="D1414" t="s">
        <v>2457</v>
      </c>
      <c r="E1414" t="s">
        <v>408</v>
      </c>
    </row>
    <row r="1415" spans="2:5">
      <c r="B1415" t="s">
        <v>2458</v>
      </c>
      <c r="C1415">
        <v>533048</v>
      </c>
      <c r="D1415" t="s">
        <v>2459</v>
      </c>
      <c r="E1415" t="s">
        <v>758</v>
      </c>
    </row>
    <row r="1416" spans="2:5">
      <c r="B1416" t="s">
        <v>2460</v>
      </c>
      <c r="C1416">
        <v>511676</v>
      </c>
      <c r="D1416" t="s">
        <v>2461</v>
      </c>
      <c r="E1416" t="s">
        <v>418</v>
      </c>
    </row>
    <row r="1417" spans="2:5">
      <c r="B1417" t="s">
        <v>2462</v>
      </c>
      <c r="C1417">
        <v>538788</v>
      </c>
      <c r="D1417" t="s">
        <v>360</v>
      </c>
      <c r="E1417" t="s">
        <v>377</v>
      </c>
    </row>
    <row r="1418" spans="2:5">
      <c r="B1418" t="s">
        <v>2463</v>
      </c>
      <c r="C1418">
        <v>532716</v>
      </c>
      <c r="D1418" t="s">
        <v>2464</v>
      </c>
      <c r="E1418" t="s">
        <v>349</v>
      </c>
    </row>
    <row r="1419" spans="2:5">
      <c r="B1419" t="s">
        <v>2465</v>
      </c>
      <c r="C1419">
        <v>507815</v>
      </c>
      <c r="D1419" t="s">
        <v>2466</v>
      </c>
      <c r="E1419" t="s">
        <v>542</v>
      </c>
    </row>
    <row r="1420" spans="2:5">
      <c r="B1420" t="s">
        <v>2467</v>
      </c>
      <c r="C1420">
        <v>507815</v>
      </c>
      <c r="D1420" t="s">
        <v>2466</v>
      </c>
      <c r="E1420" t="s">
        <v>542</v>
      </c>
    </row>
    <row r="1421" spans="2:5">
      <c r="B1421" t="s">
        <v>2468</v>
      </c>
      <c r="C1421">
        <v>531744</v>
      </c>
      <c r="D1421" t="s">
        <v>360</v>
      </c>
      <c r="E1421" t="s">
        <v>382</v>
      </c>
    </row>
    <row r="1422" spans="2:5">
      <c r="B1422" t="s">
        <v>2469</v>
      </c>
      <c r="C1422">
        <v>590025</v>
      </c>
      <c r="D1422" t="s">
        <v>2470</v>
      </c>
      <c r="E1422" t="s">
        <v>375</v>
      </c>
    </row>
    <row r="1423" spans="2:5">
      <c r="B1423" t="s">
        <v>2471</v>
      </c>
      <c r="C1423">
        <v>507506</v>
      </c>
      <c r="D1423" t="s">
        <v>360</v>
      </c>
      <c r="E1423" t="s">
        <v>1058</v>
      </c>
    </row>
    <row r="1424" spans="2:5">
      <c r="B1424" t="s">
        <v>2472</v>
      </c>
      <c r="C1424" t="s">
        <v>360</v>
      </c>
      <c r="D1424" t="s">
        <v>2473</v>
      </c>
      <c r="E1424" t="s">
        <v>371</v>
      </c>
    </row>
    <row r="1425" spans="2:5">
      <c r="B1425" t="s">
        <v>2474</v>
      </c>
      <c r="C1425">
        <v>539013</v>
      </c>
      <c r="D1425" t="s">
        <v>360</v>
      </c>
      <c r="E1425" t="s">
        <v>499</v>
      </c>
    </row>
    <row r="1426" spans="2:5">
      <c r="B1426" t="s">
        <v>2475</v>
      </c>
      <c r="C1426">
        <v>533212</v>
      </c>
      <c r="D1426" t="s">
        <v>360</v>
      </c>
      <c r="E1426" t="s">
        <v>549</v>
      </c>
    </row>
    <row r="1427" spans="2:5">
      <c r="B1427" t="s">
        <v>2476</v>
      </c>
      <c r="C1427" t="s">
        <v>360</v>
      </c>
      <c r="D1427" t="s">
        <v>2477</v>
      </c>
      <c r="E1427" t="s">
        <v>451</v>
      </c>
    </row>
    <row r="1428" spans="2:5">
      <c r="B1428" t="s">
        <v>2478</v>
      </c>
      <c r="C1428">
        <v>531199</v>
      </c>
      <c r="D1428" t="s">
        <v>360</v>
      </c>
      <c r="E1428" t="s">
        <v>377</v>
      </c>
    </row>
    <row r="1429" spans="2:5">
      <c r="B1429" t="s">
        <v>2479</v>
      </c>
      <c r="C1429">
        <v>500676</v>
      </c>
      <c r="D1429" t="s">
        <v>2480</v>
      </c>
      <c r="E1429" t="s">
        <v>420</v>
      </c>
    </row>
    <row r="1430" spans="2:5">
      <c r="B1430" t="s">
        <v>2481</v>
      </c>
      <c r="C1430">
        <v>500660</v>
      </c>
      <c r="D1430" t="s">
        <v>2482</v>
      </c>
      <c r="E1430" t="s">
        <v>398</v>
      </c>
    </row>
    <row r="1431" spans="2:5">
      <c r="B1431" t="s">
        <v>2483</v>
      </c>
      <c r="C1431">
        <v>542477</v>
      </c>
      <c r="D1431" t="s">
        <v>2484</v>
      </c>
      <c r="E1431" t="s">
        <v>726</v>
      </c>
    </row>
    <row r="1432" spans="2:5">
      <c r="B1432" t="s">
        <v>2485</v>
      </c>
      <c r="C1432">
        <v>532296</v>
      </c>
      <c r="D1432" t="s">
        <v>2486</v>
      </c>
      <c r="E1432" t="s">
        <v>398</v>
      </c>
    </row>
    <row r="1433" spans="2:5">
      <c r="B1433" t="s">
        <v>2487</v>
      </c>
      <c r="C1433">
        <v>513528</v>
      </c>
      <c r="D1433" t="s">
        <v>360</v>
      </c>
      <c r="E1433" t="s">
        <v>888</v>
      </c>
    </row>
    <row r="1434" spans="2:5">
      <c r="B1434" t="s">
        <v>2488</v>
      </c>
      <c r="C1434">
        <v>530263</v>
      </c>
      <c r="D1434" t="s">
        <v>360</v>
      </c>
      <c r="E1434" t="s">
        <v>377</v>
      </c>
    </row>
    <row r="1435" spans="2:5">
      <c r="B1435" t="s">
        <v>2489</v>
      </c>
      <c r="C1435" t="s">
        <v>360</v>
      </c>
      <c r="D1435" t="s">
        <v>2490</v>
      </c>
      <c r="E1435" t="s">
        <v>371</v>
      </c>
    </row>
    <row r="1436" spans="2:5">
      <c r="B1436" t="s">
        <v>2491</v>
      </c>
      <c r="C1436">
        <v>531463</v>
      </c>
      <c r="D1436" t="s">
        <v>360</v>
      </c>
      <c r="E1436" t="s">
        <v>781</v>
      </c>
    </row>
    <row r="1437" spans="2:5">
      <c r="B1437" t="s">
        <v>2492</v>
      </c>
      <c r="C1437">
        <v>531479</v>
      </c>
      <c r="D1437" t="s">
        <v>360</v>
      </c>
      <c r="E1437" t="s">
        <v>446</v>
      </c>
    </row>
    <row r="1438" spans="2:5">
      <c r="B1438" t="s">
        <v>2493</v>
      </c>
      <c r="C1438">
        <v>501848</v>
      </c>
      <c r="D1438" t="s">
        <v>2494</v>
      </c>
      <c r="E1438" t="s">
        <v>1607</v>
      </c>
    </row>
    <row r="1439" spans="2:5">
      <c r="B1439" t="s">
        <v>2495</v>
      </c>
      <c r="C1439">
        <v>532773</v>
      </c>
      <c r="D1439" t="s">
        <v>2496</v>
      </c>
      <c r="E1439" t="s">
        <v>2497</v>
      </c>
    </row>
    <row r="1440" spans="2:5">
      <c r="B1440" t="s">
        <v>2498</v>
      </c>
      <c r="C1440">
        <v>540654</v>
      </c>
      <c r="D1440" t="s">
        <v>360</v>
      </c>
      <c r="E1440" t="s">
        <v>346</v>
      </c>
    </row>
    <row r="1441" spans="2:5">
      <c r="B1441" t="s">
        <v>2499</v>
      </c>
      <c r="C1441">
        <v>540266</v>
      </c>
      <c r="D1441" t="s">
        <v>360</v>
      </c>
      <c r="E1441" t="s">
        <v>382</v>
      </c>
    </row>
    <row r="1442" spans="2:5">
      <c r="B1442" t="s">
        <v>2500</v>
      </c>
      <c r="C1442" t="s">
        <v>360</v>
      </c>
      <c r="D1442" t="s">
        <v>2501</v>
      </c>
      <c r="E1442" t="s">
        <v>371</v>
      </c>
    </row>
    <row r="1443" spans="2:5">
      <c r="B1443" t="s">
        <v>2502</v>
      </c>
      <c r="C1443" t="s">
        <v>360</v>
      </c>
      <c r="D1443" t="s">
        <v>2503</v>
      </c>
      <c r="E1443" t="s">
        <v>371</v>
      </c>
    </row>
    <row r="1444" spans="2:5">
      <c r="B1444" t="s">
        <v>2504</v>
      </c>
      <c r="C1444" t="s">
        <v>360</v>
      </c>
      <c r="D1444" t="s">
        <v>2503</v>
      </c>
      <c r="E1444" t="s">
        <v>371</v>
      </c>
    </row>
    <row r="1445" spans="2:5">
      <c r="B1445" t="s">
        <v>2505</v>
      </c>
      <c r="C1445">
        <v>526025</v>
      </c>
      <c r="D1445" t="s">
        <v>360</v>
      </c>
      <c r="E1445" t="s">
        <v>375</v>
      </c>
    </row>
    <row r="1446" spans="2:5">
      <c r="B1446" t="s">
        <v>2506</v>
      </c>
      <c r="C1446">
        <v>531904</v>
      </c>
      <c r="D1446" t="s">
        <v>2507</v>
      </c>
      <c r="E1446" t="s">
        <v>726</v>
      </c>
    </row>
    <row r="1447" spans="2:5">
      <c r="B1447" t="s">
        <v>2508</v>
      </c>
      <c r="C1447">
        <v>533104</v>
      </c>
      <c r="D1447" t="s">
        <v>2509</v>
      </c>
      <c r="E1447" t="s">
        <v>991</v>
      </c>
    </row>
    <row r="1448" spans="2:5">
      <c r="B1448" t="s">
        <v>2510</v>
      </c>
      <c r="C1448">
        <v>542351</v>
      </c>
      <c r="D1448" t="s">
        <v>2511</v>
      </c>
      <c r="E1448" t="s">
        <v>2512</v>
      </c>
    </row>
    <row r="1449" spans="2:5">
      <c r="B1449" t="s">
        <v>2513</v>
      </c>
      <c r="C1449">
        <v>507488</v>
      </c>
      <c r="D1449" t="s">
        <v>2514</v>
      </c>
      <c r="E1449" t="s">
        <v>991</v>
      </c>
    </row>
    <row r="1450" spans="2:5">
      <c r="B1450" t="s">
        <v>2515</v>
      </c>
      <c r="C1450">
        <v>505255</v>
      </c>
      <c r="D1450" t="s">
        <v>2516</v>
      </c>
      <c r="E1450" t="s">
        <v>368</v>
      </c>
    </row>
    <row r="1451" spans="2:5">
      <c r="B1451" t="s">
        <v>2517</v>
      </c>
      <c r="C1451">
        <v>532754</v>
      </c>
      <c r="D1451" t="s">
        <v>2518</v>
      </c>
      <c r="E1451" t="s">
        <v>499</v>
      </c>
    </row>
    <row r="1452" spans="2:5">
      <c r="B1452" t="s">
        <v>2519</v>
      </c>
      <c r="C1452">
        <v>540124</v>
      </c>
      <c r="D1452" t="s">
        <v>2520</v>
      </c>
      <c r="E1452" t="s">
        <v>715</v>
      </c>
    </row>
    <row r="1453" spans="2:5">
      <c r="B1453" t="s">
        <v>2521</v>
      </c>
      <c r="C1453">
        <v>509567</v>
      </c>
      <c r="D1453" t="s">
        <v>2522</v>
      </c>
      <c r="E1453" t="s">
        <v>1288</v>
      </c>
    </row>
    <row r="1454" spans="2:5">
      <c r="B1454" t="s">
        <v>2523</v>
      </c>
      <c r="C1454">
        <v>506480</v>
      </c>
      <c r="D1454" t="s">
        <v>2524</v>
      </c>
      <c r="E1454" t="s">
        <v>570</v>
      </c>
    </row>
    <row r="1455" spans="2:5">
      <c r="B1455" t="s">
        <v>2525</v>
      </c>
      <c r="C1455">
        <v>530317</v>
      </c>
      <c r="D1455" t="s">
        <v>360</v>
      </c>
      <c r="E1455" t="s">
        <v>398</v>
      </c>
    </row>
    <row r="1456" spans="2:5">
      <c r="B1456" t="s">
        <v>2526</v>
      </c>
      <c r="C1456">
        <v>532734</v>
      </c>
      <c r="D1456" t="s">
        <v>2527</v>
      </c>
      <c r="E1456" t="s">
        <v>392</v>
      </c>
    </row>
    <row r="1457" spans="2:5">
      <c r="B1457" t="s">
        <v>2528</v>
      </c>
      <c r="C1457">
        <v>500163</v>
      </c>
      <c r="D1457" t="s">
        <v>2529</v>
      </c>
      <c r="E1457" t="s">
        <v>2530</v>
      </c>
    </row>
    <row r="1458" spans="2:5">
      <c r="B1458" t="s">
        <v>2531</v>
      </c>
      <c r="C1458">
        <v>500163</v>
      </c>
      <c r="D1458" t="s">
        <v>2529</v>
      </c>
      <c r="E1458" t="s">
        <v>2530</v>
      </c>
    </row>
    <row r="1459" spans="2:5">
      <c r="B1459" t="s">
        <v>2532</v>
      </c>
      <c r="C1459" t="s">
        <v>360</v>
      </c>
      <c r="D1459" t="s">
        <v>2533</v>
      </c>
      <c r="E1459" t="s">
        <v>371</v>
      </c>
    </row>
    <row r="1460" spans="2:5">
      <c r="B1460" t="s">
        <v>2534</v>
      </c>
      <c r="C1460">
        <v>540743</v>
      </c>
      <c r="D1460" t="s">
        <v>2535</v>
      </c>
      <c r="E1460" t="s">
        <v>558</v>
      </c>
    </row>
    <row r="1461" spans="2:5">
      <c r="B1461" t="s">
        <v>2536</v>
      </c>
      <c r="C1461">
        <v>532424</v>
      </c>
      <c r="D1461" t="s">
        <v>2537</v>
      </c>
      <c r="E1461" t="s">
        <v>542</v>
      </c>
    </row>
    <row r="1462" spans="2:5">
      <c r="B1462" t="s">
        <v>2538</v>
      </c>
      <c r="C1462">
        <v>500164</v>
      </c>
      <c r="D1462" t="s">
        <v>2539</v>
      </c>
      <c r="E1462" t="s">
        <v>408</v>
      </c>
    </row>
    <row r="1463" spans="2:5">
      <c r="B1463" t="s">
        <v>2540</v>
      </c>
      <c r="C1463">
        <v>533150</v>
      </c>
      <c r="D1463" t="s">
        <v>2541</v>
      </c>
      <c r="E1463" t="s">
        <v>446</v>
      </c>
    </row>
    <row r="1464" spans="2:5">
      <c r="B1464" t="s">
        <v>2542</v>
      </c>
      <c r="C1464">
        <v>538787</v>
      </c>
      <c r="D1464" t="s">
        <v>360</v>
      </c>
      <c r="E1464" t="s">
        <v>377</v>
      </c>
    </row>
    <row r="1465" spans="2:5">
      <c r="B1465" t="s">
        <v>2543</v>
      </c>
      <c r="C1465">
        <v>533189</v>
      </c>
      <c r="D1465" t="s">
        <v>2544</v>
      </c>
      <c r="E1465" t="s">
        <v>474</v>
      </c>
    </row>
    <row r="1466" spans="2:5">
      <c r="B1466" t="s">
        <v>2545</v>
      </c>
      <c r="C1466">
        <v>531600</v>
      </c>
      <c r="D1466" t="s">
        <v>360</v>
      </c>
      <c r="E1466" t="s">
        <v>343</v>
      </c>
    </row>
    <row r="1467" spans="2:5">
      <c r="B1467" t="s">
        <v>2546</v>
      </c>
      <c r="C1467">
        <v>532957</v>
      </c>
      <c r="D1467" t="s">
        <v>360</v>
      </c>
      <c r="E1467" t="s">
        <v>375</v>
      </c>
    </row>
    <row r="1468" spans="2:5">
      <c r="B1468" t="s">
        <v>2547</v>
      </c>
      <c r="C1468">
        <v>532630</v>
      </c>
      <c r="D1468" t="s">
        <v>2548</v>
      </c>
      <c r="E1468" t="s">
        <v>474</v>
      </c>
    </row>
    <row r="1469" spans="2:5">
      <c r="B1469" t="s">
        <v>2549</v>
      </c>
      <c r="C1469">
        <v>539725</v>
      </c>
      <c r="D1469" t="s">
        <v>2550</v>
      </c>
      <c r="E1469" t="s">
        <v>609</v>
      </c>
    </row>
    <row r="1470" spans="2:5">
      <c r="B1470" t="s">
        <v>2551</v>
      </c>
      <c r="C1470">
        <v>532980</v>
      </c>
      <c r="D1470" t="s">
        <v>2552</v>
      </c>
      <c r="E1470" t="s">
        <v>609</v>
      </c>
    </row>
    <row r="1471" spans="2:5">
      <c r="B1471" t="s">
        <v>2553</v>
      </c>
      <c r="C1471">
        <v>780012</v>
      </c>
      <c r="D1471" t="s">
        <v>360</v>
      </c>
      <c r="E1471" t="s">
        <v>451</v>
      </c>
    </row>
    <row r="1472" spans="2:5">
      <c r="B1472" t="s">
        <v>2554</v>
      </c>
      <c r="C1472">
        <v>538542</v>
      </c>
      <c r="D1472" t="s">
        <v>360</v>
      </c>
      <c r="E1472" t="s">
        <v>420</v>
      </c>
    </row>
    <row r="1473" spans="2:5">
      <c r="B1473" t="s">
        <v>2555</v>
      </c>
      <c r="C1473">
        <v>538180</v>
      </c>
      <c r="D1473" t="s">
        <v>2556</v>
      </c>
      <c r="E1473" t="s">
        <v>380</v>
      </c>
    </row>
    <row r="1474" spans="2:5">
      <c r="B1474" t="s">
        <v>2557</v>
      </c>
      <c r="C1474">
        <v>505576</v>
      </c>
      <c r="D1474" t="s">
        <v>360</v>
      </c>
      <c r="E1474" t="s">
        <v>377</v>
      </c>
    </row>
    <row r="1475" spans="2:5">
      <c r="B1475" t="s">
        <v>2558</v>
      </c>
      <c r="C1475">
        <v>531928</v>
      </c>
      <c r="D1475" t="s">
        <v>360</v>
      </c>
      <c r="E1475" t="s">
        <v>637</v>
      </c>
    </row>
    <row r="1476" spans="2:5">
      <c r="B1476" t="s">
        <v>2559</v>
      </c>
      <c r="C1476">
        <v>540062</v>
      </c>
      <c r="D1476" t="s">
        <v>360</v>
      </c>
      <c r="E1476" t="s">
        <v>465</v>
      </c>
    </row>
    <row r="1477" spans="2:5">
      <c r="B1477" t="s">
        <v>2560</v>
      </c>
      <c r="C1477">
        <v>530579</v>
      </c>
      <c r="D1477" t="s">
        <v>360</v>
      </c>
      <c r="E1477" t="s">
        <v>377</v>
      </c>
    </row>
    <row r="1478" spans="2:5">
      <c r="B1478" t="s">
        <v>2561</v>
      </c>
      <c r="C1478">
        <v>500151</v>
      </c>
      <c r="D1478" t="s">
        <v>2562</v>
      </c>
      <c r="E1478" t="s">
        <v>2530</v>
      </c>
    </row>
    <row r="1479" spans="2:5">
      <c r="B1479" t="s">
        <v>2563</v>
      </c>
      <c r="C1479">
        <v>526729</v>
      </c>
      <c r="D1479" t="s">
        <v>2564</v>
      </c>
      <c r="E1479" t="s">
        <v>474</v>
      </c>
    </row>
    <row r="1480" spans="2:5">
      <c r="B1480" t="s">
        <v>2565</v>
      </c>
      <c r="C1480" t="s">
        <v>360</v>
      </c>
      <c r="D1480" t="s">
        <v>2566</v>
      </c>
      <c r="E1480" t="s">
        <v>371</v>
      </c>
    </row>
    <row r="1481" spans="2:5">
      <c r="B1481" t="s">
        <v>2567</v>
      </c>
      <c r="C1481">
        <v>531439</v>
      </c>
      <c r="D1481" t="s">
        <v>2568</v>
      </c>
      <c r="E1481" t="s">
        <v>346</v>
      </c>
    </row>
    <row r="1482" spans="2:5">
      <c r="B1482" t="s">
        <v>2569</v>
      </c>
      <c r="C1482">
        <v>531360</v>
      </c>
      <c r="D1482" t="s">
        <v>360</v>
      </c>
      <c r="E1482" t="s">
        <v>781</v>
      </c>
    </row>
    <row r="1483" spans="2:5">
      <c r="B1483" t="s">
        <v>2570</v>
      </c>
      <c r="C1483">
        <v>513309</v>
      </c>
      <c r="D1483" t="s">
        <v>360</v>
      </c>
      <c r="E1483" t="s">
        <v>665</v>
      </c>
    </row>
    <row r="1484" spans="2:5">
      <c r="B1484" t="s">
        <v>2571</v>
      </c>
      <c r="C1484">
        <v>523676</v>
      </c>
      <c r="D1484" t="s">
        <v>360</v>
      </c>
      <c r="E1484" t="s">
        <v>474</v>
      </c>
    </row>
    <row r="1485" spans="2:5">
      <c r="B1485" t="s">
        <v>2572</v>
      </c>
      <c r="C1485">
        <v>530655</v>
      </c>
      <c r="D1485" t="s">
        <v>2573</v>
      </c>
      <c r="E1485" t="s">
        <v>683</v>
      </c>
    </row>
    <row r="1486" spans="2:5">
      <c r="B1486" t="s">
        <v>2574</v>
      </c>
      <c r="C1486">
        <v>530655</v>
      </c>
      <c r="D1486" t="s">
        <v>2573</v>
      </c>
      <c r="E1486" t="s">
        <v>683</v>
      </c>
    </row>
    <row r="1487" spans="2:5">
      <c r="B1487" t="s">
        <v>2575</v>
      </c>
      <c r="C1487">
        <v>500166</v>
      </c>
      <c r="D1487" t="s">
        <v>360</v>
      </c>
      <c r="E1487" t="s">
        <v>767</v>
      </c>
    </row>
    <row r="1488" spans="2:5">
      <c r="B1488" t="s">
        <v>2576</v>
      </c>
      <c r="C1488">
        <v>500168</v>
      </c>
      <c r="D1488" t="s">
        <v>360</v>
      </c>
      <c r="E1488" t="s">
        <v>840</v>
      </c>
    </row>
    <row r="1489" spans="2:5">
      <c r="B1489" t="s">
        <v>2577</v>
      </c>
      <c r="C1489">
        <v>500168</v>
      </c>
      <c r="D1489" t="s">
        <v>360</v>
      </c>
      <c r="E1489" t="s">
        <v>840</v>
      </c>
    </row>
    <row r="1490" spans="2:5">
      <c r="B1490" t="s">
        <v>2578</v>
      </c>
      <c r="C1490">
        <v>531913</v>
      </c>
      <c r="D1490" t="s">
        <v>360</v>
      </c>
      <c r="E1490" t="s">
        <v>683</v>
      </c>
    </row>
    <row r="1491" spans="2:5">
      <c r="B1491" t="s">
        <v>2579</v>
      </c>
      <c r="C1491">
        <v>526717</v>
      </c>
      <c r="D1491" t="s">
        <v>360</v>
      </c>
      <c r="E1491" t="s">
        <v>555</v>
      </c>
    </row>
    <row r="1492" spans="2:5">
      <c r="B1492" t="s">
        <v>2580</v>
      </c>
      <c r="C1492">
        <v>531608</v>
      </c>
      <c r="D1492" t="s">
        <v>360</v>
      </c>
      <c r="E1492" t="s">
        <v>1405</v>
      </c>
    </row>
    <row r="1493" spans="2:5">
      <c r="B1493" t="s">
        <v>2581</v>
      </c>
      <c r="C1493">
        <v>531111</v>
      </c>
      <c r="D1493" t="s">
        <v>360</v>
      </c>
      <c r="E1493" t="s">
        <v>1405</v>
      </c>
    </row>
    <row r="1494" spans="2:5">
      <c r="B1494" t="s">
        <v>2582</v>
      </c>
      <c r="C1494">
        <v>531111</v>
      </c>
      <c r="D1494" t="s">
        <v>360</v>
      </c>
      <c r="E1494" t="s">
        <v>1405</v>
      </c>
    </row>
    <row r="1495" spans="2:5">
      <c r="B1495" t="s">
        <v>2583</v>
      </c>
      <c r="C1495">
        <v>509148</v>
      </c>
      <c r="D1495" t="s">
        <v>360</v>
      </c>
      <c r="E1495" t="s">
        <v>840</v>
      </c>
    </row>
    <row r="1496" spans="2:5">
      <c r="B1496" t="s">
        <v>2584</v>
      </c>
      <c r="C1496">
        <v>530709</v>
      </c>
      <c r="D1496" t="s">
        <v>360</v>
      </c>
      <c r="E1496" t="s">
        <v>377</v>
      </c>
    </row>
    <row r="1497" spans="2:5">
      <c r="B1497" t="s">
        <v>2585</v>
      </c>
      <c r="C1497">
        <v>530663</v>
      </c>
      <c r="D1497" t="s">
        <v>360</v>
      </c>
      <c r="E1497" t="s">
        <v>343</v>
      </c>
    </row>
    <row r="1498" spans="2:5">
      <c r="B1498" t="s">
        <v>2586</v>
      </c>
      <c r="C1498">
        <v>532543</v>
      </c>
      <c r="D1498" t="s">
        <v>2587</v>
      </c>
      <c r="E1498" t="s">
        <v>570</v>
      </c>
    </row>
    <row r="1499" spans="2:5">
      <c r="B1499" t="s">
        <v>2588</v>
      </c>
      <c r="C1499">
        <v>533761</v>
      </c>
      <c r="D1499" t="s">
        <v>2589</v>
      </c>
      <c r="E1499" t="s">
        <v>758</v>
      </c>
    </row>
    <row r="1500" spans="2:5">
      <c r="B1500" t="s">
        <v>2590</v>
      </c>
      <c r="C1500">
        <v>780002</v>
      </c>
      <c r="D1500" t="s">
        <v>360</v>
      </c>
      <c r="E1500" t="s">
        <v>451</v>
      </c>
    </row>
    <row r="1501" spans="2:5">
      <c r="B1501" t="s">
        <v>2591</v>
      </c>
      <c r="C1501">
        <v>590126</v>
      </c>
      <c r="D1501" t="s">
        <v>360</v>
      </c>
      <c r="E1501" t="s">
        <v>1962</v>
      </c>
    </row>
    <row r="1502" spans="2:5">
      <c r="B1502" t="s">
        <v>2592</v>
      </c>
      <c r="C1502">
        <v>539235</v>
      </c>
      <c r="D1502" t="s">
        <v>360</v>
      </c>
      <c r="E1502" t="s">
        <v>767</v>
      </c>
    </row>
    <row r="1503" spans="2:5">
      <c r="B1503" t="s">
        <v>2593</v>
      </c>
      <c r="C1503">
        <v>532482</v>
      </c>
      <c r="D1503" t="s">
        <v>2594</v>
      </c>
      <c r="E1503" t="s">
        <v>398</v>
      </c>
    </row>
    <row r="1504" spans="2:5">
      <c r="B1504" t="s">
        <v>2595</v>
      </c>
      <c r="C1504">
        <v>532482</v>
      </c>
      <c r="D1504" t="s">
        <v>2594</v>
      </c>
      <c r="E1504" t="s">
        <v>398</v>
      </c>
    </row>
    <row r="1505" spans="2:5">
      <c r="B1505" t="s">
        <v>2596</v>
      </c>
      <c r="C1505">
        <v>509488</v>
      </c>
      <c r="D1505" t="s">
        <v>2597</v>
      </c>
      <c r="E1505" t="s">
        <v>545</v>
      </c>
    </row>
    <row r="1506" spans="2:5">
      <c r="B1506" t="s">
        <v>2598</v>
      </c>
      <c r="C1506">
        <v>509488</v>
      </c>
      <c r="D1506" t="s">
        <v>2597</v>
      </c>
      <c r="E1506" t="s">
        <v>545</v>
      </c>
    </row>
    <row r="1507" spans="2:5">
      <c r="B1507" t="s">
        <v>2599</v>
      </c>
      <c r="C1507">
        <v>500300</v>
      </c>
      <c r="D1507" t="s">
        <v>2600</v>
      </c>
      <c r="E1507" t="s">
        <v>373</v>
      </c>
    </row>
    <row r="1508" spans="2:5">
      <c r="B1508" t="s">
        <v>2601</v>
      </c>
      <c r="C1508">
        <v>526751</v>
      </c>
      <c r="D1508" t="s">
        <v>360</v>
      </c>
      <c r="E1508" t="s">
        <v>354</v>
      </c>
    </row>
    <row r="1509" spans="2:5">
      <c r="B1509" t="s">
        <v>2602</v>
      </c>
      <c r="C1509">
        <v>505710</v>
      </c>
      <c r="D1509" t="s">
        <v>360</v>
      </c>
      <c r="E1509" t="s">
        <v>408</v>
      </c>
    </row>
    <row r="1510" spans="2:5">
      <c r="B1510" t="s">
        <v>2603</v>
      </c>
      <c r="C1510">
        <v>505710</v>
      </c>
      <c r="D1510" t="s">
        <v>360</v>
      </c>
      <c r="E1510" t="s">
        <v>408</v>
      </c>
    </row>
    <row r="1511" spans="2:5">
      <c r="B1511" t="s">
        <v>2604</v>
      </c>
      <c r="C1511">
        <v>509546</v>
      </c>
      <c r="D1511" t="s">
        <v>360</v>
      </c>
      <c r="E1511" t="s">
        <v>561</v>
      </c>
    </row>
    <row r="1512" spans="2:5">
      <c r="B1512" t="s">
        <v>2605</v>
      </c>
      <c r="C1512">
        <v>533282</v>
      </c>
      <c r="D1512" t="s">
        <v>2606</v>
      </c>
      <c r="E1512" t="s">
        <v>2607</v>
      </c>
    </row>
    <row r="1513" spans="2:5">
      <c r="B1513" t="s">
        <v>2608</v>
      </c>
      <c r="C1513">
        <v>533282</v>
      </c>
      <c r="D1513" t="s">
        <v>2606</v>
      </c>
      <c r="E1513" t="s">
        <v>2607</v>
      </c>
    </row>
    <row r="1514" spans="2:5">
      <c r="B1514" t="s">
        <v>2609</v>
      </c>
      <c r="C1514">
        <v>532015</v>
      </c>
      <c r="D1514" t="s">
        <v>360</v>
      </c>
      <c r="E1514" t="s">
        <v>375</v>
      </c>
    </row>
    <row r="1515" spans="2:5">
      <c r="B1515" t="s">
        <v>2610</v>
      </c>
      <c r="C1515">
        <v>532015</v>
      </c>
      <c r="D1515" t="s">
        <v>360</v>
      </c>
      <c r="E1515" t="s">
        <v>375</v>
      </c>
    </row>
    <row r="1516" spans="2:5">
      <c r="B1516" t="s">
        <v>2611</v>
      </c>
      <c r="C1516">
        <v>501455</v>
      </c>
      <c r="D1516" t="s">
        <v>2612</v>
      </c>
      <c r="E1516" t="s">
        <v>368</v>
      </c>
    </row>
    <row r="1517" spans="2:5">
      <c r="B1517" t="s">
        <v>2613</v>
      </c>
      <c r="C1517">
        <v>531737</v>
      </c>
      <c r="D1517" t="s">
        <v>360</v>
      </c>
      <c r="E1517" t="s">
        <v>781</v>
      </c>
    </row>
    <row r="1518" spans="2:5">
      <c r="B1518" t="s">
        <v>2614</v>
      </c>
      <c r="C1518">
        <v>538979</v>
      </c>
      <c r="D1518" t="s">
        <v>2615</v>
      </c>
      <c r="E1518" t="s">
        <v>637</v>
      </c>
    </row>
    <row r="1519" spans="2:5">
      <c r="B1519" t="s">
        <v>2616</v>
      </c>
      <c r="C1519">
        <v>526797</v>
      </c>
      <c r="D1519" t="s">
        <v>2617</v>
      </c>
      <c r="E1519" t="s">
        <v>855</v>
      </c>
    </row>
    <row r="1520" spans="2:5">
      <c r="B1520" t="s">
        <v>2618</v>
      </c>
      <c r="C1520" t="s">
        <v>360</v>
      </c>
      <c r="D1520" t="s">
        <v>2619</v>
      </c>
      <c r="E1520" t="s">
        <v>371</v>
      </c>
    </row>
    <row r="1521" spans="2:5">
      <c r="B1521" t="s">
        <v>2620</v>
      </c>
      <c r="C1521">
        <v>508918</v>
      </c>
      <c r="D1521" t="s">
        <v>360</v>
      </c>
      <c r="E1521" t="s">
        <v>465</v>
      </c>
    </row>
    <row r="1522" spans="2:5">
      <c r="B1522" t="s">
        <v>2621</v>
      </c>
      <c r="C1522">
        <v>506076</v>
      </c>
      <c r="D1522" t="s">
        <v>2622</v>
      </c>
      <c r="E1522" t="s">
        <v>1279</v>
      </c>
    </row>
    <row r="1523" spans="2:5">
      <c r="B1523" t="s">
        <v>2623</v>
      </c>
      <c r="C1523">
        <v>531449</v>
      </c>
      <c r="D1523" t="s">
        <v>360</v>
      </c>
      <c r="E1523" t="s">
        <v>558</v>
      </c>
    </row>
    <row r="1524" spans="2:5">
      <c r="B1524" t="s">
        <v>2624</v>
      </c>
      <c r="C1524">
        <v>501314</v>
      </c>
      <c r="D1524" t="s">
        <v>360</v>
      </c>
      <c r="E1524" t="s">
        <v>382</v>
      </c>
    </row>
    <row r="1525" spans="2:5">
      <c r="B1525" t="s">
        <v>2625</v>
      </c>
      <c r="C1525">
        <v>539522</v>
      </c>
      <c r="D1525" t="s">
        <v>360</v>
      </c>
      <c r="E1525" t="s">
        <v>806</v>
      </c>
    </row>
    <row r="1526" spans="2:5">
      <c r="B1526" t="s">
        <v>2626</v>
      </c>
      <c r="C1526">
        <v>539522</v>
      </c>
      <c r="D1526" t="s">
        <v>360</v>
      </c>
      <c r="E1526" t="s">
        <v>806</v>
      </c>
    </row>
    <row r="1527" spans="2:5">
      <c r="B1527" t="s">
        <v>2627</v>
      </c>
      <c r="C1527">
        <v>509152</v>
      </c>
      <c r="D1527" t="s">
        <v>2628</v>
      </c>
      <c r="E1527" t="s">
        <v>840</v>
      </c>
    </row>
    <row r="1528" spans="2:5">
      <c r="B1528" t="s">
        <v>2629</v>
      </c>
      <c r="C1528">
        <v>511288</v>
      </c>
      <c r="D1528" t="s">
        <v>2630</v>
      </c>
      <c r="E1528" t="s">
        <v>418</v>
      </c>
    </row>
    <row r="1529" spans="2:5">
      <c r="B1529" t="s">
        <v>2631</v>
      </c>
      <c r="C1529">
        <v>511543</v>
      </c>
      <c r="D1529" t="s">
        <v>360</v>
      </c>
      <c r="E1529" t="s">
        <v>377</v>
      </c>
    </row>
    <row r="1530" spans="2:5">
      <c r="B1530" t="s">
        <v>2632</v>
      </c>
      <c r="C1530">
        <v>530605</v>
      </c>
      <c r="D1530" t="s">
        <v>360</v>
      </c>
      <c r="E1530" t="s">
        <v>375</v>
      </c>
    </row>
    <row r="1531" spans="2:5">
      <c r="B1531" t="s">
        <v>2633</v>
      </c>
      <c r="C1531">
        <v>530469</v>
      </c>
      <c r="D1531" t="s">
        <v>360</v>
      </c>
      <c r="E1531" t="s">
        <v>377</v>
      </c>
    </row>
    <row r="1532" spans="2:5">
      <c r="B1532" t="s">
        <v>2634</v>
      </c>
      <c r="C1532">
        <v>532951</v>
      </c>
      <c r="D1532" t="s">
        <v>2635</v>
      </c>
      <c r="E1532" t="s">
        <v>346</v>
      </c>
    </row>
    <row r="1533" spans="2:5">
      <c r="B1533" t="s">
        <v>2636</v>
      </c>
      <c r="C1533">
        <v>532139</v>
      </c>
      <c r="D1533" t="s">
        <v>360</v>
      </c>
      <c r="E1533" t="s">
        <v>690</v>
      </c>
    </row>
    <row r="1534" spans="2:5">
      <c r="B1534" t="s">
        <v>2637</v>
      </c>
      <c r="C1534">
        <v>532775</v>
      </c>
      <c r="D1534" t="s">
        <v>2638</v>
      </c>
      <c r="E1534" t="s">
        <v>506</v>
      </c>
    </row>
    <row r="1535" spans="2:5">
      <c r="B1535" t="s">
        <v>2639</v>
      </c>
      <c r="C1535">
        <v>500160</v>
      </c>
      <c r="D1535" t="s">
        <v>2640</v>
      </c>
      <c r="E1535" t="s">
        <v>1306</v>
      </c>
    </row>
    <row r="1536" spans="2:5">
      <c r="B1536" t="s">
        <v>2641</v>
      </c>
      <c r="C1536">
        <v>500170</v>
      </c>
      <c r="D1536" t="s">
        <v>2642</v>
      </c>
      <c r="E1536" t="s">
        <v>375</v>
      </c>
    </row>
    <row r="1537" spans="2:5">
      <c r="B1537" t="s">
        <v>2643</v>
      </c>
      <c r="C1537">
        <v>532744</v>
      </c>
      <c r="D1537" t="s">
        <v>2644</v>
      </c>
      <c r="E1537" t="s">
        <v>375</v>
      </c>
    </row>
    <row r="1538" spans="2:5">
      <c r="B1538" t="s">
        <v>2645</v>
      </c>
      <c r="C1538">
        <v>540602</v>
      </c>
      <c r="D1538" t="s">
        <v>2646</v>
      </c>
      <c r="E1538" t="s">
        <v>1306</v>
      </c>
    </row>
    <row r="1539" spans="2:5">
      <c r="B1539" t="s">
        <v>2647</v>
      </c>
      <c r="C1539">
        <v>539479</v>
      </c>
      <c r="D1539" t="s">
        <v>360</v>
      </c>
      <c r="E1539" t="s">
        <v>368</v>
      </c>
    </row>
    <row r="1540" spans="2:5">
      <c r="B1540" t="s">
        <v>2648</v>
      </c>
      <c r="C1540">
        <v>509079</v>
      </c>
      <c r="D1540" t="s">
        <v>2649</v>
      </c>
      <c r="E1540" t="s">
        <v>398</v>
      </c>
    </row>
    <row r="1541" spans="2:5">
      <c r="B1541" t="s">
        <v>2650</v>
      </c>
      <c r="C1541">
        <v>530001</v>
      </c>
      <c r="D1541" t="s">
        <v>2651</v>
      </c>
      <c r="E1541" t="s">
        <v>408</v>
      </c>
    </row>
    <row r="1542" spans="2:5">
      <c r="B1542" t="s">
        <v>2652</v>
      </c>
      <c r="C1542">
        <v>524226</v>
      </c>
      <c r="D1542" t="s">
        <v>2653</v>
      </c>
      <c r="E1542" t="s">
        <v>558</v>
      </c>
    </row>
    <row r="1543" spans="2:5">
      <c r="B1543" t="s">
        <v>2654</v>
      </c>
      <c r="C1543">
        <v>522217</v>
      </c>
      <c r="D1543" t="s">
        <v>2655</v>
      </c>
      <c r="E1543" t="s">
        <v>438</v>
      </c>
    </row>
    <row r="1544" spans="2:5">
      <c r="B1544" t="s">
        <v>2656</v>
      </c>
      <c r="C1544">
        <v>523768</v>
      </c>
      <c r="D1544" t="s">
        <v>360</v>
      </c>
      <c r="E1544" t="s">
        <v>888</v>
      </c>
    </row>
    <row r="1545" spans="2:5">
      <c r="B1545" t="s">
        <v>2657</v>
      </c>
      <c r="C1545">
        <v>513507</v>
      </c>
      <c r="D1545" t="s">
        <v>360</v>
      </c>
      <c r="E1545" t="s">
        <v>683</v>
      </c>
    </row>
    <row r="1546" spans="2:5">
      <c r="B1546" t="s">
        <v>2658</v>
      </c>
      <c r="C1546">
        <v>514386</v>
      </c>
      <c r="D1546" t="s">
        <v>360</v>
      </c>
      <c r="E1546" t="s">
        <v>375</v>
      </c>
    </row>
    <row r="1547" spans="2:5">
      <c r="B1547" t="s">
        <v>2659</v>
      </c>
      <c r="C1547">
        <v>526965</v>
      </c>
      <c r="D1547" t="s">
        <v>360</v>
      </c>
      <c r="E1547" t="s">
        <v>555</v>
      </c>
    </row>
    <row r="1548" spans="2:5">
      <c r="B1548" t="s">
        <v>2660</v>
      </c>
      <c r="C1548">
        <v>511441</v>
      </c>
      <c r="D1548" t="s">
        <v>360</v>
      </c>
      <c r="E1548" t="s">
        <v>343</v>
      </c>
    </row>
    <row r="1549" spans="2:5">
      <c r="B1549" t="s">
        <v>2661</v>
      </c>
      <c r="C1549">
        <v>500173</v>
      </c>
      <c r="D1549" t="s">
        <v>2662</v>
      </c>
      <c r="E1549" t="s">
        <v>1395</v>
      </c>
    </row>
    <row r="1550" spans="2:5">
      <c r="B1550" t="s">
        <v>2663</v>
      </c>
      <c r="C1550">
        <v>531410</v>
      </c>
      <c r="D1550" t="s">
        <v>360</v>
      </c>
      <c r="E1550" t="s">
        <v>665</v>
      </c>
    </row>
    <row r="1551" spans="2:5">
      <c r="B1551" t="s">
        <v>2664</v>
      </c>
      <c r="C1551">
        <v>539336</v>
      </c>
      <c r="D1551" t="s">
        <v>2665</v>
      </c>
      <c r="E1551" t="s">
        <v>491</v>
      </c>
    </row>
    <row r="1552" spans="2:5">
      <c r="B1552" t="s">
        <v>2666</v>
      </c>
      <c r="C1552">
        <v>507960</v>
      </c>
      <c r="D1552" t="s">
        <v>360</v>
      </c>
      <c r="E1552" t="s">
        <v>561</v>
      </c>
    </row>
    <row r="1553" spans="2:5">
      <c r="B1553" t="s">
        <v>2667</v>
      </c>
      <c r="C1553">
        <v>540938</v>
      </c>
      <c r="D1553" t="s">
        <v>360</v>
      </c>
      <c r="E1553" t="s">
        <v>375</v>
      </c>
    </row>
    <row r="1554" spans="2:5">
      <c r="B1554" t="s">
        <v>2668</v>
      </c>
      <c r="C1554">
        <v>517300</v>
      </c>
      <c r="D1554" t="s">
        <v>2669</v>
      </c>
      <c r="E1554" t="s">
        <v>499</v>
      </c>
    </row>
    <row r="1555" spans="2:5">
      <c r="B1555" t="s">
        <v>2670</v>
      </c>
      <c r="C1555">
        <v>517372</v>
      </c>
      <c r="D1555" t="s">
        <v>360</v>
      </c>
      <c r="E1555" t="s">
        <v>1279</v>
      </c>
    </row>
    <row r="1556" spans="2:5">
      <c r="B1556" t="s">
        <v>2671</v>
      </c>
      <c r="C1556">
        <v>531341</v>
      </c>
      <c r="D1556" t="s">
        <v>360</v>
      </c>
      <c r="E1556" t="s">
        <v>377</v>
      </c>
    </row>
    <row r="1557" spans="2:5">
      <c r="B1557" t="s">
        <v>2672</v>
      </c>
      <c r="C1557">
        <v>500174</v>
      </c>
      <c r="D1557" t="s">
        <v>2673</v>
      </c>
      <c r="E1557" t="s">
        <v>377</v>
      </c>
    </row>
    <row r="1558" spans="2:5">
      <c r="B1558" t="s">
        <v>2674</v>
      </c>
      <c r="C1558">
        <v>524754</v>
      </c>
      <c r="D1558" t="s">
        <v>360</v>
      </c>
      <c r="E1558" t="s">
        <v>1324</v>
      </c>
    </row>
    <row r="1559" spans="2:5">
      <c r="B1559" t="s">
        <v>2675</v>
      </c>
      <c r="C1559">
        <v>531881</v>
      </c>
      <c r="D1559" t="s">
        <v>360</v>
      </c>
      <c r="E1559" t="s">
        <v>382</v>
      </c>
    </row>
    <row r="1560" spans="2:5">
      <c r="B1560" t="s">
        <v>2676</v>
      </c>
      <c r="C1560">
        <v>532181</v>
      </c>
      <c r="D1560" t="s">
        <v>2677</v>
      </c>
      <c r="E1560" t="s">
        <v>1037</v>
      </c>
    </row>
    <row r="1561" spans="2:5">
      <c r="B1561" t="s">
        <v>2678</v>
      </c>
      <c r="C1561">
        <v>500670</v>
      </c>
      <c r="D1561" t="s">
        <v>2679</v>
      </c>
      <c r="E1561" t="s">
        <v>868</v>
      </c>
    </row>
    <row r="1562" spans="2:5">
      <c r="B1562" t="s">
        <v>2680</v>
      </c>
      <c r="C1562">
        <v>513536</v>
      </c>
      <c r="D1562" t="s">
        <v>360</v>
      </c>
      <c r="E1562" t="s">
        <v>423</v>
      </c>
    </row>
    <row r="1563" spans="2:5">
      <c r="B1563" t="s">
        <v>2681</v>
      </c>
      <c r="C1563">
        <v>506858</v>
      </c>
      <c r="D1563" t="s">
        <v>360</v>
      </c>
      <c r="E1563" t="s">
        <v>737</v>
      </c>
    </row>
    <row r="1564" spans="2:5">
      <c r="B1564" t="s">
        <v>2682</v>
      </c>
      <c r="C1564">
        <v>533248</v>
      </c>
      <c r="D1564" t="s">
        <v>2683</v>
      </c>
      <c r="E1564" t="s">
        <v>496</v>
      </c>
    </row>
    <row r="1565" spans="2:5">
      <c r="B1565" t="s">
        <v>2684</v>
      </c>
      <c r="C1565">
        <v>517288</v>
      </c>
      <c r="D1565" t="s">
        <v>360</v>
      </c>
      <c r="E1565" t="s">
        <v>658</v>
      </c>
    </row>
    <row r="1566" spans="2:5">
      <c r="B1566" t="s">
        <v>2685</v>
      </c>
      <c r="C1566">
        <v>523836</v>
      </c>
      <c r="D1566" t="s">
        <v>2686</v>
      </c>
      <c r="E1566" t="s">
        <v>555</v>
      </c>
    </row>
    <row r="1567" spans="2:5">
      <c r="B1567" t="s">
        <v>2687</v>
      </c>
      <c r="C1567">
        <v>518029</v>
      </c>
      <c r="D1567" t="s">
        <v>2688</v>
      </c>
      <c r="E1567" t="s">
        <v>373</v>
      </c>
    </row>
    <row r="1568" spans="2:5">
      <c r="B1568" t="s">
        <v>2689</v>
      </c>
      <c r="C1568">
        <v>500690</v>
      </c>
      <c r="D1568" t="s">
        <v>2690</v>
      </c>
      <c r="E1568" t="s">
        <v>868</v>
      </c>
    </row>
    <row r="1569" spans="2:5">
      <c r="B1569" t="s">
        <v>2691</v>
      </c>
      <c r="C1569">
        <v>532160</v>
      </c>
      <c r="D1569" t="s">
        <v>360</v>
      </c>
      <c r="E1569" t="s">
        <v>2692</v>
      </c>
    </row>
    <row r="1570" spans="2:5">
      <c r="B1570" t="s">
        <v>2693</v>
      </c>
      <c r="C1570">
        <v>532702</v>
      </c>
      <c r="D1570" t="s">
        <v>2694</v>
      </c>
      <c r="E1570" t="s">
        <v>385</v>
      </c>
    </row>
    <row r="1571" spans="2:5">
      <c r="B1571" t="s">
        <v>2695</v>
      </c>
      <c r="C1571">
        <v>524314</v>
      </c>
      <c r="D1571" t="s">
        <v>360</v>
      </c>
      <c r="E1571" t="s">
        <v>398</v>
      </c>
    </row>
    <row r="1572" spans="2:5">
      <c r="B1572" t="s">
        <v>2696</v>
      </c>
      <c r="C1572">
        <v>506879</v>
      </c>
      <c r="D1572" t="s">
        <v>360</v>
      </c>
      <c r="E1572" t="s">
        <v>398</v>
      </c>
    </row>
    <row r="1573" spans="2:5">
      <c r="B1573" t="s">
        <v>2697</v>
      </c>
      <c r="C1573">
        <v>513337</v>
      </c>
      <c r="D1573" t="s">
        <v>360</v>
      </c>
      <c r="E1573" t="s">
        <v>480</v>
      </c>
    </row>
    <row r="1574" spans="2:5">
      <c r="B1574" t="s">
        <v>2698</v>
      </c>
      <c r="C1574">
        <v>506640</v>
      </c>
      <c r="D1574" t="s">
        <v>360</v>
      </c>
      <c r="E1574" t="s">
        <v>408</v>
      </c>
    </row>
    <row r="1575" spans="2:5">
      <c r="B1575" t="s">
        <v>2699</v>
      </c>
      <c r="C1575">
        <v>506640</v>
      </c>
      <c r="D1575" t="s">
        <v>360</v>
      </c>
      <c r="E1575" t="s">
        <v>408</v>
      </c>
    </row>
    <row r="1576" spans="2:5">
      <c r="B1576" t="s">
        <v>2700</v>
      </c>
      <c r="C1576">
        <v>538567</v>
      </c>
      <c r="D1576" t="s">
        <v>2701</v>
      </c>
      <c r="E1576" t="s">
        <v>570</v>
      </c>
    </row>
    <row r="1577" spans="2:5">
      <c r="B1577" t="s">
        <v>2702</v>
      </c>
      <c r="C1577">
        <v>538567</v>
      </c>
      <c r="D1577" t="s">
        <v>2701</v>
      </c>
      <c r="E1577" t="s">
        <v>570</v>
      </c>
    </row>
    <row r="1578" spans="2:5">
      <c r="B1578" t="s">
        <v>2703</v>
      </c>
      <c r="C1578">
        <v>532425</v>
      </c>
      <c r="D1578" t="s">
        <v>360</v>
      </c>
      <c r="E1578" t="s">
        <v>408</v>
      </c>
    </row>
    <row r="1579" spans="2:5">
      <c r="B1579" t="s">
        <v>2704</v>
      </c>
      <c r="C1579">
        <v>532457</v>
      </c>
      <c r="D1579" t="s">
        <v>2705</v>
      </c>
      <c r="E1579" t="s">
        <v>408</v>
      </c>
    </row>
    <row r="1580" spans="2:5">
      <c r="B1580" t="s">
        <v>2706</v>
      </c>
      <c r="C1580">
        <v>523277</v>
      </c>
      <c r="D1580" t="s">
        <v>360</v>
      </c>
      <c r="E1580" t="s">
        <v>363</v>
      </c>
    </row>
    <row r="1581" spans="2:5">
      <c r="B1581" t="s">
        <v>2707</v>
      </c>
      <c r="C1581">
        <v>532708</v>
      </c>
      <c r="D1581" t="s">
        <v>2708</v>
      </c>
      <c r="E1581" t="s">
        <v>499</v>
      </c>
    </row>
    <row r="1582" spans="2:5">
      <c r="B1582" t="s">
        <v>2709</v>
      </c>
      <c r="C1582">
        <v>530141</v>
      </c>
      <c r="D1582" t="s">
        <v>360</v>
      </c>
      <c r="E1582" t="s">
        <v>446</v>
      </c>
    </row>
    <row r="1583" spans="2:5">
      <c r="B1583" t="s">
        <v>2710</v>
      </c>
      <c r="C1583">
        <v>533275</v>
      </c>
      <c r="D1583" t="s">
        <v>2711</v>
      </c>
      <c r="E1583" t="s">
        <v>392</v>
      </c>
    </row>
    <row r="1584" spans="2:5">
      <c r="B1584" t="s">
        <v>2712</v>
      </c>
      <c r="C1584">
        <v>541019</v>
      </c>
      <c r="D1584" t="s">
        <v>2713</v>
      </c>
      <c r="E1584" t="s">
        <v>758</v>
      </c>
    </row>
    <row r="1585" spans="2:5">
      <c r="B1585" t="s">
        <v>2714</v>
      </c>
      <c r="C1585">
        <v>539337</v>
      </c>
      <c r="D1585" t="s">
        <v>360</v>
      </c>
      <c r="E1585" t="s">
        <v>555</v>
      </c>
    </row>
    <row r="1586" spans="2:5">
      <c r="B1586" t="s">
        <v>2715</v>
      </c>
      <c r="C1586">
        <v>502873</v>
      </c>
      <c r="D1586" t="s">
        <v>360</v>
      </c>
      <c r="E1586" t="s">
        <v>375</v>
      </c>
    </row>
    <row r="1587" spans="2:5">
      <c r="B1587" t="s">
        <v>2716</v>
      </c>
      <c r="C1587">
        <v>532145</v>
      </c>
      <c r="D1587" t="s">
        <v>360</v>
      </c>
      <c r="E1587" t="s">
        <v>561</v>
      </c>
    </row>
    <row r="1588" spans="2:5">
      <c r="B1588" t="s">
        <v>2717</v>
      </c>
      <c r="C1588">
        <v>532145</v>
      </c>
      <c r="D1588" t="s">
        <v>360</v>
      </c>
      <c r="E1588" t="s">
        <v>561</v>
      </c>
    </row>
    <row r="1589" spans="2:5">
      <c r="B1589" t="s">
        <v>2718</v>
      </c>
      <c r="C1589">
        <v>539854</v>
      </c>
      <c r="D1589" t="s">
        <v>360</v>
      </c>
      <c r="E1589" t="s">
        <v>558</v>
      </c>
    </row>
    <row r="1590" spans="2:5">
      <c r="B1590" t="s">
        <v>2719</v>
      </c>
      <c r="C1590">
        <v>515147</v>
      </c>
      <c r="D1590" t="s">
        <v>360</v>
      </c>
      <c r="E1590" t="s">
        <v>555</v>
      </c>
    </row>
    <row r="1591" spans="2:5">
      <c r="B1591" t="s">
        <v>2720</v>
      </c>
      <c r="C1591">
        <v>509597</v>
      </c>
      <c r="D1591" t="s">
        <v>360</v>
      </c>
      <c r="E1591" t="s">
        <v>520</v>
      </c>
    </row>
    <row r="1592" spans="2:5">
      <c r="B1592" t="s">
        <v>2721</v>
      </c>
      <c r="C1592">
        <v>531971</v>
      </c>
      <c r="D1592" t="s">
        <v>360</v>
      </c>
      <c r="E1592" t="s">
        <v>375</v>
      </c>
    </row>
    <row r="1593" spans="2:5">
      <c r="B1593" t="s">
        <v>2722</v>
      </c>
      <c r="C1593">
        <v>538081</v>
      </c>
      <c r="D1593" t="s">
        <v>360</v>
      </c>
      <c r="E1593" t="s">
        <v>375</v>
      </c>
    </row>
    <row r="1594" spans="2:5">
      <c r="B1594" t="s">
        <v>2723</v>
      </c>
      <c r="C1594">
        <v>512604</v>
      </c>
      <c r="D1594" t="s">
        <v>360</v>
      </c>
      <c r="E1594" t="s">
        <v>474</v>
      </c>
    </row>
    <row r="1595" spans="2:5">
      <c r="B1595" t="s">
        <v>2724</v>
      </c>
      <c r="C1595">
        <v>542682</v>
      </c>
      <c r="D1595" t="s">
        <v>2725</v>
      </c>
      <c r="E1595" t="s">
        <v>368</v>
      </c>
    </row>
    <row r="1596" spans="2:5">
      <c r="B1596" t="s">
        <v>2726</v>
      </c>
      <c r="C1596">
        <v>590043</v>
      </c>
      <c r="D1596" t="s">
        <v>2727</v>
      </c>
      <c r="E1596" t="s">
        <v>715</v>
      </c>
    </row>
    <row r="1597" spans="2:5">
      <c r="B1597" t="s">
        <v>2728</v>
      </c>
      <c r="C1597">
        <v>506024</v>
      </c>
      <c r="D1597" t="s">
        <v>360</v>
      </c>
      <c r="E1597" t="s">
        <v>392</v>
      </c>
    </row>
    <row r="1598" spans="2:5">
      <c r="B1598" t="s">
        <v>2729</v>
      </c>
      <c r="C1598">
        <v>526931</v>
      </c>
      <c r="D1598" t="s">
        <v>360</v>
      </c>
      <c r="E1598" t="s">
        <v>545</v>
      </c>
    </row>
    <row r="1599" spans="2:5">
      <c r="B1599" t="s">
        <v>2730</v>
      </c>
      <c r="C1599">
        <v>530055</v>
      </c>
      <c r="D1599" t="s">
        <v>360</v>
      </c>
      <c r="E1599" t="s">
        <v>781</v>
      </c>
    </row>
    <row r="1600" spans="2:5">
      <c r="B1600" t="s">
        <v>2731</v>
      </c>
      <c r="C1600">
        <v>500467</v>
      </c>
      <c r="D1600" t="s">
        <v>2732</v>
      </c>
      <c r="E1600" t="s">
        <v>840</v>
      </c>
    </row>
    <row r="1601" spans="2:5">
      <c r="B1601" t="s">
        <v>2733</v>
      </c>
      <c r="C1601">
        <v>532855</v>
      </c>
      <c r="D1601" t="s">
        <v>360</v>
      </c>
      <c r="E1601" t="s">
        <v>380</v>
      </c>
    </row>
    <row r="1602" spans="2:5">
      <c r="B1602" t="s">
        <v>2734</v>
      </c>
      <c r="C1602">
        <v>530927</v>
      </c>
      <c r="D1602" t="s">
        <v>360</v>
      </c>
      <c r="E1602" t="s">
        <v>2692</v>
      </c>
    </row>
    <row r="1603" spans="2:5">
      <c r="B1603" t="s">
        <v>2735</v>
      </c>
      <c r="C1603">
        <v>524080</v>
      </c>
      <c r="D1603" t="s">
        <v>360</v>
      </c>
      <c r="E1603" t="s">
        <v>408</v>
      </c>
    </row>
    <row r="1604" spans="2:5">
      <c r="B1604" t="s">
        <v>2736</v>
      </c>
      <c r="C1604">
        <v>780014</v>
      </c>
      <c r="D1604" t="s">
        <v>360</v>
      </c>
      <c r="E1604" t="s">
        <v>451</v>
      </c>
    </row>
    <row r="1605" spans="2:5">
      <c r="B1605" t="s">
        <v>2737</v>
      </c>
      <c r="C1605">
        <v>531387</v>
      </c>
      <c r="D1605" t="s">
        <v>360</v>
      </c>
      <c r="E1605" t="s">
        <v>377</v>
      </c>
    </row>
    <row r="1606" spans="2:5">
      <c r="B1606" t="s">
        <v>2738</v>
      </c>
      <c r="C1606">
        <v>509073</v>
      </c>
      <c r="D1606" t="s">
        <v>2739</v>
      </c>
      <c r="E1606" t="s">
        <v>2740</v>
      </c>
    </row>
    <row r="1607" spans="2:5">
      <c r="B1607" t="s">
        <v>2741</v>
      </c>
      <c r="C1607">
        <v>533162</v>
      </c>
      <c r="D1607" t="s">
        <v>2742</v>
      </c>
      <c r="E1607" t="s">
        <v>1098</v>
      </c>
    </row>
    <row r="1608" spans="2:5">
      <c r="B1608" t="s">
        <v>2743</v>
      </c>
      <c r="C1608">
        <v>531531</v>
      </c>
      <c r="D1608" t="s">
        <v>2744</v>
      </c>
      <c r="E1608" t="s">
        <v>420</v>
      </c>
    </row>
    <row r="1609" spans="2:5">
      <c r="B1609" t="s">
        <v>2745</v>
      </c>
      <c r="C1609">
        <v>517354</v>
      </c>
      <c r="D1609" t="s">
        <v>2746</v>
      </c>
      <c r="E1609" t="s">
        <v>658</v>
      </c>
    </row>
    <row r="1610" spans="2:5">
      <c r="B1610" t="s">
        <v>2747</v>
      </c>
      <c r="C1610">
        <v>517354</v>
      </c>
      <c r="D1610" t="s">
        <v>2746</v>
      </c>
      <c r="E1610" t="s">
        <v>658</v>
      </c>
    </row>
    <row r="1611" spans="2:5">
      <c r="B1611" t="s">
        <v>2748</v>
      </c>
      <c r="C1611">
        <v>539176</v>
      </c>
      <c r="D1611" t="s">
        <v>360</v>
      </c>
      <c r="E1611" t="s">
        <v>368</v>
      </c>
    </row>
    <row r="1612" spans="2:5">
      <c r="B1612" t="s">
        <v>2749</v>
      </c>
      <c r="C1612">
        <v>508486</v>
      </c>
      <c r="D1612" t="s">
        <v>360</v>
      </c>
      <c r="E1612" t="s">
        <v>1405</v>
      </c>
    </row>
    <row r="1613" spans="2:5">
      <c r="B1613" t="s">
        <v>2750</v>
      </c>
      <c r="C1613">
        <v>532467</v>
      </c>
      <c r="D1613" t="s">
        <v>360</v>
      </c>
      <c r="E1613" t="s">
        <v>363</v>
      </c>
    </row>
    <row r="1614" spans="2:5">
      <c r="B1614" t="s">
        <v>2751</v>
      </c>
      <c r="C1614">
        <v>532334</v>
      </c>
      <c r="D1614" t="s">
        <v>360</v>
      </c>
      <c r="E1614" t="s">
        <v>446</v>
      </c>
    </row>
    <row r="1615" spans="2:5">
      <c r="B1615" t="s">
        <v>2752</v>
      </c>
      <c r="C1615">
        <v>508956</v>
      </c>
      <c r="D1615" t="s">
        <v>360</v>
      </c>
      <c r="E1615" t="s">
        <v>377</v>
      </c>
    </row>
    <row r="1616" spans="2:5">
      <c r="B1616" t="s">
        <v>2753</v>
      </c>
      <c r="C1616">
        <v>532333</v>
      </c>
      <c r="D1616" t="s">
        <v>360</v>
      </c>
      <c r="E1616" t="s">
        <v>343</v>
      </c>
    </row>
    <row r="1617" spans="2:5">
      <c r="B1617" t="s">
        <v>2754</v>
      </c>
      <c r="C1617">
        <v>532216</v>
      </c>
      <c r="D1617" t="s">
        <v>2755</v>
      </c>
      <c r="E1617" t="s">
        <v>377</v>
      </c>
    </row>
    <row r="1618" spans="2:5">
      <c r="B1618" t="s">
        <v>2756</v>
      </c>
      <c r="C1618">
        <v>517271</v>
      </c>
      <c r="D1618" t="s">
        <v>2757</v>
      </c>
      <c r="E1618" t="s">
        <v>658</v>
      </c>
    </row>
    <row r="1619" spans="2:5">
      <c r="B1619" t="s">
        <v>2758</v>
      </c>
      <c r="C1619">
        <v>539224</v>
      </c>
      <c r="D1619" t="s">
        <v>360</v>
      </c>
      <c r="E1619" t="s">
        <v>349</v>
      </c>
    </row>
    <row r="1620" spans="2:5">
      <c r="B1620" t="s">
        <v>2759</v>
      </c>
      <c r="C1620">
        <v>500179</v>
      </c>
      <c r="D1620" t="s">
        <v>2760</v>
      </c>
      <c r="E1620" t="s">
        <v>685</v>
      </c>
    </row>
    <row r="1621" spans="2:5">
      <c r="B1621" t="s">
        <v>2761</v>
      </c>
      <c r="C1621">
        <v>532281</v>
      </c>
      <c r="D1621" t="s">
        <v>2762</v>
      </c>
      <c r="E1621" t="s">
        <v>346</v>
      </c>
    </row>
    <row r="1622" spans="2:5">
      <c r="B1622" t="s">
        <v>2763</v>
      </c>
      <c r="C1622">
        <v>541729</v>
      </c>
      <c r="D1622" t="s">
        <v>2764</v>
      </c>
      <c r="E1622" t="s">
        <v>2765</v>
      </c>
    </row>
    <row r="1623" spans="2:5">
      <c r="B1623" t="s">
        <v>2766</v>
      </c>
      <c r="C1623">
        <v>500180</v>
      </c>
      <c r="D1623" t="s">
        <v>2767</v>
      </c>
      <c r="E1623" t="s">
        <v>678</v>
      </c>
    </row>
    <row r="1624" spans="2:5">
      <c r="B1624" t="s">
        <v>2768</v>
      </c>
      <c r="C1624">
        <v>533230</v>
      </c>
      <c r="D1624" t="s">
        <v>2769</v>
      </c>
      <c r="E1624" t="s">
        <v>343</v>
      </c>
    </row>
    <row r="1625" spans="2:5">
      <c r="B1625" t="s">
        <v>2770</v>
      </c>
      <c r="C1625">
        <v>540777</v>
      </c>
      <c r="D1625" t="s">
        <v>2771</v>
      </c>
      <c r="E1625" t="s">
        <v>2772</v>
      </c>
    </row>
    <row r="1626" spans="2:5">
      <c r="B1626" t="s">
        <v>2773</v>
      </c>
      <c r="C1626">
        <v>539787</v>
      </c>
      <c r="D1626" t="s">
        <v>2774</v>
      </c>
      <c r="E1626" t="s">
        <v>830</v>
      </c>
    </row>
    <row r="1627" spans="2:5">
      <c r="B1627" t="s">
        <v>2775</v>
      </c>
      <c r="C1627">
        <v>503689</v>
      </c>
      <c r="D1627" t="s">
        <v>360</v>
      </c>
      <c r="E1627" t="s">
        <v>781</v>
      </c>
    </row>
    <row r="1628" spans="2:5">
      <c r="B1628" t="s">
        <v>2776</v>
      </c>
      <c r="C1628" t="s">
        <v>360</v>
      </c>
      <c r="D1628" t="s">
        <v>2777</v>
      </c>
      <c r="E1628" t="s">
        <v>371</v>
      </c>
    </row>
    <row r="1629" spans="2:5">
      <c r="B1629" t="s">
        <v>2778</v>
      </c>
      <c r="C1629">
        <v>526967</v>
      </c>
      <c r="D1629" t="s">
        <v>360</v>
      </c>
      <c r="E1629" t="s">
        <v>392</v>
      </c>
    </row>
    <row r="1630" spans="2:5">
      <c r="B1630" t="s">
        <v>2779</v>
      </c>
      <c r="C1630">
        <v>509631</v>
      </c>
      <c r="D1630" t="s">
        <v>2780</v>
      </c>
      <c r="E1630" t="s">
        <v>545</v>
      </c>
    </row>
    <row r="1631" spans="2:5">
      <c r="B1631" t="s">
        <v>2781</v>
      </c>
      <c r="C1631">
        <v>500292</v>
      </c>
      <c r="D1631" t="s">
        <v>2782</v>
      </c>
      <c r="E1631" t="s">
        <v>373</v>
      </c>
    </row>
    <row r="1632" spans="2:5">
      <c r="B1632" t="s">
        <v>2783</v>
      </c>
      <c r="C1632">
        <v>500292</v>
      </c>
      <c r="D1632" t="s">
        <v>2782</v>
      </c>
      <c r="E1632" t="s">
        <v>373</v>
      </c>
    </row>
    <row r="1633" spans="2:5">
      <c r="B1633" t="s">
        <v>2784</v>
      </c>
      <c r="C1633">
        <v>539174</v>
      </c>
      <c r="D1633" t="s">
        <v>2785</v>
      </c>
      <c r="E1633" t="s">
        <v>377</v>
      </c>
    </row>
    <row r="1634" spans="2:5">
      <c r="B1634" t="s">
        <v>2786</v>
      </c>
      <c r="C1634">
        <v>505520</v>
      </c>
      <c r="D1634" t="s">
        <v>360</v>
      </c>
      <c r="E1634" t="s">
        <v>781</v>
      </c>
    </row>
    <row r="1635" spans="2:5">
      <c r="B1635" t="s">
        <v>2787</v>
      </c>
      <c r="C1635">
        <v>531178</v>
      </c>
      <c r="D1635" t="s">
        <v>360</v>
      </c>
      <c r="E1635" t="s">
        <v>382</v>
      </c>
    </row>
    <row r="1636" spans="2:5">
      <c r="B1636" t="s">
        <v>2788</v>
      </c>
      <c r="C1636">
        <v>524590</v>
      </c>
      <c r="D1636" t="s">
        <v>360</v>
      </c>
      <c r="E1636" t="s">
        <v>382</v>
      </c>
    </row>
    <row r="1637" spans="2:5">
      <c r="B1637" t="s">
        <v>2789</v>
      </c>
      <c r="C1637">
        <v>505720</v>
      </c>
      <c r="D1637" t="s">
        <v>2790</v>
      </c>
      <c r="E1637" t="s">
        <v>368</v>
      </c>
    </row>
    <row r="1638" spans="2:5">
      <c r="B1638" t="s">
        <v>2791</v>
      </c>
      <c r="C1638">
        <v>519552</v>
      </c>
      <c r="D1638" t="s">
        <v>2792</v>
      </c>
      <c r="E1638" t="s">
        <v>420</v>
      </c>
    </row>
    <row r="1639" spans="2:5">
      <c r="B1639" t="s">
        <v>2793</v>
      </c>
      <c r="C1639">
        <v>500182</v>
      </c>
      <c r="D1639" t="s">
        <v>2794</v>
      </c>
      <c r="E1639" t="s">
        <v>1017</v>
      </c>
    </row>
    <row r="1640" spans="2:5">
      <c r="B1640" t="s">
        <v>2795</v>
      </c>
      <c r="C1640">
        <v>524669</v>
      </c>
      <c r="D1640" t="s">
        <v>2796</v>
      </c>
      <c r="E1640" t="s">
        <v>398</v>
      </c>
    </row>
    <row r="1641" spans="2:5">
      <c r="B1641" t="s">
        <v>2797</v>
      </c>
      <c r="C1641">
        <v>534328</v>
      </c>
      <c r="D1641" t="s">
        <v>2798</v>
      </c>
      <c r="E1641" t="s">
        <v>382</v>
      </c>
    </row>
    <row r="1642" spans="2:5">
      <c r="B1642" t="s">
        <v>2799</v>
      </c>
      <c r="C1642">
        <v>532129</v>
      </c>
      <c r="D1642" t="s">
        <v>2800</v>
      </c>
      <c r="E1642" t="s">
        <v>346</v>
      </c>
    </row>
    <row r="1643" spans="2:5">
      <c r="B1643" t="s">
        <v>2801</v>
      </c>
      <c r="C1643">
        <v>504176</v>
      </c>
      <c r="D1643" t="s">
        <v>360</v>
      </c>
      <c r="E1643" t="s">
        <v>906</v>
      </c>
    </row>
    <row r="1644" spans="2:5">
      <c r="B1644" t="s">
        <v>2802</v>
      </c>
      <c r="C1644">
        <v>504176</v>
      </c>
      <c r="D1644" t="s">
        <v>360</v>
      </c>
      <c r="E1644" t="s">
        <v>906</v>
      </c>
    </row>
    <row r="1645" spans="2:5">
      <c r="B1645" t="s">
        <v>2803</v>
      </c>
      <c r="C1645">
        <v>517080</v>
      </c>
      <c r="D1645" t="s">
        <v>2804</v>
      </c>
      <c r="E1645" t="s">
        <v>758</v>
      </c>
    </row>
    <row r="1646" spans="2:5">
      <c r="B1646" t="s">
        <v>2805</v>
      </c>
      <c r="C1646">
        <v>531301</v>
      </c>
      <c r="D1646" t="s">
        <v>360</v>
      </c>
      <c r="E1646" t="s">
        <v>375</v>
      </c>
    </row>
    <row r="1647" spans="2:5">
      <c r="B1647" t="s">
        <v>2806</v>
      </c>
      <c r="C1647">
        <v>524735</v>
      </c>
      <c r="D1647" t="s">
        <v>2807</v>
      </c>
      <c r="E1647" t="s">
        <v>398</v>
      </c>
    </row>
    <row r="1648" spans="2:5">
      <c r="B1648" t="s">
        <v>2808</v>
      </c>
      <c r="C1648">
        <v>542332</v>
      </c>
      <c r="D1648" t="s">
        <v>2809</v>
      </c>
      <c r="E1648" t="s">
        <v>343</v>
      </c>
    </row>
    <row r="1649" spans="2:5">
      <c r="B1649" t="s">
        <v>2810</v>
      </c>
      <c r="C1649">
        <v>509675</v>
      </c>
      <c r="D1649" t="s">
        <v>2811</v>
      </c>
      <c r="E1649" t="s">
        <v>373</v>
      </c>
    </row>
    <row r="1650" spans="2:5">
      <c r="B1650" t="s">
        <v>2812</v>
      </c>
      <c r="C1650">
        <v>532847</v>
      </c>
      <c r="D1650" t="s">
        <v>2813</v>
      </c>
      <c r="E1650" t="s">
        <v>1279</v>
      </c>
    </row>
    <row r="1651" spans="2:5">
      <c r="B1651" t="s">
        <v>2814</v>
      </c>
      <c r="C1651">
        <v>505712</v>
      </c>
      <c r="D1651" t="s">
        <v>360</v>
      </c>
      <c r="E1651" t="s">
        <v>715</v>
      </c>
    </row>
    <row r="1652" spans="2:5">
      <c r="B1652" t="s">
        <v>2815</v>
      </c>
      <c r="C1652">
        <v>514010</v>
      </c>
      <c r="D1652" t="s">
        <v>360</v>
      </c>
      <c r="E1652" t="s">
        <v>375</v>
      </c>
    </row>
    <row r="1653" spans="2:5">
      <c r="B1653" t="s">
        <v>2816</v>
      </c>
      <c r="C1653">
        <v>500183</v>
      </c>
      <c r="D1653" t="s">
        <v>2817</v>
      </c>
      <c r="E1653" t="s">
        <v>630</v>
      </c>
    </row>
    <row r="1654" spans="2:5">
      <c r="B1654" t="s">
        <v>2818</v>
      </c>
      <c r="C1654">
        <v>500184</v>
      </c>
      <c r="D1654" t="s">
        <v>2819</v>
      </c>
      <c r="E1654" t="s">
        <v>520</v>
      </c>
    </row>
    <row r="1655" spans="2:5">
      <c r="B1655" t="s">
        <v>2820</v>
      </c>
      <c r="C1655">
        <v>526899</v>
      </c>
      <c r="D1655" t="s">
        <v>360</v>
      </c>
      <c r="E1655" t="s">
        <v>558</v>
      </c>
    </row>
    <row r="1656" spans="2:5">
      <c r="B1656" t="s">
        <v>2821</v>
      </c>
      <c r="C1656">
        <v>513723</v>
      </c>
      <c r="D1656" t="s">
        <v>360</v>
      </c>
      <c r="E1656" t="s">
        <v>888</v>
      </c>
    </row>
    <row r="1657" spans="2:5">
      <c r="B1657" t="s">
        <v>2822</v>
      </c>
      <c r="C1657">
        <v>511169</v>
      </c>
      <c r="D1657" t="s">
        <v>360</v>
      </c>
      <c r="E1657" t="s">
        <v>377</v>
      </c>
    </row>
    <row r="1658" spans="2:5">
      <c r="B1658" t="s">
        <v>2823</v>
      </c>
      <c r="C1658">
        <v>514043</v>
      </c>
      <c r="D1658" t="s">
        <v>2824</v>
      </c>
      <c r="E1658" t="s">
        <v>375</v>
      </c>
    </row>
    <row r="1659" spans="2:5">
      <c r="B1659" t="s">
        <v>2825</v>
      </c>
      <c r="C1659">
        <v>531979</v>
      </c>
      <c r="D1659" t="s">
        <v>360</v>
      </c>
      <c r="E1659" t="s">
        <v>665</v>
      </c>
    </row>
    <row r="1660" spans="2:5">
      <c r="B1660" t="s">
        <v>2826</v>
      </c>
      <c r="C1660">
        <v>538652</v>
      </c>
      <c r="D1660" t="s">
        <v>360</v>
      </c>
      <c r="E1660" t="s">
        <v>382</v>
      </c>
    </row>
    <row r="1661" spans="2:5">
      <c r="B1661" t="s">
        <v>2827</v>
      </c>
      <c r="C1661">
        <v>504036</v>
      </c>
      <c r="D1661" t="s">
        <v>2828</v>
      </c>
      <c r="E1661" t="s">
        <v>902</v>
      </c>
    </row>
    <row r="1662" spans="2:5">
      <c r="B1662" t="s">
        <v>2829</v>
      </c>
      <c r="C1662">
        <v>539114</v>
      </c>
      <c r="D1662" t="s">
        <v>360</v>
      </c>
      <c r="E1662" t="s">
        <v>377</v>
      </c>
    </row>
    <row r="1663" spans="2:5">
      <c r="B1663" t="s">
        <v>2830</v>
      </c>
      <c r="C1663">
        <v>503881</v>
      </c>
      <c r="D1663" t="s">
        <v>2831</v>
      </c>
      <c r="E1663" t="s">
        <v>375</v>
      </c>
    </row>
    <row r="1664" spans="2:5">
      <c r="B1664" t="s">
        <v>2832</v>
      </c>
      <c r="C1664">
        <v>500440</v>
      </c>
      <c r="D1664" t="s">
        <v>2833</v>
      </c>
      <c r="E1664" t="s">
        <v>665</v>
      </c>
    </row>
    <row r="1665" spans="2:5">
      <c r="B1665" t="s">
        <v>2834</v>
      </c>
      <c r="C1665" t="s">
        <v>360</v>
      </c>
      <c r="D1665" t="s">
        <v>2835</v>
      </c>
      <c r="E1665" t="s">
        <v>371</v>
      </c>
    </row>
    <row r="1666" spans="2:5">
      <c r="B1666" t="s">
        <v>2836</v>
      </c>
      <c r="C1666">
        <v>509895</v>
      </c>
      <c r="D1666" t="s">
        <v>360</v>
      </c>
      <c r="E1666" t="s">
        <v>375</v>
      </c>
    </row>
    <row r="1667" spans="2:5">
      <c r="B1667" t="s">
        <v>2837</v>
      </c>
      <c r="C1667">
        <v>532859</v>
      </c>
      <c r="D1667" t="s">
        <v>2838</v>
      </c>
      <c r="E1667" t="s">
        <v>690</v>
      </c>
    </row>
    <row r="1668" spans="2:5">
      <c r="B1668" t="s">
        <v>2839</v>
      </c>
      <c r="C1668">
        <v>500189</v>
      </c>
      <c r="D1668" t="s">
        <v>2840</v>
      </c>
      <c r="E1668" t="s">
        <v>1098</v>
      </c>
    </row>
    <row r="1669" spans="2:5">
      <c r="B1669" t="s">
        <v>2841</v>
      </c>
      <c r="C1669">
        <v>514428</v>
      </c>
      <c r="D1669" t="s">
        <v>360</v>
      </c>
      <c r="E1669" t="s">
        <v>480</v>
      </c>
    </row>
    <row r="1670" spans="2:5">
      <c r="B1670" t="s">
        <v>2842</v>
      </c>
      <c r="C1670">
        <v>541154</v>
      </c>
      <c r="D1670" t="s">
        <v>2843</v>
      </c>
      <c r="E1670" t="s">
        <v>2844</v>
      </c>
    </row>
    <row r="1671" spans="2:5">
      <c r="B1671" t="s">
        <v>2845</v>
      </c>
      <c r="C1671">
        <v>531918</v>
      </c>
      <c r="D1671" t="s">
        <v>360</v>
      </c>
      <c r="E1671" t="s">
        <v>382</v>
      </c>
    </row>
    <row r="1672" spans="2:5">
      <c r="B1672" t="s">
        <v>2846</v>
      </c>
      <c r="C1672">
        <v>532041</v>
      </c>
      <c r="D1672" t="s">
        <v>2847</v>
      </c>
      <c r="E1672" t="s">
        <v>453</v>
      </c>
    </row>
    <row r="1673" spans="2:5">
      <c r="B1673" t="s">
        <v>2848</v>
      </c>
      <c r="C1673">
        <v>509635</v>
      </c>
      <c r="D1673" t="s">
        <v>2849</v>
      </c>
      <c r="E1673" t="s">
        <v>715</v>
      </c>
    </row>
    <row r="1674" spans="2:5">
      <c r="B1674" t="s">
        <v>2850</v>
      </c>
      <c r="C1674">
        <v>500185</v>
      </c>
      <c r="D1674" t="s">
        <v>2851</v>
      </c>
      <c r="E1674" t="s">
        <v>758</v>
      </c>
    </row>
    <row r="1675" spans="2:5">
      <c r="B1675" t="s">
        <v>2852</v>
      </c>
      <c r="C1675">
        <v>513599</v>
      </c>
      <c r="D1675" t="s">
        <v>2853</v>
      </c>
      <c r="E1675" t="s">
        <v>434</v>
      </c>
    </row>
    <row r="1676" spans="2:5">
      <c r="B1676" t="s">
        <v>2854</v>
      </c>
      <c r="C1676">
        <v>505725</v>
      </c>
      <c r="D1676" t="s">
        <v>2855</v>
      </c>
      <c r="E1676" t="s">
        <v>545</v>
      </c>
    </row>
    <row r="1677" spans="2:5">
      <c r="B1677" t="s">
        <v>2856</v>
      </c>
      <c r="C1677">
        <v>524013</v>
      </c>
      <c r="D1677" t="s">
        <v>360</v>
      </c>
      <c r="E1677" t="s">
        <v>737</v>
      </c>
    </row>
    <row r="1678" spans="2:5">
      <c r="B1678" t="s">
        <v>2857</v>
      </c>
      <c r="C1678">
        <v>519126</v>
      </c>
      <c r="D1678" t="s">
        <v>360</v>
      </c>
      <c r="E1678" t="s">
        <v>420</v>
      </c>
    </row>
    <row r="1679" spans="2:5">
      <c r="B1679" t="s">
        <v>2858</v>
      </c>
      <c r="C1679">
        <v>505893</v>
      </c>
      <c r="D1679" t="s">
        <v>360</v>
      </c>
      <c r="E1679" t="s">
        <v>715</v>
      </c>
    </row>
    <row r="1680" spans="2:5">
      <c r="B1680" t="s">
        <v>2859</v>
      </c>
      <c r="C1680">
        <v>509650</v>
      </c>
      <c r="D1680" t="s">
        <v>360</v>
      </c>
      <c r="E1680" t="s">
        <v>418</v>
      </c>
    </row>
    <row r="1681" spans="2:5">
      <c r="B1681" t="s">
        <v>2860</v>
      </c>
      <c r="C1681">
        <v>533217</v>
      </c>
      <c r="D1681" t="s">
        <v>2861</v>
      </c>
      <c r="E1681" t="s">
        <v>884</v>
      </c>
    </row>
    <row r="1682" spans="2:5">
      <c r="B1682" t="s">
        <v>2862</v>
      </c>
      <c r="C1682">
        <v>500500</v>
      </c>
      <c r="D1682" t="s">
        <v>2863</v>
      </c>
      <c r="E1682" t="s">
        <v>2289</v>
      </c>
    </row>
    <row r="1683" spans="2:5">
      <c r="B1683" t="s">
        <v>2864</v>
      </c>
      <c r="C1683">
        <v>500186</v>
      </c>
      <c r="D1683" t="s">
        <v>2865</v>
      </c>
      <c r="E1683" t="s">
        <v>423</v>
      </c>
    </row>
    <row r="1684" spans="2:5">
      <c r="B1684" t="s">
        <v>2866</v>
      </c>
      <c r="C1684">
        <v>500449</v>
      </c>
      <c r="D1684" t="s">
        <v>360</v>
      </c>
      <c r="E1684" t="s">
        <v>408</v>
      </c>
    </row>
    <row r="1685" spans="2:5">
      <c r="B1685" t="s">
        <v>2867</v>
      </c>
      <c r="C1685">
        <v>500104</v>
      </c>
      <c r="D1685" t="s">
        <v>2868</v>
      </c>
      <c r="E1685" t="s">
        <v>1288</v>
      </c>
    </row>
    <row r="1686" spans="2:5">
      <c r="B1686" t="s">
        <v>2869</v>
      </c>
      <c r="C1686">
        <v>530315</v>
      </c>
      <c r="D1686" t="s">
        <v>360</v>
      </c>
      <c r="E1686" t="s">
        <v>555</v>
      </c>
    </row>
    <row r="1687" spans="2:5">
      <c r="B1687" t="s">
        <v>2870</v>
      </c>
      <c r="C1687">
        <v>500696</v>
      </c>
      <c r="D1687" t="s">
        <v>2871</v>
      </c>
      <c r="E1687" t="s">
        <v>542</v>
      </c>
    </row>
    <row r="1688" spans="2:5">
      <c r="B1688" t="s">
        <v>2872</v>
      </c>
      <c r="C1688">
        <v>504713</v>
      </c>
      <c r="D1688" t="s">
        <v>360</v>
      </c>
      <c r="E1688" t="s">
        <v>1279</v>
      </c>
    </row>
    <row r="1689" spans="2:5">
      <c r="B1689" t="s">
        <v>2873</v>
      </c>
      <c r="C1689">
        <v>500188</v>
      </c>
      <c r="D1689" t="s">
        <v>2874</v>
      </c>
      <c r="E1689" t="s">
        <v>2875</v>
      </c>
    </row>
    <row r="1690" spans="2:5">
      <c r="B1690" t="s">
        <v>2876</v>
      </c>
      <c r="C1690">
        <v>515145</v>
      </c>
      <c r="D1690" t="s">
        <v>2877</v>
      </c>
      <c r="E1690" t="s">
        <v>555</v>
      </c>
    </row>
    <row r="1691" spans="2:5">
      <c r="B1691" t="s">
        <v>2878</v>
      </c>
      <c r="C1691">
        <v>513039</v>
      </c>
      <c r="D1691" t="s">
        <v>360</v>
      </c>
      <c r="E1691" t="s">
        <v>368</v>
      </c>
    </row>
    <row r="1692" spans="2:5">
      <c r="B1692" t="s">
        <v>2879</v>
      </c>
      <c r="C1692">
        <v>539984</v>
      </c>
      <c r="D1692" t="s">
        <v>360</v>
      </c>
      <c r="E1692" t="s">
        <v>902</v>
      </c>
    </row>
    <row r="1693" spans="2:5">
      <c r="B1693" t="s">
        <v>2880</v>
      </c>
      <c r="C1693">
        <v>530853</v>
      </c>
      <c r="D1693" t="s">
        <v>360</v>
      </c>
      <c r="E1693" t="s">
        <v>2178</v>
      </c>
    </row>
    <row r="1694" spans="2:5">
      <c r="B1694" t="s">
        <v>2881</v>
      </c>
      <c r="C1694">
        <v>531743</v>
      </c>
      <c r="D1694" t="s">
        <v>360</v>
      </c>
      <c r="E1694" t="s">
        <v>382</v>
      </c>
    </row>
    <row r="1695" spans="2:5">
      <c r="B1695" t="s">
        <v>2882</v>
      </c>
      <c r="C1695">
        <v>590018</v>
      </c>
      <c r="D1695" t="s">
        <v>2883</v>
      </c>
      <c r="E1695" t="s">
        <v>392</v>
      </c>
    </row>
    <row r="1696" spans="2:5">
      <c r="B1696" t="s">
        <v>2884</v>
      </c>
      <c r="C1696">
        <v>521068</v>
      </c>
      <c r="D1696" t="s">
        <v>360</v>
      </c>
      <c r="E1696" t="s">
        <v>375</v>
      </c>
    </row>
    <row r="1697" spans="2:5">
      <c r="B1697" t="s">
        <v>2885</v>
      </c>
      <c r="C1697">
        <v>532359</v>
      </c>
      <c r="D1697" t="s">
        <v>360</v>
      </c>
      <c r="E1697" t="s">
        <v>453</v>
      </c>
    </row>
    <row r="1698" spans="2:5">
      <c r="B1698" t="s">
        <v>2886</v>
      </c>
      <c r="C1698">
        <v>526217</v>
      </c>
      <c r="D1698" t="s">
        <v>2887</v>
      </c>
      <c r="E1698" t="s">
        <v>555</v>
      </c>
    </row>
    <row r="1699" spans="2:5">
      <c r="B1699" t="s">
        <v>2888</v>
      </c>
      <c r="C1699" t="s">
        <v>360</v>
      </c>
      <c r="D1699" t="s">
        <v>2889</v>
      </c>
      <c r="E1699" t="s">
        <v>451</v>
      </c>
    </row>
    <row r="1700" spans="2:5">
      <c r="B1700" t="s">
        <v>2890</v>
      </c>
      <c r="C1700">
        <v>541627</v>
      </c>
      <c r="D1700" t="s">
        <v>2891</v>
      </c>
      <c r="E1700" t="s">
        <v>1728</v>
      </c>
    </row>
    <row r="1701" spans="2:5">
      <c r="B1701" t="s">
        <v>2892</v>
      </c>
      <c r="C1701">
        <v>531661</v>
      </c>
      <c r="D1701" t="s">
        <v>360</v>
      </c>
      <c r="E1701" t="s">
        <v>368</v>
      </c>
    </row>
    <row r="1702" spans="2:5">
      <c r="B1702" t="s">
        <v>2893</v>
      </c>
      <c r="C1702">
        <v>500191</v>
      </c>
      <c r="D1702" t="s">
        <v>2894</v>
      </c>
      <c r="E1702" t="s">
        <v>438</v>
      </c>
    </row>
    <row r="1703" spans="2:5">
      <c r="B1703" t="s">
        <v>2895</v>
      </c>
      <c r="C1703">
        <v>522064</v>
      </c>
      <c r="D1703" t="s">
        <v>2896</v>
      </c>
      <c r="E1703" t="s">
        <v>368</v>
      </c>
    </row>
    <row r="1704" spans="2:5">
      <c r="B1704" t="s">
        <v>2897</v>
      </c>
      <c r="C1704">
        <v>517174</v>
      </c>
      <c r="D1704" t="s">
        <v>2898</v>
      </c>
      <c r="E1704" t="s">
        <v>658</v>
      </c>
    </row>
    <row r="1705" spans="2:5">
      <c r="B1705" t="s">
        <v>2899</v>
      </c>
      <c r="C1705">
        <v>517174</v>
      </c>
      <c r="D1705" t="s">
        <v>2898</v>
      </c>
      <c r="E1705" t="s">
        <v>658</v>
      </c>
    </row>
    <row r="1706" spans="2:5">
      <c r="B1706" t="s">
        <v>2900</v>
      </c>
      <c r="C1706">
        <v>500193</v>
      </c>
      <c r="D1706" t="s">
        <v>2901</v>
      </c>
      <c r="E1706" t="s">
        <v>561</v>
      </c>
    </row>
    <row r="1707" spans="2:5">
      <c r="B1707" t="s">
        <v>2902</v>
      </c>
      <c r="C1707">
        <v>526683</v>
      </c>
      <c r="D1707" t="s">
        <v>2903</v>
      </c>
      <c r="E1707" t="s">
        <v>561</v>
      </c>
    </row>
    <row r="1708" spans="2:5">
      <c r="B1708" t="s">
        <v>2904</v>
      </c>
      <c r="C1708">
        <v>540530</v>
      </c>
      <c r="D1708" t="s">
        <v>2905</v>
      </c>
      <c r="E1708" t="s">
        <v>418</v>
      </c>
    </row>
    <row r="1709" spans="2:5">
      <c r="B1709" t="s">
        <v>2906</v>
      </c>
      <c r="C1709">
        <v>532873</v>
      </c>
      <c r="D1709" t="s">
        <v>2907</v>
      </c>
      <c r="E1709" t="s">
        <v>446</v>
      </c>
    </row>
    <row r="1710" spans="2:5">
      <c r="B1710" t="s">
        <v>2908</v>
      </c>
      <c r="C1710">
        <v>500010</v>
      </c>
      <c r="D1710" t="s">
        <v>2909</v>
      </c>
      <c r="E1710" t="s">
        <v>418</v>
      </c>
    </row>
    <row r="1711" spans="2:5">
      <c r="B1711" t="s">
        <v>2910</v>
      </c>
      <c r="C1711">
        <v>532761</v>
      </c>
      <c r="D1711" t="s">
        <v>2911</v>
      </c>
      <c r="E1711" t="s">
        <v>690</v>
      </c>
    </row>
    <row r="1712" spans="2:5">
      <c r="B1712" t="s">
        <v>2912</v>
      </c>
      <c r="C1712">
        <v>526761</v>
      </c>
      <c r="D1712" t="s">
        <v>360</v>
      </c>
      <c r="E1712" t="s">
        <v>561</v>
      </c>
    </row>
    <row r="1713" spans="2:5">
      <c r="B1713" t="s">
        <v>2913</v>
      </c>
      <c r="C1713">
        <v>535217</v>
      </c>
      <c r="D1713" t="s">
        <v>360</v>
      </c>
      <c r="E1713" t="s">
        <v>558</v>
      </c>
    </row>
    <row r="1714" spans="2:5">
      <c r="B1714" t="s">
        <v>2914</v>
      </c>
      <c r="C1714">
        <v>540136</v>
      </c>
      <c r="D1714" t="s">
        <v>2915</v>
      </c>
      <c r="E1714" t="s">
        <v>403</v>
      </c>
    </row>
    <row r="1715" spans="2:5">
      <c r="B1715" t="s">
        <v>2916</v>
      </c>
      <c r="C1715">
        <v>531724</v>
      </c>
      <c r="D1715" t="s">
        <v>360</v>
      </c>
      <c r="E1715" t="s">
        <v>781</v>
      </c>
    </row>
    <row r="1716" spans="2:5">
      <c r="B1716" t="s">
        <v>2917</v>
      </c>
      <c r="C1716">
        <v>500187</v>
      </c>
      <c r="D1716" t="s">
        <v>2918</v>
      </c>
      <c r="E1716" t="s">
        <v>555</v>
      </c>
    </row>
    <row r="1717" spans="2:5">
      <c r="B1717" t="s">
        <v>2919</v>
      </c>
      <c r="C1717">
        <v>532662</v>
      </c>
      <c r="D1717" t="s">
        <v>2920</v>
      </c>
      <c r="E1717" t="s">
        <v>884</v>
      </c>
    </row>
    <row r="1718" spans="2:5">
      <c r="B1718" t="s">
        <v>2921</v>
      </c>
      <c r="C1718">
        <v>532799</v>
      </c>
      <c r="D1718" t="s">
        <v>2922</v>
      </c>
      <c r="E1718" t="s">
        <v>446</v>
      </c>
    </row>
    <row r="1719" spans="2:5">
      <c r="B1719" t="s">
        <v>2923</v>
      </c>
      <c r="C1719">
        <v>509820</v>
      </c>
      <c r="D1719" t="s">
        <v>2924</v>
      </c>
      <c r="E1719" t="s">
        <v>555</v>
      </c>
    </row>
    <row r="1720" spans="2:5">
      <c r="B1720" t="s">
        <v>2925</v>
      </c>
      <c r="C1720">
        <v>542592</v>
      </c>
      <c r="D1720" t="s">
        <v>2926</v>
      </c>
      <c r="E1720" t="s">
        <v>465</v>
      </c>
    </row>
    <row r="1721" spans="2:5">
      <c r="B1721" t="s">
        <v>2927</v>
      </c>
      <c r="C1721" t="s">
        <v>360</v>
      </c>
      <c r="D1721" t="s">
        <v>2928</v>
      </c>
      <c r="E1721" t="s">
        <v>371</v>
      </c>
    </row>
    <row r="1722" spans="2:5">
      <c r="B1722" t="s">
        <v>2929</v>
      </c>
      <c r="C1722">
        <v>539724</v>
      </c>
      <c r="D1722" t="s">
        <v>360</v>
      </c>
      <c r="E1722" t="s">
        <v>346</v>
      </c>
    </row>
    <row r="1723" spans="2:5">
      <c r="B1723" t="s">
        <v>2930</v>
      </c>
      <c r="C1723">
        <v>519463</v>
      </c>
      <c r="D1723" t="s">
        <v>360</v>
      </c>
      <c r="E1723" t="s">
        <v>558</v>
      </c>
    </row>
    <row r="1724" spans="2:5">
      <c r="B1724" t="s">
        <v>2931</v>
      </c>
      <c r="C1724" t="s">
        <v>360</v>
      </c>
      <c r="D1724" t="s">
        <v>2932</v>
      </c>
      <c r="E1724" t="s">
        <v>371</v>
      </c>
    </row>
    <row r="1725" spans="2:5">
      <c r="B1725" t="s">
        <v>2933</v>
      </c>
      <c r="C1725">
        <v>532174</v>
      </c>
      <c r="D1725" t="s">
        <v>2934</v>
      </c>
      <c r="E1725" t="s">
        <v>678</v>
      </c>
    </row>
    <row r="1726" spans="2:5">
      <c r="B1726" t="s">
        <v>2935</v>
      </c>
      <c r="C1726">
        <v>540716</v>
      </c>
      <c r="D1726" t="s">
        <v>2936</v>
      </c>
      <c r="E1726" t="s">
        <v>2442</v>
      </c>
    </row>
    <row r="1727" spans="2:5">
      <c r="B1727" t="s">
        <v>2937</v>
      </c>
      <c r="C1727">
        <v>533244</v>
      </c>
      <c r="D1727" t="s">
        <v>2938</v>
      </c>
      <c r="E1727" t="s">
        <v>343</v>
      </c>
    </row>
    <row r="1728" spans="2:5">
      <c r="B1728" t="s">
        <v>2939</v>
      </c>
      <c r="C1728">
        <v>540133</v>
      </c>
      <c r="D1728" t="s">
        <v>2940</v>
      </c>
      <c r="E1728" t="s">
        <v>2772</v>
      </c>
    </row>
    <row r="1729" spans="2:5">
      <c r="B1729" t="s">
        <v>2941</v>
      </c>
      <c r="C1729">
        <v>555555</v>
      </c>
      <c r="D1729" t="s">
        <v>2942</v>
      </c>
      <c r="E1729" t="s">
        <v>343</v>
      </c>
    </row>
    <row r="1730" spans="2:5">
      <c r="B1730" t="s">
        <v>2943</v>
      </c>
      <c r="C1730">
        <v>541179</v>
      </c>
      <c r="D1730" t="s">
        <v>2944</v>
      </c>
      <c r="E1730" t="s">
        <v>343</v>
      </c>
    </row>
    <row r="1731" spans="2:5">
      <c r="B1731" t="s">
        <v>2945</v>
      </c>
      <c r="C1731">
        <v>532835</v>
      </c>
      <c r="D1731" t="s">
        <v>2946</v>
      </c>
      <c r="E1731" t="s">
        <v>343</v>
      </c>
    </row>
    <row r="1732" spans="2:5">
      <c r="B1732" t="s">
        <v>2947</v>
      </c>
      <c r="C1732">
        <v>531524</v>
      </c>
      <c r="D1732" t="s">
        <v>2948</v>
      </c>
      <c r="E1732" t="s">
        <v>658</v>
      </c>
    </row>
    <row r="1733" spans="2:5">
      <c r="B1733" t="s">
        <v>2949</v>
      </c>
      <c r="C1733">
        <v>531524</v>
      </c>
      <c r="D1733" t="s">
        <v>2948</v>
      </c>
      <c r="E1733" t="s">
        <v>658</v>
      </c>
    </row>
    <row r="1734" spans="2:5">
      <c r="B1734" t="s">
        <v>2950</v>
      </c>
      <c r="C1734">
        <v>500116</v>
      </c>
      <c r="D1734" t="s">
        <v>2951</v>
      </c>
      <c r="E1734" t="s">
        <v>678</v>
      </c>
    </row>
    <row r="1735" spans="2:5">
      <c r="B1735" t="s">
        <v>2952</v>
      </c>
      <c r="C1735">
        <v>539437</v>
      </c>
      <c r="D1735" t="s">
        <v>2953</v>
      </c>
      <c r="E1735" t="s">
        <v>678</v>
      </c>
    </row>
    <row r="1736" spans="2:5">
      <c r="B1736" t="s">
        <v>2954</v>
      </c>
      <c r="C1736" t="s">
        <v>360</v>
      </c>
      <c r="D1736" t="s">
        <v>2955</v>
      </c>
      <c r="E1736" t="s">
        <v>678</v>
      </c>
    </row>
    <row r="1737" spans="2:5">
      <c r="B1737" t="s">
        <v>2956</v>
      </c>
      <c r="C1737">
        <v>532659</v>
      </c>
      <c r="D1737" t="s">
        <v>2957</v>
      </c>
      <c r="E1737" t="s">
        <v>377</v>
      </c>
    </row>
    <row r="1738" spans="2:5">
      <c r="B1738" t="s">
        <v>2958</v>
      </c>
      <c r="C1738">
        <v>507438</v>
      </c>
      <c r="D1738" t="s">
        <v>2959</v>
      </c>
      <c r="E1738" t="s">
        <v>991</v>
      </c>
    </row>
    <row r="1739" spans="2:5">
      <c r="B1739" t="s">
        <v>2960</v>
      </c>
      <c r="C1739">
        <v>505726</v>
      </c>
      <c r="D1739" t="s">
        <v>2961</v>
      </c>
      <c r="E1739" t="s">
        <v>1124</v>
      </c>
    </row>
    <row r="1740" spans="2:5">
      <c r="B1740" t="s">
        <v>2962</v>
      </c>
      <c r="C1740">
        <v>500106</v>
      </c>
      <c r="D1740" t="s">
        <v>2963</v>
      </c>
      <c r="E1740" t="s">
        <v>2692</v>
      </c>
    </row>
    <row r="1741" spans="2:5">
      <c r="B1741" t="s">
        <v>2964</v>
      </c>
      <c r="C1741">
        <v>540774</v>
      </c>
      <c r="D1741" t="s">
        <v>2965</v>
      </c>
      <c r="E1741" t="s">
        <v>545</v>
      </c>
    </row>
    <row r="1742" spans="2:5">
      <c r="B1742" t="s">
        <v>2966</v>
      </c>
      <c r="C1742">
        <v>540377</v>
      </c>
      <c r="D1742" t="s">
        <v>360</v>
      </c>
      <c r="E1742" t="s">
        <v>382</v>
      </c>
    </row>
    <row r="1743" spans="2:5">
      <c r="B1743" t="s">
        <v>2967</v>
      </c>
      <c r="C1743">
        <v>522289</v>
      </c>
      <c r="D1743" t="s">
        <v>360</v>
      </c>
      <c r="E1743" t="s">
        <v>382</v>
      </c>
    </row>
    <row r="1744" spans="2:5">
      <c r="B1744" t="s">
        <v>2968</v>
      </c>
      <c r="C1744">
        <v>500199</v>
      </c>
      <c r="D1744" t="s">
        <v>2969</v>
      </c>
      <c r="E1744" t="s">
        <v>408</v>
      </c>
    </row>
    <row r="1745" spans="2:5">
      <c r="B1745" t="s">
        <v>2970</v>
      </c>
      <c r="C1745">
        <v>517380</v>
      </c>
      <c r="D1745" t="s">
        <v>2971</v>
      </c>
      <c r="E1745" t="s">
        <v>715</v>
      </c>
    </row>
    <row r="1746" spans="2:5">
      <c r="B1746" t="s">
        <v>2972</v>
      </c>
      <c r="C1746">
        <v>517380</v>
      </c>
      <c r="D1746" t="s">
        <v>2971</v>
      </c>
      <c r="E1746" t="s">
        <v>715</v>
      </c>
    </row>
    <row r="1747" spans="2:5">
      <c r="B1747" t="s">
        <v>2973</v>
      </c>
      <c r="C1747">
        <v>539449</v>
      </c>
      <c r="D1747" t="s">
        <v>360</v>
      </c>
      <c r="E1747" t="s">
        <v>382</v>
      </c>
    </row>
    <row r="1748" spans="2:5">
      <c r="B1748" t="s">
        <v>2974</v>
      </c>
      <c r="C1748">
        <v>532636</v>
      </c>
      <c r="D1748" t="s">
        <v>2975</v>
      </c>
      <c r="E1748" t="s">
        <v>343</v>
      </c>
    </row>
    <row r="1749" spans="2:5">
      <c r="B1749" t="s">
        <v>2976</v>
      </c>
      <c r="C1749">
        <v>531968</v>
      </c>
      <c r="D1749" t="s">
        <v>2977</v>
      </c>
      <c r="E1749" t="s">
        <v>446</v>
      </c>
    </row>
    <row r="1750" spans="2:5">
      <c r="B1750" t="s">
        <v>2978</v>
      </c>
      <c r="C1750">
        <v>514238</v>
      </c>
      <c r="D1750" t="s">
        <v>360</v>
      </c>
      <c r="E1750" t="s">
        <v>343</v>
      </c>
    </row>
    <row r="1751" spans="2:5">
      <c r="B1751" t="s">
        <v>2979</v>
      </c>
      <c r="C1751">
        <v>532414</v>
      </c>
      <c r="D1751" t="s">
        <v>360</v>
      </c>
      <c r="E1751" t="s">
        <v>453</v>
      </c>
    </row>
    <row r="1752" spans="2:5">
      <c r="B1752" t="s">
        <v>2980</v>
      </c>
      <c r="C1752">
        <v>532907</v>
      </c>
      <c r="D1752" t="s">
        <v>2981</v>
      </c>
      <c r="E1752" t="s">
        <v>758</v>
      </c>
    </row>
    <row r="1753" spans="2:5">
      <c r="B1753" t="s">
        <v>2982</v>
      </c>
      <c r="C1753">
        <v>511208</v>
      </c>
      <c r="D1753" t="s">
        <v>2983</v>
      </c>
      <c r="E1753" t="s">
        <v>2765</v>
      </c>
    </row>
    <row r="1754" spans="2:5">
      <c r="B1754" t="s">
        <v>2984</v>
      </c>
      <c r="C1754">
        <v>533177</v>
      </c>
      <c r="D1754" t="s">
        <v>2985</v>
      </c>
      <c r="E1754" t="s">
        <v>955</v>
      </c>
    </row>
    <row r="1755" spans="2:5">
      <c r="B1755" t="s">
        <v>2986</v>
      </c>
      <c r="C1755">
        <v>511628</v>
      </c>
      <c r="D1755" t="s">
        <v>360</v>
      </c>
      <c r="E1755" t="s">
        <v>377</v>
      </c>
    </row>
    <row r="1756" spans="2:5">
      <c r="B1756" t="s">
        <v>2987</v>
      </c>
      <c r="C1756">
        <v>505539</v>
      </c>
      <c r="D1756" t="s">
        <v>360</v>
      </c>
      <c r="E1756" t="s">
        <v>781</v>
      </c>
    </row>
    <row r="1757" spans="2:5">
      <c r="B1757" t="s">
        <v>2988</v>
      </c>
      <c r="C1757">
        <v>513295</v>
      </c>
      <c r="D1757" t="s">
        <v>360</v>
      </c>
      <c r="E1757" t="s">
        <v>392</v>
      </c>
    </row>
    <row r="1758" spans="2:5">
      <c r="B1758" t="s">
        <v>2989</v>
      </c>
      <c r="C1758">
        <v>517571</v>
      </c>
      <c r="D1758" t="s">
        <v>2990</v>
      </c>
      <c r="E1758" t="s">
        <v>403</v>
      </c>
    </row>
    <row r="1759" spans="2:5">
      <c r="B1759" t="s">
        <v>2991</v>
      </c>
      <c r="C1759">
        <v>532614</v>
      </c>
      <c r="D1759" t="s">
        <v>2992</v>
      </c>
      <c r="E1759" t="s">
        <v>392</v>
      </c>
    </row>
    <row r="1760" spans="2:5">
      <c r="B1760" t="s">
        <v>2993</v>
      </c>
      <c r="C1760">
        <v>531129</v>
      </c>
      <c r="D1760" t="s">
        <v>360</v>
      </c>
      <c r="E1760" t="s">
        <v>888</v>
      </c>
    </row>
    <row r="1761" spans="2:5">
      <c r="B1761" t="s">
        <v>2994</v>
      </c>
      <c r="C1761">
        <v>531672</v>
      </c>
      <c r="D1761" t="s">
        <v>360</v>
      </c>
      <c r="E1761" t="s">
        <v>343</v>
      </c>
    </row>
    <row r="1762" spans="2:5">
      <c r="B1762" t="s">
        <v>2995</v>
      </c>
      <c r="C1762">
        <v>517370</v>
      </c>
      <c r="D1762" t="s">
        <v>360</v>
      </c>
      <c r="E1762" t="s">
        <v>658</v>
      </c>
    </row>
    <row r="1763" spans="2:5">
      <c r="B1763" t="s">
        <v>2996</v>
      </c>
      <c r="C1763">
        <v>538541</v>
      </c>
      <c r="D1763" t="s">
        <v>360</v>
      </c>
      <c r="E1763" t="s">
        <v>382</v>
      </c>
    </row>
    <row r="1764" spans="2:5">
      <c r="B1764" t="s">
        <v>2997</v>
      </c>
      <c r="C1764">
        <v>531594</v>
      </c>
      <c r="D1764" t="s">
        <v>360</v>
      </c>
      <c r="E1764" t="s">
        <v>368</v>
      </c>
    </row>
    <row r="1765" spans="2:5">
      <c r="B1765" t="s">
        <v>2998</v>
      </c>
      <c r="C1765">
        <v>523465</v>
      </c>
      <c r="D1765" t="s">
        <v>360</v>
      </c>
      <c r="E1765" t="s">
        <v>418</v>
      </c>
    </row>
    <row r="1766" spans="2:5">
      <c r="B1766" t="s">
        <v>2999</v>
      </c>
      <c r="C1766">
        <v>536709</v>
      </c>
      <c r="D1766" t="s">
        <v>360</v>
      </c>
      <c r="E1766" t="s">
        <v>499</v>
      </c>
    </row>
    <row r="1767" spans="2:5">
      <c r="B1767" t="s">
        <v>3000</v>
      </c>
      <c r="C1767">
        <v>509162</v>
      </c>
      <c r="D1767" t="s">
        <v>360</v>
      </c>
      <c r="E1767" t="s">
        <v>840</v>
      </c>
    </row>
    <row r="1768" spans="2:5">
      <c r="B1768" t="s">
        <v>3001</v>
      </c>
      <c r="C1768">
        <v>517077</v>
      </c>
      <c r="D1768" t="s">
        <v>360</v>
      </c>
      <c r="E1768" t="s">
        <v>382</v>
      </c>
    </row>
    <row r="1769" spans="2:5">
      <c r="B1769" t="s">
        <v>3002</v>
      </c>
      <c r="C1769">
        <v>511473</v>
      </c>
      <c r="D1769" t="s">
        <v>3003</v>
      </c>
      <c r="E1769" t="s">
        <v>343</v>
      </c>
    </row>
    <row r="1770" spans="2:5">
      <c r="B1770" t="s">
        <v>3004</v>
      </c>
      <c r="C1770">
        <v>531505</v>
      </c>
      <c r="D1770" t="s">
        <v>360</v>
      </c>
      <c r="E1770" t="s">
        <v>377</v>
      </c>
    </row>
    <row r="1771" spans="2:5">
      <c r="B1771" t="s">
        <v>3005</v>
      </c>
      <c r="C1771">
        <v>511355</v>
      </c>
      <c r="D1771" t="s">
        <v>360</v>
      </c>
      <c r="E1771" t="s">
        <v>377</v>
      </c>
    </row>
    <row r="1772" spans="2:5">
      <c r="B1772" t="s">
        <v>3006</v>
      </c>
      <c r="C1772">
        <v>535667</v>
      </c>
      <c r="D1772" t="s">
        <v>360</v>
      </c>
      <c r="E1772" t="s">
        <v>377</v>
      </c>
    </row>
    <row r="1773" spans="2:5">
      <c r="B1773" t="s">
        <v>3007</v>
      </c>
      <c r="C1773">
        <v>531253</v>
      </c>
      <c r="D1773" t="s">
        <v>360</v>
      </c>
      <c r="E1773" t="s">
        <v>520</v>
      </c>
    </row>
    <row r="1774" spans="2:5">
      <c r="B1774" t="s">
        <v>3008</v>
      </c>
      <c r="C1774">
        <v>500201</v>
      </c>
      <c r="D1774" t="s">
        <v>3009</v>
      </c>
      <c r="E1774" t="s">
        <v>408</v>
      </c>
    </row>
    <row r="1775" spans="2:5">
      <c r="B1775" t="s">
        <v>3010</v>
      </c>
      <c r="C1775">
        <v>540152</v>
      </c>
      <c r="D1775" t="s">
        <v>360</v>
      </c>
      <c r="E1775" t="s">
        <v>446</v>
      </c>
    </row>
    <row r="1776" spans="2:5">
      <c r="B1776" t="s">
        <v>3011</v>
      </c>
      <c r="C1776">
        <v>540565</v>
      </c>
      <c r="D1776" t="s">
        <v>3012</v>
      </c>
      <c r="E1776" t="s">
        <v>380</v>
      </c>
    </row>
    <row r="1777" spans="2:5">
      <c r="B1777" t="s">
        <v>3013</v>
      </c>
      <c r="C1777">
        <v>530979</v>
      </c>
      <c r="D1777" t="s">
        <v>360</v>
      </c>
      <c r="E1777" t="s">
        <v>418</v>
      </c>
    </row>
    <row r="1778" spans="2:5">
      <c r="B1778" t="s">
        <v>3014</v>
      </c>
      <c r="C1778">
        <v>531343</v>
      </c>
      <c r="D1778" t="s">
        <v>360</v>
      </c>
      <c r="E1778" t="s">
        <v>781</v>
      </c>
    </row>
    <row r="1779" spans="2:5">
      <c r="B1779" t="s">
        <v>3015</v>
      </c>
      <c r="C1779">
        <v>590065</v>
      </c>
      <c r="D1779" t="s">
        <v>3016</v>
      </c>
      <c r="E1779" t="s">
        <v>382</v>
      </c>
    </row>
    <row r="1780" spans="2:5">
      <c r="B1780" t="s">
        <v>3017</v>
      </c>
      <c r="C1780">
        <v>532240</v>
      </c>
      <c r="D1780" t="s">
        <v>3018</v>
      </c>
      <c r="E1780" t="s">
        <v>715</v>
      </c>
    </row>
    <row r="1781" spans="2:5">
      <c r="B1781" t="s">
        <v>3019</v>
      </c>
      <c r="C1781">
        <v>513361</v>
      </c>
      <c r="D1781" t="s">
        <v>360</v>
      </c>
      <c r="E1781" t="s">
        <v>392</v>
      </c>
    </row>
    <row r="1782" spans="2:5">
      <c r="B1782" t="s">
        <v>3020</v>
      </c>
      <c r="C1782">
        <v>532189</v>
      </c>
      <c r="D1782" t="s">
        <v>3021</v>
      </c>
      <c r="E1782" t="s">
        <v>561</v>
      </c>
    </row>
    <row r="1783" spans="2:5">
      <c r="B1783" t="s">
        <v>3022</v>
      </c>
      <c r="C1783">
        <v>535789</v>
      </c>
      <c r="D1783" t="s">
        <v>3023</v>
      </c>
      <c r="E1783" t="s">
        <v>418</v>
      </c>
    </row>
    <row r="1784" spans="2:5">
      <c r="B1784" t="s">
        <v>3024</v>
      </c>
      <c r="C1784">
        <v>533520</v>
      </c>
      <c r="D1784" t="s">
        <v>3025</v>
      </c>
      <c r="E1784" t="s">
        <v>382</v>
      </c>
    </row>
    <row r="1785" spans="2:5">
      <c r="B1785" t="s">
        <v>3026</v>
      </c>
      <c r="C1785">
        <v>532832</v>
      </c>
      <c r="D1785" t="s">
        <v>3027</v>
      </c>
      <c r="E1785" t="s">
        <v>446</v>
      </c>
    </row>
    <row r="1786" spans="2:5">
      <c r="B1786" t="s">
        <v>3028</v>
      </c>
      <c r="C1786">
        <v>532960</v>
      </c>
      <c r="D1786" t="s">
        <v>3029</v>
      </c>
      <c r="E1786" t="s">
        <v>343</v>
      </c>
    </row>
    <row r="1787" spans="2:5">
      <c r="B1787" t="s">
        <v>3030</v>
      </c>
      <c r="C1787">
        <v>514165</v>
      </c>
      <c r="D1787" t="s">
        <v>360</v>
      </c>
      <c r="E1787" t="s">
        <v>737</v>
      </c>
    </row>
    <row r="1788" spans="2:5">
      <c r="B1788" t="s">
        <v>3031</v>
      </c>
      <c r="C1788">
        <v>532814</v>
      </c>
      <c r="D1788" t="s">
        <v>3032</v>
      </c>
      <c r="E1788" t="s">
        <v>678</v>
      </c>
    </row>
    <row r="1789" spans="2:5">
      <c r="B1789" t="s">
        <v>3033</v>
      </c>
      <c r="C1789">
        <v>504731</v>
      </c>
      <c r="D1789" t="s">
        <v>360</v>
      </c>
      <c r="E1789" t="s">
        <v>392</v>
      </c>
    </row>
    <row r="1790" spans="2:5">
      <c r="B1790" t="s">
        <v>3034</v>
      </c>
      <c r="C1790">
        <v>509692</v>
      </c>
      <c r="D1790" t="s">
        <v>3035</v>
      </c>
      <c r="E1790" t="s">
        <v>375</v>
      </c>
    </row>
    <row r="1791" spans="2:5">
      <c r="B1791" t="s">
        <v>3036</v>
      </c>
      <c r="C1791">
        <v>540750</v>
      </c>
      <c r="D1791" t="s">
        <v>3037</v>
      </c>
      <c r="E1791" t="s">
        <v>499</v>
      </c>
    </row>
    <row r="1792" spans="2:5">
      <c r="B1792" t="s">
        <v>3038</v>
      </c>
      <c r="C1792">
        <v>524614</v>
      </c>
      <c r="D1792" t="s">
        <v>360</v>
      </c>
      <c r="E1792" t="s">
        <v>440</v>
      </c>
    </row>
    <row r="1793" spans="2:5">
      <c r="B1793" t="s">
        <v>3039</v>
      </c>
      <c r="C1793">
        <v>504741</v>
      </c>
      <c r="D1793" t="s">
        <v>3040</v>
      </c>
      <c r="E1793" t="s">
        <v>373</v>
      </c>
    </row>
    <row r="1794" spans="2:5">
      <c r="B1794" t="s">
        <v>3041</v>
      </c>
      <c r="C1794">
        <v>509051</v>
      </c>
      <c r="D1794" t="s">
        <v>360</v>
      </c>
      <c r="E1794" t="s">
        <v>453</v>
      </c>
    </row>
    <row r="1795" spans="2:5">
      <c r="B1795" t="s">
        <v>3042</v>
      </c>
      <c r="C1795">
        <v>504746</v>
      </c>
      <c r="D1795" t="s">
        <v>360</v>
      </c>
      <c r="E1795" t="s">
        <v>1279</v>
      </c>
    </row>
    <row r="1796" spans="2:5">
      <c r="B1796" t="s">
        <v>3043</v>
      </c>
      <c r="C1796">
        <v>533047</v>
      </c>
      <c r="D1796" t="s">
        <v>3044</v>
      </c>
      <c r="E1796" t="s">
        <v>392</v>
      </c>
    </row>
    <row r="1797" spans="2:5">
      <c r="B1797" t="s">
        <v>3045</v>
      </c>
      <c r="C1797">
        <v>530965</v>
      </c>
      <c r="D1797" t="s">
        <v>3046</v>
      </c>
      <c r="E1797" t="s">
        <v>570</v>
      </c>
    </row>
    <row r="1798" spans="2:5">
      <c r="B1798" t="s">
        <v>3047</v>
      </c>
      <c r="C1798">
        <v>532388</v>
      </c>
      <c r="D1798" t="s">
        <v>3048</v>
      </c>
      <c r="E1798" t="s">
        <v>678</v>
      </c>
    </row>
    <row r="1799" spans="2:5">
      <c r="B1799" t="s">
        <v>3049</v>
      </c>
      <c r="C1799">
        <v>500319</v>
      </c>
      <c r="D1799" t="s">
        <v>360</v>
      </c>
      <c r="E1799" t="s">
        <v>1058</v>
      </c>
    </row>
    <row r="1800" spans="2:5">
      <c r="B1800" t="s">
        <v>3050</v>
      </c>
      <c r="C1800">
        <v>533329</v>
      </c>
      <c r="D1800" t="s">
        <v>3051</v>
      </c>
      <c r="E1800" t="s">
        <v>474</v>
      </c>
    </row>
    <row r="1801" spans="2:5">
      <c r="B1801" t="s">
        <v>3052</v>
      </c>
      <c r="C1801">
        <v>523586</v>
      </c>
      <c r="D1801" t="s">
        <v>360</v>
      </c>
      <c r="E1801" t="s">
        <v>520</v>
      </c>
    </row>
    <row r="1802" spans="2:5">
      <c r="B1802" t="s">
        <v>3053</v>
      </c>
      <c r="C1802">
        <v>501700</v>
      </c>
      <c r="D1802" t="s">
        <v>360</v>
      </c>
      <c r="E1802" t="s">
        <v>377</v>
      </c>
    </row>
    <row r="1803" spans="2:5">
      <c r="B1803" t="s">
        <v>3054</v>
      </c>
      <c r="C1803">
        <v>532745</v>
      </c>
      <c r="D1803" t="s">
        <v>360</v>
      </c>
      <c r="E1803" t="s">
        <v>343</v>
      </c>
    </row>
    <row r="1804" spans="2:5">
      <c r="B1804" t="s">
        <v>3055</v>
      </c>
      <c r="C1804">
        <v>524648</v>
      </c>
      <c r="D1804" t="s">
        <v>360</v>
      </c>
      <c r="E1804" t="s">
        <v>408</v>
      </c>
    </row>
    <row r="1805" spans="2:5">
      <c r="B1805" t="s">
        <v>3056</v>
      </c>
      <c r="C1805">
        <v>530747</v>
      </c>
      <c r="D1805" t="s">
        <v>360</v>
      </c>
      <c r="E1805" t="s">
        <v>377</v>
      </c>
    </row>
    <row r="1806" spans="2:5">
      <c r="B1806" t="s">
        <v>3057</v>
      </c>
      <c r="C1806">
        <v>524342</v>
      </c>
      <c r="D1806" t="s">
        <v>360</v>
      </c>
      <c r="E1806" t="s">
        <v>408</v>
      </c>
    </row>
    <row r="1807" spans="2:5">
      <c r="B1807" t="s">
        <v>3058</v>
      </c>
      <c r="C1807">
        <v>538838</v>
      </c>
      <c r="D1807" t="s">
        <v>360</v>
      </c>
      <c r="E1807" t="s">
        <v>375</v>
      </c>
    </row>
    <row r="1808" spans="2:5">
      <c r="B1808" t="s">
        <v>3059</v>
      </c>
      <c r="C1808">
        <v>521016</v>
      </c>
      <c r="D1808" t="s">
        <v>3060</v>
      </c>
      <c r="E1808" t="s">
        <v>375</v>
      </c>
    </row>
    <row r="1809" spans="2:5">
      <c r="B1809" t="s">
        <v>3061</v>
      </c>
      <c r="C1809">
        <v>526887</v>
      </c>
      <c r="D1809" t="s">
        <v>360</v>
      </c>
      <c r="E1809" t="s">
        <v>377</v>
      </c>
    </row>
    <row r="1810" spans="2:5">
      <c r="B1810" t="s">
        <v>3062</v>
      </c>
      <c r="C1810">
        <v>524458</v>
      </c>
      <c r="D1810" t="s">
        <v>360</v>
      </c>
      <c r="E1810" t="s">
        <v>520</v>
      </c>
    </row>
    <row r="1811" spans="2:5">
      <c r="B1811" t="s">
        <v>3063</v>
      </c>
      <c r="C1811">
        <v>506945</v>
      </c>
      <c r="D1811" t="s">
        <v>360</v>
      </c>
      <c r="E1811" t="s">
        <v>520</v>
      </c>
    </row>
    <row r="1812" spans="2:5">
      <c r="B1812" t="s">
        <v>3064</v>
      </c>
      <c r="C1812">
        <v>531565</v>
      </c>
      <c r="D1812" t="s">
        <v>360</v>
      </c>
      <c r="E1812" t="s">
        <v>446</v>
      </c>
    </row>
    <row r="1813" spans="2:5">
      <c r="B1813" t="s">
        <v>3065</v>
      </c>
      <c r="C1813">
        <v>500207</v>
      </c>
      <c r="D1813" t="s">
        <v>3066</v>
      </c>
      <c r="E1813" t="s">
        <v>375</v>
      </c>
    </row>
    <row r="1814" spans="2:5">
      <c r="B1814" t="s">
        <v>3067</v>
      </c>
      <c r="C1814">
        <v>500207</v>
      </c>
      <c r="D1814" t="s">
        <v>3066</v>
      </c>
      <c r="E1814" t="s">
        <v>375</v>
      </c>
    </row>
    <row r="1815" spans="2:5">
      <c r="B1815" t="s">
        <v>3068</v>
      </c>
      <c r="C1815">
        <v>532717</v>
      </c>
      <c r="D1815" t="s">
        <v>3069</v>
      </c>
      <c r="E1815" t="s">
        <v>403</v>
      </c>
    </row>
    <row r="1816" spans="2:5">
      <c r="B1816" t="s">
        <v>3070</v>
      </c>
      <c r="C1816">
        <v>533676</v>
      </c>
      <c r="D1816" t="s">
        <v>3071</v>
      </c>
      <c r="E1816" t="s">
        <v>343</v>
      </c>
    </row>
    <row r="1817" spans="2:5">
      <c r="B1817" t="s">
        <v>3072</v>
      </c>
      <c r="C1817">
        <v>541304</v>
      </c>
      <c r="D1817" t="s">
        <v>360</v>
      </c>
      <c r="E1817" t="s">
        <v>558</v>
      </c>
    </row>
    <row r="1818" spans="2:5">
      <c r="B1818" t="s">
        <v>3073</v>
      </c>
      <c r="C1818">
        <v>532100</v>
      </c>
      <c r="D1818" t="s">
        <v>360</v>
      </c>
      <c r="E1818" t="s">
        <v>453</v>
      </c>
    </row>
    <row r="1819" spans="2:5">
      <c r="B1819" t="s">
        <v>3074</v>
      </c>
      <c r="C1819">
        <v>532612</v>
      </c>
      <c r="D1819" t="s">
        <v>3075</v>
      </c>
      <c r="E1819" t="s">
        <v>398</v>
      </c>
    </row>
    <row r="1820" spans="2:5">
      <c r="B1820" t="s">
        <v>3076</v>
      </c>
      <c r="C1820">
        <v>539433</v>
      </c>
      <c r="D1820" t="s">
        <v>360</v>
      </c>
      <c r="E1820" t="s">
        <v>830</v>
      </c>
    </row>
    <row r="1821" spans="2:5">
      <c r="B1821" t="s">
        <v>3077</v>
      </c>
      <c r="C1821">
        <v>504092</v>
      </c>
      <c r="D1821" t="s">
        <v>360</v>
      </c>
      <c r="E1821" t="s">
        <v>520</v>
      </c>
    </row>
    <row r="1822" spans="2:5">
      <c r="B1822" t="s">
        <v>3078</v>
      </c>
      <c r="C1822">
        <v>504058</v>
      </c>
      <c r="D1822" t="s">
        <v>3079</v>
      </c>
      <c r="E1822" t="s">
        <v>906</v>
      </c>
    </row>
    <row r="1823" spans="2:5">
      <c r="B1823" t="s">
        <v>3080</v>
      </c>
      <c r="C1823">
        <v>533257</v>
      </c>
      <c r="D1823" t="s">
        <v>3081</v>
      </c>
      <c r="E1823" t="s">
        <v>658</v>
      </c>
    </row>
    <row r="1824" spans="2:5">
      <c r="B1824" t="s">
        <v>3082</v>
      </c>
      <c r="C1824">
        <v>541336</v>
      </c>
      <c r="D1824" t="s">
        <v>3083</v>
      </c>
      <c r="E1824" t="s">
        <v>377</v>
      </c>
    </row>
    <row r="1825" spans="2:5">
      <c r="B1825" t="s">
        <v>3084</v>
      </c>
      <c r="C1825">
        <v>521005</v>
      </c>
      <c r="D1825" t="s">
        <v>360</v>
      </c>
      <c r="E1825" t="s">
        <v>375</v>
      </c>
    </row>
    <row r="1826" spans="2:5">
      <c r="B1826" t="s">
        <v>3085</v>
      </c>
      <c r="C1826">
        <v>532894</v>
      </c>
      <c r="D1826" t="s">
        <v>3086</v>
      </c>
      <c r="E1826" t="s">
        <v>499</v>
      </c>
    </row>
    <row r="1827" spans="2:5">
      <c r="B1827" t="s">
        <v>3087</v>
      </c>
      <c r="C1827">
        <v>539175</v>
      </c>
      <c r="D1827" t="s">
        <v>360</v>
      </c>
      <c r="E1827" t="s">
        <v>868</v>
      </c>
    </row>
    <row r="1828" spans="2:5">
      <c r="B1828" t="s">
        <v>3088</v>
      </c>
      <c r="C1828">
        <v>532514</v>
      </c>
      <c r="D1828" t="s">
        <v>3089</v>
      </c>
      <c r="E1828" t="s">
        <v>385</v>
      </c>
    </row>
    <row r="1829" spans="2:5">
      <c r="B1829" t="s">
        <v>3090</v>
      </c>
      <c r="C1829">
        <v>532150</v>
      </c>
      <c r="D1829" t="s">
        <v>3091</v>
      </c>
      <c r="E1829" t="s">
        <v>830</v>
      </c>
    </row>
    <row r="1830" spans="2:5">
      <c r="B1830" t="s">
        <v>3092</v>
      </c>
      <c r="C1830">
        <v>526445</v>
      </c>
      <c r="D1830" t="s">
        <v>3093</v>
      </c>
      <c r="E1830" t="s">
        <v>558</v>
      </c>
    </row>
    <row r="1831" spans="2:5">
      <c r="B1831" t="s">
        <v>3094</v>
      </c>
      <c r="C1831">
        <v>522165</v>
      </c>
      <c r="D1831" t="s">
        <v>360</v>
      </c>
      <c r="E1831" t="s">
        <v>392</v>
      </c>
    </row>
    <row r="1832" spans="2:5">
      <c r="B1832" t="s">
        <v>3095</v>
      </c>
      <c r="C1832">
        <v>503639</v>
      </c>
      <c r="D1832" t="s">
        <v>360</v>
      </c>
      <c r="E1832" t="s">
        <v>781</v>
      </c>
    </row>
    <row r="1833" spans="2:5">
      <c r="B1833" t="s">
        <v>3096</v>
      </c>
      <c r="C1833">
        <v>532305</v>
      </c>
      <c r="D1833" t="s">
        <v>3097</v>
      </c>
      <c r="E1833" t="s">
        <v>398</v>
      </c>
    </row>
    <row r="1834" spans="2:5">
      <c r="B1834" t="s">
        <v>3098</v>
      </c>
      <c r="C1834">
        <v>524652</v>
      </c>
      <c r="D1834" t="s">
        <v>3099</v>
      </c>
      <c r="E1834" t="s">
        <v>398</v>
      </c>
    </row>
    <row r="1835" spans="2:5">
      <c r="B1835" t="s">
        <v>3100</v>
      </c>
      <c r="C1835">
        <v>532001</v>
      </c>
      <c r="D1835" t="s">
        <v>360</v>
      </c>
      <c r="E1835" t="s">
        <v>392</v>
      </c>
    </row>
    <row r="1836" spans="2:5">
      <c r="B1836" t="s">
        <v>3101</v>
      </c>
      <c r="C1836">
        <v>531841</v>
      </c>
      <c r="D1836" t="s">
        <v>360</v>
      </c>
      <c r="E1836" t="s">
        <v>377</v>
      </c>
    </row>
    <row r="1837" spans="2:5">
      <c r="B1837" t="s">
        <v>3102</v>
      </c>
      <c r="C1837">
        <v>532187</v>
      </c>
      <c r="D1837" t="s">
        <v>3103</v>
      </c>
      <c r="E1837" t="s">
        <v>678</v>
      </c>
    </row>
    <row r="1838" spans="2:5">
      <c r="B1838" t="s">
        <v>3104</v>
      </c>
      <c r="C1838">
        <v>501298</v>
      </c>
      <c r="D1838" t="s">
        <v>360</v>
      </c>
      <c r="E1838" t="s">
        <v>380</v>
      </c>
    </row>
    <row r="1839" spans="2:5">
      <c r="B1839" t="s">
        <v>3105</v>
      </c>
      <c r="C1839">
        <v>501295</v>
      </c>
      <c r="D1839" t="s">
        <v>3106</v>
      </c>
      <c r="E1839" t="s">
        <v>377</v>
      </c>
    </row>
    <row r="1840" spans="2:5">
      <c r="B1840" t="s">
        <v>3107</v>
      </c>
      <c r="C1840">
        <v>506222</v>
      </c>
      <c r="D1840" t="s">
        <v>3108</v>
      </c>
      <c r="E1840" t="s">
        <v>520</v>
      </c>
    </row>
    <row r="1841" spans="2:5">
      <c r="B1841" t="s">
        <v>3109</v>
      </c>
      <c r="C1841">
        <v>506222</v>
      </c>
      <c r="D1841" t="s">
        <v>3108</v>
      </c>
      <c r="E1841" t="s">
        <v>520</v>
      </c>
    </row>
    <row r="1842" spans="2:5">
      <c r="B1842" t="s">
        <v>3110</v>
      </c>
      <c r="C1842">
        <v>512025</v>
      </c>
      <c r="D1842" t="s">
        <v>360</v>
      </c>
      <c r="E1842" t="s">
        <v>781</v>
      </c>
    </row>
    <row r="1843" spans="2:5">
      <c r="B1843" t="s">
        <v>3111</v>
      </c>
      <c r="C1843">
        <v>539807</v>
      </c>
      <c r="D1843" t="s">
        <v>3112</v>
      </c>
      <c r="E1843" t="s">
        <v>366</v>
      </c>
    </row>
    <row r="1844" spans="2:5">
      <c r="B1844" t="s">
        <v>3113</v>
      </c>
      <c r="C1844">
        <v>533154</v>
      </c>
      <c r="D1844" t="s">
        <v>3114</v>
      </c>
      <c r="E1844" t="s">
        <v>346</v>
      </c>
    </row>
    <row r="1845" spans="2:5">
      <c r="B1845" t="s">
        <v>3115</v>
      </c>
      <c r="C1845">
        <v>533154</v>
      </c>
      <c r="D1845" t="s">
        <v>3114</v>
      </c>
      <c r="E1845" t="s">
        <v>346</v>
      </c>
    </row>
    <row r="1846" spans="2:5">
      <c r="B1846" t="s">
        <v>3116</v>
      </c>
      <c r="C1846">
        <v>541083</v>
      </c>
      <c r="D1846" t="s">
        <v>360</v>
      </c>
      <c r="E1846" t="s">
        <v>1405</v>
      </c>
    </row>
    <row r="1847" spans="2:5">
      <c r="B1847" t="s">
        <v>3117</v>
      </c>
      <c r="C1847">
        <v>532777</v>
      </c>
      <c r="D1847" t="s">
        <v>3118</v>
      </c>
      <c r="E1847" t="s">
        <v>3119</v>
      </c>
    </row>
    <row r="1848" spans="2:5">
      <c r="B1848" t="s">
        <v>3120</v>
      </c>
      <c r="C1848">
        <v>532777</v>
      </c>
      <c r="D1848" t="s">
        <v>3118</v>
      </c>
      <c r="E1848" t="s">
        <v>3119</v>
      </c>
    </row>
    <row r="1849" spans="2:5">
      <c r="B1849" t="s">
        <v>3121</v>
      </c>
      <c r="C1849" t="s">
        <v>360</v>
      </c>
      <c r="D1849" t="s">
        <v>3122</v>
      </c>
      <c r="E1849" t="s">
        <v>371</v>
      </c>
    </row>
    <row r="1850" spans="2:5">
      <c r="B1850" t="s">
        <v>3123</v>
      </c>
      <c r="C1850">
        <v>504810</v>
      </c>
      <c r="D1850" t="s">
        <v>360</v>
      </c>
      <c r="E1850" t="s">
        <v>690</v>
      </c>
    </row>
    <row r="1851" spans="2:5">
      <c r="B1851" t="s">
        <v>3124</v>
      </c>
      <c r="C1851">
        <v>504810</v>
      </c>
      <c r="D1851" t="s">
        <v>360</v>
      </c>
      <c r="E1851" t="s">
        <v>690</v>
      </c>
    </row>
    <row r="1852" spans="2:5">
      <c r="B1852" t="s">
        <v>3125</v>
      </c>
      <c r="C1852">
        <v>500209</v>
      </c>
      <c r="D1852" t="s">
        <v>3126</v>
      </c>
      <c r="E1852" t="s">
        <v>346</v>
      </c>
    </row>
    <row r="1853" spans="2:5">
      <c r="B1853" t="s">
        <v>3127</v>
      </c>
      <c r="C1853">
        <v>530777</v>
      </c>
      <c r="D1853" t="s">
        <v>360</v>
      </c>
      <c r="E1853" t="s">
        <v>480</v>
      </c>
    </row>
    <row r="1854" spans="2:5">
      <c r="B1854" t="s">
        <v>3128</v>
      </c>
      <c r="C1854">
        <v>537985</v>
      </c>
      <c r="D1854" t="s">
        <v>360</v>
      </c>
      <c r="E1854" t="s">
        <v>453</v>
      </c>
    </row>
    <row r="1855" spans="2:5">
      <c r="B1855" t="s">
        <v>3129</v>
      </c>
      <c r="C1855">
        <v>500210</v>
      </c>
      <c r="D1855" t="s">
        <v>3130</v>
      </c>
      <c r="E1855" t="s">
        <v>368</v>
      </c>
    </row>
    <row r="1856" spans="2:5">
      <c r="B1856" t="s">
        <v>3131</v>
      </c>
      <c r="C1856">
        <v>500210</v>
      </c>
      <c r="D1856" t="s">
        <v>3130</v>
      </c>
      <c r="E1856" t="s">
        <v>368</v>
      </c>
    </row>
    <row r="1857" spans="2:5">
      <c r="B1857" t="s">
        <v>3132</v>
      </c>
      <c r="C1857">
        <v>530787</v>
      </c>
      <c r="D1857" t="s">
        <v>360</v>
      </c>
      <c r="E1857" t="s">
        <v>2352</v>
      </c>
    </row>
    <row r="1858" spans="2:5">
      <c r="B1858" t="s">
        <v>3133</v>
      </c>
      <c r="C1858">
        <v>531929</v>
      </c>
      <c r="D1858" t="s">
        <v>3134</v>
      </c>
      <c r="E1858" t="s">
        <v>480</v>
      </c>
    </row>
    <row r="1859" spans="2:5">
      <c r="B1859" t="s">
        <v>3135</v>
      </c>
      <c r="C1859" t="s">
        <v>360</v>
      </c>
      <c r="D1859" t="s">
        <v>3136</v>
      </c>
      <c r="E1859" t="s">
        <v>371</v>
      </c>
    </row>
    <row r="1860" spans="2:5">
      <c r="B1860" t="s">
        <v>3137</v>
      </c>
      <c r="C1860">
        <v>533315</v>
      </c>
      <c r="D1860" t="s">
        <v>360</v>
      </c>
      <c r="E1860" t="s">
        <v>526</v>
      </c>
    </row>
    <row r="1861" spans="2:5">
      <c r="B1861" t="s">
        <v>3138</v>
      </c>
      <c r="C1861">
        <v>517433</v>
      </c>
      <c r="D1861" t="s">
        <v>360</v>
      </c>
      <c r="E1861" t="s">
        <v>346</v>
      </c>
    </row>
    <row r="1862" spans="2:5">
      <c r="B1862" t="s">
        <v>3139</v>
      </c>
      <c r="C1862">
        <v>541983</v>
      </c>
      <c r="D1862" t="s">
        <v>360</v>
      </c>
      <c r="E1862" t="s">
        <v>3140</v>
      </c>
    </row>
    <row r="1863" spans="2:5">
      <c r="B1863" t="s">
        <v>3141</v>
      </c>
      <c r="C1863">
        <v>541983</v>
      </c>
      <c r="D1863" t="s">
        <v>360</v>
      </c>
      <c r="E1863" t="s">
        <v>3140</v>
      </c>
    </row>
    <row r="1864" spans="2:5">
      <c r="B1864" t="s">
        <v>3142</v>
      </c>
      <c r="C1864">
        <v>523840</v>
      </c>
      <c r="D1864" t="s">
        <v>360</v>
      </c>
      <c r="E1864" t="s">
        <v>555</v>
      </c>
    </row>
    <row r="1865" spans="2:5">
      <c r="B1865" t="s">
        <v>3143</v>
      </c>
      <c r="C1865" t="s">
        <v>360</v>
      </c>
      <c r="D1865" t="s">
        <v>3144</v>
      </c>
      <c r="E1865" t="s">
        <v>371</v>
      </c>
    </row>
    <row r="1866" spans="2:5">
      <c r="B1866" t="s">
        <v>3145</v>
      </c>
      <c r="C1866">
        <v>541353</v>
      </c>
      <c r="D1866" t="s">
        <v>360</v>
      </c>
      <c r="E1866" t="s">
        <v>758</v>
      </c>
    </row>
    <row r="1867" spans="2:5">
      <c r="B1867" t="s">
        <v>3146</v>
      </c>
      <c r="C1867">
        <v>532706</v>
      </c>
      <c r="D1867" t="s">
        <v>3147</v>
      </c>
      <c r="E1867" t="s">
        <v>361</v>
      </c>
    </row>
    <row r="1868" spans="2:5">
      <c r="B1868" t="s">
        <v>3148</v>
      </c>
      <c r="C1868">
        <v>539083</v>
      </c>
      <c r="D1868" t="s">
        <v>3149</v>
      </c>
      <c r="E1868" t="s">
        <v>403</v>
      </c>
    </row>
    <row r="1869" spans="2:5">
      <c r="B1869" t="s">
        <v>3150</v>
      </c>
      <c r="C1869">
        <v>532851</v>
      </c>
      <c r="D1869" t="s">
        <v>3151</v>
      </c>
      <c r="E1869" t="s">
        <v>504</v>
      </c>
    </row>
    <row r="1870" spans="2:5">
      <c r="B1870" t="s">
        <v>3152</v>
      </c>
      <c r="C1870">
        <v>532851</v>
      </c>
      <c r="D1870" t="s">
        <v>3151</v>
      </c>
      <c r="E1870" t="s">
        <v>504</v>
      </c>
    </row>
    <row r="1871" spans="2:5">
      <c r="B1871" t="s">
        <v>3153</v>
      </c>
      <c r="C1871">
        <v>500211</v>
      </c>
      <c r="D1871" t="s">
        <v>360</v>
      </c>
      <c r="E1871" t="s">
        <v>545</v>
      </c>
    </row>
    <row r="1872" spans="2:5">
      <c r="B1872" t="s">
        <v>3154</v>
      </c>
      <c r="C1872">
        <v>532774</v>
      </c>
      <c r="D1872" t="s">
        <v>3155</v>
      </c>
      <c r="E1872" t="s">
        <v>346</v>
      </c>
    </row>
    <row r="1873" spans="2:5">
      <c r="B1873" t="s">
        <v>3156</v>
      </c>
      <c r="C1873">
        <v>526871</v>
      </c>
      <c r="D1873" t="s">
        <v>360</v>
      </c>
      <c r="E1873" t="s">
        <v>343</v>
      </c>
    </row>
    <row r="1874" spans="2:5">
      <c r="B1874" t="s">
        <v>3157</v>
      </c>
      <c r="C1874">
        <v>531314</v>
      </c>
      <c r="D1874" t="s">
        <v>3158</v>
      </c>
      <c r="E1874" t="s">
        <v>377</v>
      </c>
    </row>
    <row r="1875" spans="2:5">
      <c r="B1875" t="s">
        <v>3159</v>
      </c>
      <c r="C1875">
        <v>505358</v>
      </c>
      <c r="D1875" t="s">
        <v>360</v>
      </c>
      <c r="E1875" t="s">
        <v>368</v>
      </c>
    </row>
    <row r="1876" spans="2:5">
      <c r="B1876" t="s">
        <v>3160</v>
      </c>
      <c r="C1876">
        <v>505358</v>
      </c>
      <c r="D1876" t="s">
        <v>360</v>
      </c>
      <c r="E1876" t="s">
        <v>368</v>
      </c>
    </row>
    <row r="1877" spans="2:5">
      <c r="B1877" t="s">
        <v>3161</v>
      </c>
      <c r="C1877">
        <v>535958</v>
      </c>
      <c r="D1877" t="s">
        <v>3162</v>
      </c>
      <c r="E1877" t="s">
        <v>474</v>
      </c>
    </row>
    <row r="1878" spans="2:5">
      <c r="B1878" t="s">
        <v>3163</v>
      </c>
      <c r="C1878">
        <v>517423</v>
      </c>
      <c r="D1878" t="s">
        <v>360</v>
      </c>
      <c r="E1878" t="s">
        <v>658</v>
      </c>
    </row>
    <row r="1879" spans="2:5">
      <c r="B1879" t="s">
        <v>3164</v>
      </c>
      <c r="C1879">
        <v>536868</v>
      </c>
      <c r="D1879" t="s">
        <v>360</v>
      </c>
      <c r="E1879" t="s">
        <v>346</v>
      </c>
    </row>
    <row r="1880" spans="2:5">
      <c r="B1880" t="s">
        <v>3165</v>
      </c>
      <c r="C1880">
        <v>539149</v>
      </c>
      <c r="D1880" t="s">
        <v>360</v>
      </c>
      <c r="E1880" t="s">
        <v>444</v>
      </c>
    </row>
    <row r="1881" spans="2:5">
      <c r="B1881" t="s">
        <v>3166</v>
      </c>
      <c r="C1881">
        <v>500212</v>
      </c>
      <c r="D1881" t="s">
        <v>360</v>
      </c>
      <c r="E1881" t="s">
        <v>377</v>
      </c>
    </row>
    <row r="1882" spans="2:5">
      <c r="B1882" t="s">
        <v>3167</v>
      </c>
      <c r="C1882">
        <v>519606</v>
      </c>
      <c r="D1882" t="s">
        <v>360</v>
      </c>
      <c r="E1882" t="s">
        <v>609</v>
      </c>
    </row>
    <row r="1883" spans="2:5">
      <c r="B1883" t="s">
        <v>3168</v>
      </c>
      <c r="C1883">
        <v>531889</v>
      </c>
      <c r="D1883" t="s">
        <v>360</v>
      </c>
      <c r="E1883" t="s">
        <v>902</v>
      </c>
    </row>
    <row r="1884" spans="2:5">
      <c r="B1884" t="s">
        <v>3169</v>
      </c>
      <c r="C1884">
        <v>530921</v>
      </c>
      <c r="D1884" t="s">
        <v>360</v>
      </c>
      <c r="E1884" t="s">
        <v>480</v>
      </c>
    </row>
    <row r="1885" spans="2:5">
      <c r="B1885" t="s">
        <v>3170</v>
      </c>
      <c r="C1885">
        <v>538835</v>
      </c>
      <c r="D1885" t="s">
        <v>3171</v>
      </c>
      <c r="E1885" t="s">
        <v>453</v>
      </c>
    </row>
    <row r="1886" spans="2:5">
      <c r="B1886" t="s">
        <v>3172</v>
      </c>
      <c r="C1886">
        <v>534732</v>
      </c>
      <c r="D1886" t="s">
        <v>360</v>
      </c>
      <c r="E1886" t="s">
        <v>343</v>
      </c>
    </row>
    <row r="1887" spans="2:5">
      <c r="B1887" t="s">
        <v>3173</v>
      </c>
      <c r="C1887">
        <v>506134</v>
      </c>
      <c r="D1887" t="s">
        <v>360</v>
      </c>
      <c r="E1887" t="s">
        <v>480</v>
      </c>
    </row>
    <row r="1888" spans="2:5">
      <c r="B1888" t="s">
        <v>3174</v>
      </c>
      <c r="C1888">
        <v>532326</v>
      </c>
      <c r="D1888" t="s">
        <v>3175</v>
      </c>
      <c r="E1888" t="s">
        <v>453</v>
      </c>
    </row>
    <row r="1889" spans="2:5">
      <c r="B1889" t="s">
        <v>3176</v>
      </c>
      <c r="C1889">
        <v>511391</v>
      </c>
      <c r="D1889" t="s">
        <v>360</v>
      </c>
      <c r="E1889" t="s">
        <v>377</v>
      </c>
    </row>
    <row r="1890" spans="2:5">
      <c r="B1890" t="s">
        <v>3177</v>
      </c>
      <c r="C1890">
        <v>530259</v>
      </c>
      <c r="D1890" t="s">
        <v>360</v>
      </c>
      <c r="E1890" t="s">
        <v>432</v>
      </c>
    </row>
    <row r="1891" spans="2:5">
      <c r="B1891" t="s">
        <v>3178</v>
      </c>
      <c r="C1891">
        <v>539692</v>
      </c>
      <c r="D1891" t="s">
        <v>360</v>
      </c>
      <c r="E1891" t="s">
        <v>377</v>
      </c>
    </row>
    <row r="1892" spans="2:5">
      <c r="B1892" t="s">
        <v>3179</v>
      </c>
      <c r="C1892">
        <v>539448</v>
      </c>
      <c r="D1892" t="s">
        <v>3180</v>
      </c>
      <c r="E1892" t="s">
        <v>2497</v>
      </c>
    </row>
    <row r="1893" spans="2:5">
      <c r="B1893" t="s">
        <v>3181</v>
      </c>
      <c r="C1893">
        <v>526512</v>
      </c>
      <c r="D1893" t="s">
        <v>360</v>
      </c>
      <c r="E1893" t="s">
        <v>423</v>
      </c>
    </row>
    <row r="1894" spans="2:5">
      <c r="B1894" t="s">
        <v>3182</v>
      </c>
      <c r="C1894">
        <v>505737</v>
      </c>
      <c r="D1894" t="s">
        <v>360</v>
      </c>
      <c r="E1894" t="s">
        <v>368</v>
      </c>
    </row>
    <row r="1895" spans="2:5">
      <c r="B1895" t="s">
        <v>3183</v>
      </c>
      <c r="C1895">
        <v>505737</v>
      </c>
      <c r="D1895" t="s">
        <v>360</v>
      </c>
      <c r="E1895" t="s">
        <v>368</v>
      </c>
    </row>
    <row r="1896" spans="2:5">
      <c r="B1896" t="s">
        <v>3184</v>
      </c>
      <c r="C1896" t="s">
        <v>360</v>
      </c>
      <c r="D1896" t="s">
        <v>3185</v>
      </c>
      <c r="E1896" t="s">
        <v>451</v>
      </c>
    </row>
    <row r="1897" spans="2:5">
      <c r="B1897" t="s">
        <v>3186</v>
      </c>
      <c r="C1897">
        <v>509709</v>
      </c>
      <c r="D1897" t="s">
        <v>360</v>
      </c>
      <c r="E1897" t="s">
        <v>480</v>
      </c>
    </row>
    <row r="1898" spans="2:5">
      <c r="B1898" t="s">
        <v>3187</v>
      </c>
      <c r="C1898">
        <v>517044</v>
      </c>
      <c r="D1898" t="s">
        <v>360</v>
      </c>
      <c r="E1898" t="s">
        <v>444</v>
      </c>
    </row>
    <row r="1899" spans="2:5">
      <c r="B1899" t="s">
        <v>3188</v>
      </c>
      <c r="C1899">
        <v>530781</v>
      </c>
      <c r="D1899" t="s">
        <v>360</v>
      </c>
      <c r="E1899" t="s">
        <v>418</v>
      </c>
    </row>
    <row r="1900" spans="2:5">
      <c r="B1900" t="s">
        <v>3189</v>
      </c>
      <c r="C1900">
        <v>502330</v>
      </c>
      <c r="D1900" t="s">
        <v>3190</v>
      </c>
      <c r="E1900" t="s">
        <v>354</v>
      </c>
    </row>
    <row r="1901" spans="2:5">
      <c r="B1901" t="s">
        <v>3191</v>
      </c>
      <c r="C1901">
        <v>500213</v>
      </c>
      <c r="D1901" t="s">
        <v>360</v>
      </c>
      <c r="E1901" t="s">
        <v>1362</v>
      </c>
    </row>
    <row r="1902" spans="2:5">
      <c r="B1902" t="s">
        <v>3192</v>
      </c>
      <c r="C1902">
        <v>532072</v>
      </c>
      <c r="D1902" t="s">
        <v>360</v>
      </c>
      <c r="E1902" t="s">
        <v>363</v>
      </c>
    </row>
    <row r="1903" spans="2:5">
      <c r="B1903" t="s">
        <v>3193</v>
      </c>
      <c r="C1903">
        <v>533181</v>
      </c>
      <c r="D1903" t="s">
        <v>3194</v>
      </c>
      <c r="E1903" t="s">
        <v>3119</v>
      </c>
    </row>
    <row r="1904" spans="2:5">
      <c r="B1904" t="s">
        <v>3195</v>
      </c>
      <c r="C1904">
        <v>533506</v>
      </c>
      <c r="D1904" t="s">
        <v>3196</v>
      </c>
      <c r="E1904" t="s">
        <v>343</v>
      </c>
    </row>
    <row r="1905" spans="2:5">
      <c r="B1905" t="s">
        <v>3197</v>
      </c>
      <c r="C1905">
        <v>533172</v>
      </c>
      <c r="D1905" t="s">
        <v>3198</v>
      </c>
      <c r="E1905" t="s">
        <v>343</v>
      </c>
    </row>
    <row r="1906" spans="2:5">
      <c r="B1906" t="s">
        <v>3199</v>
      </c>
      <c r="C1906">
        <v>504786</v>
      </c>
      <c r="D1906" t="s">
        <v>360</v>
      </c>
      <c r="E1906" t="s">
        <v>1279</v>
      </c>
    </row>
    <row r="1907" spans="2:5">
      <c r="B1907" t="s">
        <v>3200</v>
      </c>
      <c r="C1907">
        <v>523844</v>
      </c>
      <c r="D1907" t="s">
        <v>360</v>
      </c>
      <c r="E1907" t="s">
        <v>1526</v>
      </c>
    </row>
    <row r="1908" spans="2:5">
      <c r="B1908" t="s">
        <v>3201</v>
      </c>
      <c r="C1908">
        <v>523752</v>
      </c>
      <c r="D1908" t="s">
        <v>360</v>
      </c>
      <c r="E1908" t="s">
        <v>368</v>
      </c>
    </row>
    <row r="1909" spans="2:5">
      <c r="B1909" t="s">
        <v>3202</v>
      </c>
      <c r="C1909">
        <v>524164</v>
      </c>
      <c r="D1909" t="s">
        <v>3203</v>
      </c>
      <c r="E1909" t="s">
        <v>398</v>
      </c>
    </row>
    <row r="1910" spans="2:5">
      <c r="B1910" t="s">
        <v>3204</v>
      </c>
      <c r="C1910">
        <v>500214</v>
      </c>
      <c r="D1910" t="s">
        <v>360</v>
      </c>
      <c r="E1910" t="s">
        <v>368</v>
      </c>
    </row>
    <row r="1911" spans="2:5">
      <c r="B1911" t="s">
        <v>3205</v>
      </c>
      <c r="C1911">
        <v>500214</v>
      </c>
      <c r="D1911" t="s">
        <v>360</v>
      </c>
      <c r="E1911" t="s">
        <v>368</v>
      </c>
    </row>
    <row r="1912" spans="2:5">
      <c r="B1912" t="s">
        <v>3206</v>
      </c>
      <c r="C1912">
        <v>523638</v>
      </c>
      <c r="D1912" t="s">
        <v>360</v>
      </c>
      <c r="E1912" t="s">
        <v>715</v>
      </c>
    </row>
    <row r="1913" spans="2:5">
      <c r="B1913" t="s">
        <v>3207</v>
      </c>
      <c r="C1913">
        <v>524494</v>
      </c>
      <c r="D1913" t="s">
        <v>3208</v>
      </c>
      <c r="E1913" t="s">
        <v>398</v>
      </c>
    </row>
    <row r="1914" spans="2:5">
      <c r="B1914" t="s">
        <v>3209</v>
      </c>
      <c r="C1914">
        <v>512405</v>
      </c>
      <c r="D1914" t="s">
        <v>360</v>
      </c>
      <c r="E1914" t="s">
        <v>366</v>
      </c>
    </row>
    <row r="1915" spans="2:5">
      <c r="B1915" t="s">
        <v>3210</v>
      </c>
      <c r="C1915">
        <v>512405</v>
      </c>
      <c r="D1915" t="s">
        <v>360</v>
      </c>
      <c r="E1915" t="s">
        <v>366</v>
      </c>
    </row>
    <row r="1916" spans="2:5">
      <c r="B1916" t="s">
        <v>3211</v>
      </c>
      <c r="C1916">
        <v>532947</v>
      </c>
      <c r="D1916" t="s">
        <v>3212</v>
      </c>
      <c r="E1916" t="s">
        <v>955</v>
      </c>
    </row>
    <row r="1917" spans="2:5">
      <c r="B1917" t="s">
        <v>3213</v>
      </c>
      <c r="C1917">
        <v>540526</v>
      </c>
      <c r="D1917" t="s">
        <v>3214</v>
      </c>
      <c r="E1917" t="s">
        <v>380</v>
      </c>
    </row>
    <row r="1918" spans="2:5">
      <c r="B1918" t="s">
        <v>3215</v>
      </c>
      <c r="C1918">
        <v>541956</v>
      </c>
      <c r="D1918" t="s">
        <v>3216</v>
      </c>
      <c r="E1918" t="s">
        <v>758</v>
      </c>
    </row>
    <row r="1919" spans="2:5">
      <c r="B1919" t="s">
        <v>3217</v>
      </c>
      <c r="C1919">
        <v>540735</v>
      </c>
      <c r="D1919" t="s">
        <v>360</v>
      </c>
      <c r="E1919" t="s">
        <v>453</v>
      </c>
    </row>
    <row r="1920" spans="2:5">
      <c r="B1920" t="s">
        <v>3218</v>
      </c>
      <c r="C1920" t="s">
        <v>360</v>
      </c>
      <c r="D1920" t="s">
        <v>3219</v>
      </c>
      <c r="E1920" t="s">
        <v>371</v>
      </c>
    </row>
    <row r="1921" spans="2:5">
      <c r="B1921" t="s">
        <v>3220</v>
      </c>
      <c r="C1921">
        <v>531337</v>
      </c>
      <c r="D1921" t="s">
        <v>360</v>
      </c>
      <c r="E1921" t="s">
        <v>343</v>
      </c>
    </row>
    <row r="1922" spans="2:5">
      <c r="B1922" t="s">
        <v>3221</v>
      </c>
      <c r="C1922">
        <v>526859</v>
      </c>
      <c r="D1922" t="s">
        <v>360</v>
      </c>
      <c r="E1922" t="s">
        <v>377</v>
      </c>
    </row>
    <row r="1923" spans="2:5">
      <c r="B1923" t="s">
        <v>3222</v>
      </c>
      <c r="C1923">
        <v>533033</v>
      </c>
      <c r="D1923" t="s">
        <v>360</v>
      </c>
      <c r="E1923" t="s">
        <v>368</v>
      </c>
    </row>
    <row r="1924" spans="2:5">
      <c r="B1924" t="s">
        <v>3223</v>
      </c>
      <c r="C1924">
        <v>540134</v>
      </c>
      <c r="D1924" t="s">
        <v>360</v>
      </c>
      <c r="E1924" t="s">
        <v>758</v>
      </c>
    </row>
    <row r="1925" spans="2:5">
      <c r="B1925" t="s">
        <v>3224</v>
      </c>
      <c r="C1925">
        <v>531109</v>
      </c>
      <c r="D1925" t="s">
        <v>360</v>
      </c>
      <c r="E1925" t="s">
        <v>520</v>
      </c>
    </row>
    <row r="1926" spans="2:5">
      <c r="B1926" t="s">
        <v>3225</v>
      </c>
      <c r="C1926">
        <v>524400</v>
      </c>
      <c r="D1926" t="s">
        <v>360</v>
      </c>
      <c r="E1926" t="s">
        <v>398</v>
      </c>
    </row>
    <row r="1927" spans="2:5">
      <c r="B1927" t="s">
        <v>3226</v>
      </c>
      <c r="C1927">
        <v>506161</v>
      </c>
      <c r="D1927" t="s">
        <v>360</v>
      </c>
      <c r="E1927" t="s">
        <v>377</v>
      </c>
    </row>
    <row r="1928" spans="2:5">
      <c r="B1928" t="s">
        <v>3227</v>
      </c>
      <c r="C1928">
        <v>511609</v>
      </c>
      <c r="D1928" t="s">
        <v>360</v>
      </c>
      <c r="E1928" t="s">
        <v>377</v>
      </c>
    </row>
    <row r="1929" spans="2:5">
      <c r="B1929" t="s">
        <v>3228</v>
      </c>
      <c r="C1929">
        <v>532479</v>
      </c>
      <c r="D1929" t="s">
        <v>3229</v>
      </c>
      <c r="E1929" t="s">
        <v>392</v>
      </c>
    </row>
    <row r="1930" spans="2:5">
      <c r="B1930" t="s">
        <v>3230</v>
      </c>
      <c r="C1930">
        <v>508807</v>
      </c>
      <c r="D1930" t="s">
        <v>360</v>
      </c>
      <c r="E1930" t="s">
        <v>715</v>
      </c>
    </row>
    <row r="1931" spans="2:5">
      <c r="B1931" t="s">
        <v>3231</v>
      </c>
      <c r="C1931">
        <v>524622</v>
      </c>
      <c r="D1931" t="s">
        <v>360</v>
      </c>
      <c r="E1931" t="s">
        <v>3119</v>
      </c>
    </row>
    <row r="1932" spans="2:5">
      <c r="B1932" t="s">
        <v>1064</v>
      </c>
      <c r="C1932">
        <v>500875</v>
      </c>
      <c r="D1932" t="s">
        <v>1065</v>
      </c>
      <c r="E1932" t="s">
        <v>2530</v>
      </c>
    </row>
    <row r="1933" spans="2:5">
      <c r="B1933" t="s">
        <v>3232</v>
      </c>
      <c r="C1933">
        <v>509496</v>
      </c>
      <c r="D1933" t="s">
        <v>3233</v>
      </c>
      <c r="E1933" t="s">
        <v>758</v>
      </c>
    </row>
    <row r="1934" spans="2:5">
      <c r="B1934" t="s">
        <v>3234</v>
      </c>
      <c r="C1934">
        <v>509496</v>
      </c>
      <c r="D1934" t="s">
        <v>3233</v>
      </c>
      <c r="E1934" t="s">
        <v>758</v>
      </c>
    </row>
    <row r="1935" spans="2:5">
      <c r="B1935" t="s">
        <v>3235</v>
      </c>
      <c r="C1935">
        <v>523610</v>
      </c>
      <c r="D1935" t="s">
        <v>3236</v>
      </c>
      <c r="E1935" t="s">
        <v>506</v>
      </c>
    </row>
    <row r="1936" spans="2:5">
      <c r="B1936" t="s">
        <v>3237</v>
      </c>
      <c r="C1936">
        <v>522183</v>
      </c>
      <c r="D1936" t="s">
        <v>360</v>
      </c>
      <c r="E1936" t="s">
        <v>368</v>
      </c>
    </row>
    <row r="1937" spans="2:5">
      <c r="B1937" t="s">
        <v>3238</v>
      </c>
      <c r="C1937">
        <v>507580</v>
      </c>
      <c r="D1937" t="s">
        <v>3239</v>
      </c>
      <c r="E1937" t="s">
        <v>408</v>
      </c>
    </row>
    <row r="1938" spans="2:5">
      <c r="B1938" t="s">
        <v>3240</v>
      </c>
      <c r="C1938">
        <v>530773</v>
      </c>
      <c r="D1938" t="s">
        <v>3241</v>
      </c>
      <c r="E1938" t="s">
        <v>758</v>
      </c>
    </row>
    <row r="1939" spans="2:5">
      <c r="B1939" t="s">
        <v>3242</v>
      </c>
      <c r="C1939">
        <v>522245</v>
      </c>
      <c r="D1939" t="s">
        <v>360</v>
      </c>
      <c r="E1939" t="s">
        <v>545</v>
      </c>
    </row>
    <row r="1940" spans="2:5">
      <c r="B1940" t="s">
        <v>3243</v>
      </c>
      <c r="C1940">
        <v>532341</v>
      </c>
      <c r="D1940" t="s">
        <v>3244</v>
      </c>
      <c r="E1940" t="s">
        <v>346</v>
      </c>
    </row>
    <row r="1941" spans="2:5">
      <c r="B1941" t="s">
        <v>3245</v>
      </c>
      <c r="C1941">
        <v>538539</v>
      </c>
      <c r="D1941" t="s">
        <v>360</v>
      </c>
      <c r="E1941" t="s">
        <v>380</v>
      </c>
    </row>
    <row r="1942" spans="2:5">
      <c r="B1942" t="s">
        <v>3246</v>
      </c>
      <c r="C1942">
        <v>530049</v>
      </c>
      <c r="D1942" t="s">
        <v>360</v>
      </c>
      <c r="E1942" t="s">
        <v>375</v>
      </c>
    </row>
    <row r="1943" spans="2:5">
      <c r="B1943" t="s">
        <v>3247</v>
      </c>
      <c r="C1943">
        <v>523062</v>
      </c>
      <c r="D1943" t="s">
        <v>360</v>
      </c>
      <c r="E1943" t="s">
        <v>377</v>
      </c>
    </row>
    <row r="1944" spans="2:5">
      <c r="B1944" t="s">
        <v>3248</v>
      </c>
      <c r="C1944">
        <v>532940</v>
      </c>
      <c r="D1944" t="s">
        <v>3249</v>
      </c>
      <c r="E1944" t="s">
        <v>758</v>
      </c>
    </row>
    <row r="1945" spans="2:5">
      <c r="B1945" t="s">
        <v>3250</v>
      </c>
      <c r="C1945">
        <v>506522</v>
      </c>
      <c r="D1945" t="s">
        <v>360</v>
      </c>
      <c r="E1945" t="s">
        <v>542</v>
      </c>
    </row>
    <row r="1946" spans="2:5">
      <c r="B1946" t="s">
        <v>3251</v>
      </c>
      <c r="C1946">
        <v>506522</v>
      </c>
      <c r="D1946" t="s">
        <v>360</v>
      </c>
      <c r="E1946" t="s">
        <v>542</v>
      </c>
    </row>
    <row r="1947" spans="2:5">
      <c r="B1947" t="s">
        <v>3252</v>
      </c>
      <c r="C1947">
        <v>530915</v>
      </c>
      <c r="D1947" t="s">
        <v>360</v>
      </c>
      <c r="E1947" t="s">
        <v>609</v>
      </c>
    </row>
    <row r="1948" spans="2:5">
      <c r="B1948" t="s">
        <v>3253</v>
      </c>
      <c r="C1948">
        <v>538422</v>
      </c>
      <c r="D1948" t="s">
        <v>360</v>
      </c>
      <c r="E1948" t="s">
        <v>380</v>
      </c>
    </row>
    <row r="1949" spans="2:5">
      <c r="B1949" t="s">
        <v>3254</v>
      </c>
      <c r="C1949">
        <v>530711</v>
      </c>
      <c r="D1949" t="s">
        <v>360</v>
      </c>
      <c r="E1949" t="s">
        <v>715</v>
      </c>
    </row>
    <row r="1950" spans="2:5">
      <c r="B1950" t="s">
        <v>3255</v>
      </c>
      <c r="C1950">
        <v>507155</v>
      </c>
      <c r="D1950" t="s">
        <v>360</v>
      </c>
      <c r="E1950" t="s">
        <v>991</v>
      </c>
    </row>
    <row r="1951" spans="2:5">
      <c r="B1951" t="s">
        <v>3256</v>
      </c>
      <c r="C1951">
        <v>532825</v>
      </c>
      <c r="D1951" t="s">
        <v>360</v>
      </c>
      <c r="E1951" t="s">
        <v>375</v>
      </c>
    </row>
    <row r="1952" spans="2:5">
      <c r="B1952" t="s">
        <v>3257</v>
      </c>
      <c r="C1952">
        <v>532705</v>
      </c>
      <c r="D1952" t="s">
        <v>3258</v>
      </c>
      <c r="E1952" t="s">
        <v>884</v>
      </c>
    </row>
    <row r="1953" spans="2:5">
      <c r="B1953" t="s">
        <v>3259</v>
      </c>
      <c r="C1953">
        <v>520139</v>
      </c>
      <c r="D1953" t="s">
        <v>360</v>
      </c>
      <c r="E1953" t="s">
        <v>2497</v>
      </c>
    </row>
    <row r="1954" spans="2:5">
      <c r="B1954" t="s">
        <v>3260</v>
      </c>
      <c r="C1954">
        <v>530601</v>
      </c>
      <c r="D1954" t="s">
        <v>360</v>
      </c>
      <c r="E1954" t="s">
        <v>377</v>
      </c>
    </row>
    <row r="1955" spans="2:5">
      <c r="B1955" t="s">
        <v>3261</v>
      </c>
      <c r="C1955">
        <v>507789</v>
      </c>
      <c r="D1955" t="s">
        <v>3262</v>
      </c>
      <c r="E1955" t="s">
        <v>398</v>
      </c>
    </row>
    <row r="1956" spans="2:5">
      <c r="B1956" t="s">
        <v>3263</v>
      </c>
      <c r="C1956">
        <v>532976</v>
      </c>
      <c r="D1956" t="s">
        <v>3264</v>
      </c>
      <c r="E1956" t="s">
        <v>392</v>
      </c>
    </row>
    <row r="1957" spans="2:5">
      <c r="B1957" t="s">
        <v>3265</v>
      </c>
      <c r="C1957">
        <v>512237</v>
      </c>
      <c r="D1957" t="s">
        <v>3266</v>
      </c>
      <c r="E1957" t="s">
        <v>392</v>
      </c>
    </row>
    <row r="1958" spans="2:5">
      <c r="B1958" t="s">
        <v>3267</v>
      </c>
      <c r="C1958">
        <v>523467</v>
      </c>
      <c r="D1958" t="s">
        <v>360</v>
      </c>
      <c r="E1958" t="s">
        <v>888</v>
      </c>
    </row>
    <row r="1959" spans="2:5">
      <c r="B1959" t="s">
        <v>3268</v>
      </c>
      <c r="C1959">
        <v>531339</v>
      </c>
      <c r="D1959" t="s">
        <v>3269</v>
      </c>
      <c r="E1959" t="s">
        <v>758</v>
      </c>
    </row>
    <row r="1960" spans="2:5">
      <c r="B1960" t="s">
        <v>3270</v>
      </c>
      <c r="C1960">
        <v>514312</v>
      </c>
      <c r="D1960" t="s">
        <v>360</v>
      </c>
      <c r="E1960" t="s">
        <v>375</v>
      </c>
    </row>
    <row r="1961" spans="2:5">
      <c r="B1961" t="s">
        <v>3271</v>
      </c>
      <c r="C1961">
        <v>500219</v>
      </c>
      <c r="D1961" t="s">
        <v>3272</v>
      </c>
      <c r="E1961" t="s">
        <v>480</v>
      </c>
    </row>
    <row r="1962" spans="2:5">
      <c r="B1962" t="s">
        <v>3271</v>
      </c>
      <c r="C1962">
        <v>570004</v>
      </c>
      <c r="D1962" t="s">
        <v>3273</v>
      </c>
      <c r="E1962" t="s">
        <v>480</v>
      </c>
    </row>
    <row r="1963" spans="2:5">
      <c r="B1963" t="s">
        <v>3274</v>
      </c>
      <c r="C1963">
        <v>539119</v>
      </c>
      <c r="D1963" t="s">
        <v>360</v>
      </c>
      <c r="E1963" t="s">
        <v>888</v>
      </c>
    </row>
    <row r="1964" spans="2:5">
      <c r="B1964" t="s">
        <v>3275</v>
      </c>
      <c r="C1964">
        <v>532033</v>
      </c>
      <c r="D1964" t="s">
        <v>3276</v>
      </c>
      <c r="E1964" t="s">
        <v>1098</v>
      </c>
    </row>
    <row r="1965" spans="2:5">
      <c r="B1965" t="s">
        <v>3277</v>
      </c>
      <c r="C1965">
        <v>526865</v>
      </c>
      <c r="D1965" t="s">
        <v>360</v>
      </c>
      <c r="E1965" t="s">
        <v>382</v>
      </c>
    </row>
    <row r="1966" spans="2:5">
      <c r="B1966" t="s">
        <v>3278</v>
      </c>
      <c r="C1966">
        <v>526865</v>
      </c>
      <c r="D1966" t="s">
        <v>360</v>
      </c>
      <c r="E1966" t="s">
        <v>382</v>
      </c>
    </row>
    <row r="1967" spans="2:5">
      <c r="B1967" t="s">
        <v>3279</v>
      </c>
      <c r="C1967">
        <v>505212</v>
      </c>
      <c r="D1967" t="s">
        <v>360</v>
      </c>
      <c r="E1967" t="s">
        <v>715</v>
      </c>
    </row>
    <row r="1968" spans="2:5">
      <c r="B1968" t="s">
        <v>3280</v>
      </c>
      <c r="C1968">
        <v>505840</v>
      </c>
      <c r="D1968" t="s">
        <v>360</v>
      </c>
      <c r="E1968" t="s">
        <v>1124</v>
      </c>
    </row>
    <row r="1969" spans="2:5">
      <c r="B1969" t="s">
        <v>3281</v>
      </c>
      <c r="C1969">
        <v>532532</v>
      </c>
      <c r="D1969" t="s">
        <v>3282</v>
      </c>
      <c r="E1969" t="s">
        <v>758</v>
      </c>
    </row>
    <row r="1970" spans="2:5">
      <c r="B1970" t="s">
        <v>3283</v>
      </c>
      <c r="C1970">
        <v>532627</v>
      </c>
      <c r="D1970" t="s">
        <v>3284</v>
      </c>
      <c r="E1970" t="s">
        <v>499</v>
      </c>
    </row>
    <row r="1971" spans="2:5">
      <c r="B1971" t="s">
        <v>3285</v>
      </c>
      <c r="C1971">
        <v>780001</v>
      </c>
      <c r="D1971" t="s">
        <v>360</v>
      </c>
      <c r="E1971" t="s">
        <v>451</v>
      </c>
    </row>
    <row r="1972" spans="2:5">
      <c r="B1972" t="s">
        <v>3286</v>
      </c>
      <c r="C1972" t="s">
        <v>360</v>
      </c>
      <c r="D1972" t="s">
        <v>3287</v>
      </c>
      <c r="E1972" t="s">
        <v>371</v>
      </c>
    </row>
    <row r="1973" spans="2:5">
      <c r="B1973" t="s">
        <v>3288</v>
      </c>
      <c r="C1973" t="s">
        <v>360</v>
      </c>
      <c r="D1973" t="s">
        <v>3289</v>
      </c>
      <c r="E1973" t="s">
        <v>371</v>
      </c>
    </row>
    <row r="1974" spans="2:5">
      <c r="B1974" t="s">
        <v>3290</v>
      </c>
      <c r="C1974" t="s">
        <v>360</v>
      </c>
      <c r="D1974" t="s">
        <v>3289</v>
      </c>
      <c r="E1974" t="s">
        <v>371</v>
      </c>
    </row>
    <row r="1975" spans="2:5">
      <c r="B1975" t="s">
        <v>3291</v>
      </c>
      <c r="C1975">
        <v>538564</v>
      </c>
      <c r="D1975" t="s">
        <v>360</v>
      </c>
      <c r="E1975" t="s">
        <v>767</v>
      </c>
    </row>
    <row r="1976" spans="2:5">
      <c r="B1976" t="s">
        <v>3292</v>
      </c>
      <c r="C1976">
        <v>520051</v>
      </c>
      <c r="D1976" t="s">
        <v>3293</v>
      </c>
      <c r="E1976" t="s">
        <v>715</v>
      </c>
    </row>
    <row r="1977" spans="2:5">
      <c r="B1977" t="s">
        <v>3294</v>
      </c>
      <c r="C1977">
        <v>502901</v>
      </c>
      <c r="D1977" t="s">
        <v>360</v>
      </c>
      <c r="E1977" t="s">
        <v>375</v>
      </c>
    </row>
    <row r="1978" spans="2:5">
      <c r="B1978" t="s">
        <v>3295</v>
      </c>
      <c r="C1978">
        <v>500220</v>
      </c>
      <c r="D1978" t="s">
        <v>360</v>
      </c>
      <c r="E1978" t="s">
        <v>375</v>
      </c>
    </row>
    <row r="1979" spans="2:5">
      <c r="B1979" t="s">
        <v>3296</v>
      </c>
      <c r="C1979">
        <v>540394</v>
      </c>
      <c r="D1979" t="s">
        <v>360</v>
      </c>
      <c r="E1979" t="s">
        <v>382</v>
      </c>
    </row>
    <row r="1980" spans="2:5">
      <c r="B1980" t="s">
        <v>3297</v>
      </c>
      <c r="C1980" t="s">
        <v>360</v>
      </c>
      <c r="D1980" t="s">
        <v>3298</v>
      </c>
      <c r="E1980" t="s">
        <v>371</v>
      </c>
    </row>
    <row r="1981" spans="2:5">
      <c r="B1981" t="s">
        <v>3299</v>
      </c>
      <c r="C1981">
        <v>514318</v>
      </c>
      <c r="D1981" t="s">
        <v>360</v>
      </c>
      <c r="E1981" t="s">
        <v>375</v>
      </c>
    </row>
    <row r="1982" spans="2:5">
      <c r="B1982" t="s">
        <v>3300</v>
      </c>
      <c r="C1982">
        <v>526001</v>
      </c>
      <c r="D1982" t="s">
        <v>360</v>
      </c>
      <c r="E1982" t="s">
        <v>555</v>
      </c>
    </row>
    <row r="1983" spans="2:5">
      <c r="B1983" t="s">
        <v>3301</v>
      </c>
      <c r="C1983">
        <v>520066</v>
      </c>
      <c r="D1983" t="s">
        <v>3302</v>
      </c>
      <c r="E1983" t="s">
        <v>715</v>
      </c>
    </row>
    <row r="1984" spans="2:5">
      <c r="B1984" t="s">
        <v>3303</v>
      </c>
      <c r="C1984">
        <v>509715</v>
      </c>
      <c r="D1984" t="s">
        <v>360</v>
      </c>
      <c r="E1984" t="s">
        <v>767</v>
      </c>
    </row>
    <row r="1985" spans="2:5">
      <c r="B1985" t="s">
        <v>3304</v>
      </c>
      <c r="C1985">
        <v>513252</v>
      </c>
      <c r="D1985" t="s">
        <v>360</v>
      </c>
      <c r="E1985" t="s">
        <v>715</v>
      </c>
    </row>
    <row r="1986" spans="2:5">
      <c r="B1986" t="s">
        <v>3305</v>
      </c>
      <c r="C1986">
        <v>524330</v>
      </c>
      <c r="D1986" t="s">
        <v>3306</v>
      </c>
      <c r="E1986" t="s">
        <v>520</v>
      </c>
    </row>
    <row r="1987" spans="2:5">
      <c r="B1987" t="s">
        <v>3307</v>
      </c>
      <c r="C1987">
        <v>522285</v>
      </c>
      <c r="D1987" t="s">
        <v>3308</v>
      </c>
      <c r="E1987" t="s">
        <v>392</v>
      </c>
    </row>
    <row r="1988" spans="2:5">
      <c r="B1988" t="s">
        <v>3309</v>
      </c>
      <c r="C1988">
        <v>539005</v>
      </c>
      <c r="D1988" t="s">
        <v>360</v>
      </c>
      <c r="E1988" t="s">
        <v>781</v>
      </c>
    </row>
    <row r="1989" spans="2:5">
      <c r="B1989" t="s">
        <v>3310</v>
      </c>
      <c r="C1989">
        <v>531323</v>
      </c>
      <c r="D1989" t="s">
        <v>360</v>
      </c>
      <c r="E1989" t="s">
        <v>375</v>
      </c>
    </row>
    <row r="1990" spans="2:5">
      <c r="B1990" t="s">
        <v>3311</v>
      </c>
      <c r="C1990">
        <v>512233</v>
      </c>
      <c r="D1990" t="s">
        <v>360</v>
      </c>
      <c r="E1990" t="s">
        <v>375</v>
      </c>
    </row>
    <row r="1991" spans="2:5">
      <c r="B1991" t="s">
        <v>3312</v>
      </c>
      <c r="C1991">
        <v>500306</v>
      </c>
      <c r="D1991" t="s">
        <v>360</v>
      </c>
      <c r="E1991" t="s">
        <v>377</v>
      </c>
    </row>
    <row r="1992" spans="2:5">
      <c r="B1992" t="s">
        <v>3313</v>
      </c>
      <c r="C1992">
        <v>533207</v>
      </c>
      <c r="D1992" t="s">
        <v>3314</v>
      </c>
      <c r="E1992" t="s">
        <v>955</v>
      </c>
    </row>
    <row r="1993" spans="2:5">
      <c r="B1993" t="s">
        <v>3315</v>
      </c>
      <c r="C1993">
        <v>506520</v>
      </c>
      <c r="D1993" t="s">
        <v>360</v>
      </c>
      <c r="E1993" t="s">
        <v>408</v>
      </c>
    </row>
    <row r="1994" spans="2:5">
      <c r="B1994" t="s">
        <v>3316</v>
      </c>
      <c r="C1994" t="s">
        <v>360</v>
      </c>
      <c r="D1994" t="s">
        <v>3317</v>
      </c>
      <c r="E1994" t="s">
        <v>451</v>
      </c>
    </row>
    <row r="1995" spans="2:5">
      <c r="B1995" t="s">
        <v>3318</v>
      </c>
      <c r="C1995">
        <v>506910</v>
      </c>
      <c r="D1995" t="s">
        <v>360</v>
      </c>
      <c r="E1995" t="s">
        <v>520</v>
      </c>
    </row>
    <row r="1996" spans="2:5">
      <c r="B1996" t="s">
        <v>3319</v>
      </c>
      <c r="C1996">
        <v>506910</v>
      </c>
      <c r="D1996" t="s">
        <v>360</v>
      </c>
      <c r="E1996" t="s">
        <v>520</v>
      </c>
    </row>
    <row r="1997" spans="2:5">
      <c r="B1997" t="s">
        <v>3320</v>
      </c>
      <c r="C1997">
        <v>506943</v>
      </c>
      <c r="D1997" t="s">
        <v>3321</v>
      </c>
      <c r="E1997" t="s">
        <v>398</v>
      </c>
    </row>
    <row r="1998" spans="2:5">
      <c r="B1998" t="s">
        <v>3322</v>
      </c>
      <c r="C1998">
        <v>514034</v>
      </c>
      <c r="D1998" t="s">
        <v>3323</v>
      </c>
      <c r="E1998" t="s">
        <v>737</v>
      </c>
    </row>
    <row r="1999" spans="2:5">
      <c r="B1999" t="s">
        <v>3324</v>
      </c>
      <c r="C1999">
        <v>532605</v>
      </c>
      <c r="D1999" t="s">
        <v>3325</v>
      </c>
      <c r="E1999" t="s">
        <v>715</v>
      </c>
    </row>
    <row r="2000" spans="2:5">
      <c r="B2000" t="s">
        <v>3326</v>
      </c>
      <c r="C2000">
        <v>500223</v>
      </c>
      <c r="D2000" t="s">
        <v>360</v>
      </c>
      <c r="E2000" t="s">
        <v>375</v>
      </c>
    </row>
    <row r="2001" spans="2:5">
      <c r="B2001" t="s">
        <v>3327</v>
      </c>
      <c r="C2001">
        <v>524592</v>
      </c>
      <c r="D2001" t="s">
        <v>360</v>
      </c>
      <c r="E2001" t="s">
        <v>520</v>
      </c>
    </row>
    <row r="2002" spans="2:5">
      <c r="B2002" t="s">
        <v>3328</v>
      </c>
      <c r="C2002">
        <v>538837</v>
      </c>
      <c r="D2002" t="s">
        <v>360</v>
      </c>
      <c r="E2002" t="s">
        <v>366</v>
      </c>
    </row>
    <row r="2003" spans="2:5">
      <c r="B2003" t="s">
        <v>3329</v>
      </c>
      <c r="C2003">
        <v>524731</v>
      </c>
      <c r="D2003" t="s">
        <v>360</v>
      </c>
      <c r="E2003" t="s">
        <v>398</v>
      </c>
    </row>
    <row r="2004" spans="2:5">
      <c r="B2004" t="s">
        <v>3330</v>
      </c>
      <c r="C2004">
        <v>532617</v>
      </c>
      <c r="D2004" t="s">
        <v>3331</v>
      </c>
      <c r="E2004" t="s">
        <v>2497</v>
      </c>
    </row>
    <row r="2005" spans="2:5">
      <c r="B2005" t="s">
        <v>3332</v>
      </c>
      <c r="C2005">
        <v>532617</v>
      </c>
      <c r="D2005" t="s">
        <v>3331</v>
      </c>
      <c r="E2005" t="s">
        <v>2497</v>
      </c>
    </row>
    <row r="2006" spans="2:5">
      <c r="B2006" t="s">
        <v>3333</v>
      </c>
      <c r="C2006" t="s">
        <v>360</v>
      </c>
      <c r="D2006" t="s">
        <v>3334</v>
      </c>
      <c r="E2006" t="s">
        <v>371</v>
      </c>
    </row>
    <row r="2007" spans="2:5">
      <c r="B2007" t="s">
        <v>3335</v>
      </c>
      <c r="C2007">
        <v>538794</v>
      </c>
      <c r="D2007" t="s">
        <v>360</v>
      </c>
      <c r="E2007" t="s">
        <v>446</v>
      </c>
    </row>
    <row r="2008" spans="2:5">
      <c r="B2008" t="s">
        <v>3336</v>
      </c>
      <c r="C2008" t="s">
        <v>360</v>
      </c>
      <c r="D2008" t="s">
        <v>3337</v>
      </c>
      <c r="E2008" t="s">
        <v>371</v>
      </c>
    </row>
    <row r="2009" spans="2:5">
      <c r="B2009" t="s">
        <v>3338</v>
      </c>
      <c r="C2009">
        <v>517063</v>
      </c>
      <c r="D2009" t="s">
        <v>360</v>
      </c>
      <c r="E2009" t="s">
        <v>845</v>
      </c>
    </row>
    <row r="2010" spans="2:5">
      <c r="B2010" t="s">
        <v>3339</v>
      </c>
      <c r="C2010">
        <v>540850</v>
      </c>
      <c r="D2010" t="s">
        <v>360</v>
      </c>
      <c r="E2010" t="s">
        <v>420</v>
      </c>
    </row>
    <row r="2011" spans="2:5">
      <c r="B2011" t="s">
        <v>3340</v>
      </c>
      <c r="C2011">
        <v>531550</v>
      </c>
      <c r="D2011" t="s">
        <v>360</v>
      </c>
      <c r="E2011" t="s">
        <v>343</v>
      </c>
    </row>
    <row r="2012" spans="2:5">
      <c r="B2012" t="s">
        <v>3341</v>
      </c>
      <c r="C2012">
        <v>532771</v>
      </c>
      <c r="D2012" t="s">
        <v>3342</v>
      </c>
      <c r="E2012" t="s">
        <v>542</v>
      </c>
    </row>
    <row r="2013" spans="2:5">
      <c r="B2013" t="s">
        <v>3343</v>
      </c>
      <c r="C2013">
        <v>540651</v>
      </c>
      <c r="D2013" t="s">
        <v>360</v>
      </c>
      <c r="E2013" t="s">
        <v>658</v>
      </c>
    </row>
    <row r="2014" spans="2:5">
      <c r="B2014" t="s">
        <v>3344</v>
      </c>
      <c r="C2014">
        <v>780019</v>
      </c>
      <c r="D2014" t="s">
        <v>360</v>
      </c>
      <c r="E2014" t="s">
        <v>451</v>
      </c>
    </row>
    <row r="2015" spans="2:5">
      <c r="B2015" t="s">
        <v>3345</v>
      </c>
      <c r="C2015">
        <v>511618</v>
      </c>
      <c r="D2015" t="s">
        <v>3346</v>
      </c>
      <c r="E2015" t="s">
        <v>382</v>
      </c>
    </row>
    <row r="2016" spans="2:5">
      <c r="B2016" t="s">
        <v>3347</v>
      </c>
      <c r="C2016">
        <v>542653</v>
      </c>
      <c r="D2016" t="s">
        <v>3348</v>
      </c>
      <c r="E2016" t="s">
        <v>916</v>
      </c>
    </row>
    <row r="2017" spans="2:5">
      <c r="B2017" t="s">
        <v>3349</v>
      </c>
      <c r="C2017">
        <v>530405</v>
      </c>
      <c r="D2017" t="s">
        <v>360</v>
      </c>
      <c r="E2017" t="s">
        <v>343</v>
      </c>
    </row>
    <row r="2018" spans="2:5">
      <c r="B2018" t="s">
        <v>3350</v>
      </c>
      <c r="C2018">
        <v>533103</v>
      </c>
      <c r="D2018" t="s">
        <v>3351</v>
      </c>
      <c r="E2018" t="s">
        <v>375</v>
      </c>
    </row>
    <row r="2019" spans="2:5">
      <c r="B2019" t="s">
        <v>3352</v>
      </c>
      <c r="C2019">
        <v>511034</v>
      </c>
      <c r="D2019" t="s">
        <v>3353</v>
      </c>
      <c r="E2019" t="s">
        <v>423</v>
      </c>
    </row>
    <row r="2020" spans="2:5">
      <c r="B2020" t="s">
        <v>3354</v>
      </c>
      <c r="C2020">
        <v>507981</v>
      </c>
      <c r="D2020" t="s">
        <v>360</v>
      </c>
      <c r="E2020" t="s">
        <v>561</v>
      </c>
    </row>
    <row r="2021" spans="2:5">
      <c r="B2021" t="s">
        <v>3355</v>
      </c>
      <c r="C2021">
        <v>539947</v>
      </c>
      <c r="D2021" t="s">
        <v>360</v>
      </c>
      <c r="E2021" t="s">
        <v>380</v>
      </c>
    </row>
    <row r="2022" spans="2:5">
      <c r="B2022" t="s">
        <v>3356</v>
      </c>
      <c r="C2022">
        <v>532624</v>
      </c>
      <c r="D2022" t="s">
        <v>3357</v>
      </c>
      <c r="E2022" t="s">
        <v>1598</v>
      </c>
    </row>
    <row r="2023" spans="2:5">
      <c r="B2023" t="s">
        <v>3358</v>
      </c>
      <c r="C2023">
        <v>500227</v>
      </c>
      <c r="D2023" t="s">
        <v>3359</v>
      </c>
      <c r="E2023" t="s">
        <v>408</v>
      </c>
    </row>
    <row r="2024" spans="2:5">
      <c r="B2024" t="s">
        <v>3360</v>
      </c>
      <c r="C2024">
        <v>536773</v>
      </c>
      <c r="D2024" t="s">
        <v>3361</v>
      </c>
      <c r="E2024" t="s">
        <v>343</v>
      </c>
    </row>
    <row r="2025" spans="2:5">
      <c r="B2025" t="s">
        <v>3362</v>
      </c>
      <c r="C2025">
        <v>500378</v>
      </c>
      <c r="D2025" t="s">
        <v>3363</v>
      </c>
      <c r="E2025" t="s">
        <v>758</v>
      </c>
    </row>
    <row r="2026" spans="2:5">
      <c r="B2026" t="s">
        <v>3364</v>
      </c>
      <c r="C2026">
        <v>539597</v>
      </c>
      <c r="D2026" t="s">
        <v>3365</v>
      </c>
      <c r="E2026" t="s">
        <v>683</v>
      </c>
    </row>
    <row r="2027" spans="2:5">
      <c r="B2027" t="s">
        <v>3366</v>
      </c>
      <c r="C2027">
        <v>532508</v>
      </c>
      <c r="D2027" t="s">
        <v>3367</v>
      </c>
      <c r="E2027" t="s">
        <v>392</v>
      </c>
    </row>
    <row r="2028" spans="2:5">
      <c r="B2028" t="s">
        <v>3368</v>
      </c>
      <c r="C2028">
        <v>532286</v>
      </c>
      <c r="D2028" t="s">
        <v>3369</v>
      </c>
      <c r="E2028" t="s">
        <v>392</v>
      </c>
    </row>
    <row r="2029" spans="2:5">
      <c r="B2029" t="s">
        <v>3370</v>
      </c>
      <c r="C2029">
        <v>531543</v>
      </c>
      <c r="D2029" t="s">
        <v>3371</v>
      </c>
      <c r="E2029" t="s">
        <v>375</v>
      </c>
    </row>
    <row r="2030" spans="2:5">
      <c r="B2030" t="s">
        <v>3372</v>
      </c>
      <c r="C2030">
        <v>540311</v>
      </c>
      <c r="D2030" t="s">
        <v>3373</v>
      </c>
      <c r="E2030" t="s">
        <v>483</v>
      </c>
    </row>
    <row r="2031" spans="2:5">
      <c r="B2031" t="s">
        <v>3374</v>
      </c>
      <c r="C2031">
        <v>539225</v>
      </c>
      <c r="D2031" t="s">
        <v>360</v>
      </c>
      <c r="E2031" t="s">
        <v>385</v>
      </c>
    </row>
    <row r="2032" spans="2:5">
      <c r="B2032" t="s">
        <v>3375</v>
      </c>
      <c r="C2032">
        <v>536493</v>
      </c>
      <c r="D2032" t="s">
        <v>360</v>
      </c>
      <c r="E2032" t="s">
        <v>558</v>
      </c>
    </row>
    <row r="2033" spans="2:5">
      <c r="B2033" t="s">
        <v>3376</v>
      </c>
      <c r="C2033">
        <v>532644</v>
      </c>
      <c r="D2033" t="s">
        <v>3377</v>
      </c>
      <c r="E2033" t="s">
        <v>373</v>
      </c>
    </row>
    <row r="2034" spans="2:5">
      <c r="B2034" t="s">
        <v>3378</v>
      </c>
      <c r="C2034">
        <v>500380</v>
      </c>
      <c r="D2034" t="s">
        <v>3379</v>
      </c>
      <c r="E2034" t="s">
        <v>373</v>
      </c>
    </row>
    <row r="2035" spans="2:5">
      <c r="B2035" t="s">
        <v>3380</v>
      </c>
      <c r="C2035">
        <v>532162</v>
      </c>
      <c r="D2035" t="s">
        <v>3381</v>
      </c>
      <c r="E2035" t="s">
        <v>354</v>
      </c>
    </row>
    <row r="2036" spans="2:5">
      <c r="B2036" t="s">
        <v>3382</v>
      </c>
      <c r="C2036">
        <v>530007</v>
      </c>
      <c r="D2036" t="s">
        <v>3383</v>
      </c>
      <c r="E2036" t="s">
        <v>840</v>
      </c>
    </row>
    <row r="2037" spans="2:5">
      <c r="B2037" t="s">
        <v>3384</v>
      </c>
      <c r="C2037">
        <v>538765</v>
      </c>
      <c r="D2037" t="s">
        <v>360</v>
      </c>
      <c r="E2037" t="s">
        <v>3119</v>
      </c>
    </row>
    <row r="2038" spans="2:5">
      <c r="B2038" t="s">
        <v>3385</v>
      </c>
      <c r="C2038">
        <v>523405</v>
      </c>
      <c r="D2038" t="s">
        <v>3386</v>
      </c>
      <c r="E2038" t="s">
        <v>526</v>
      </c>
    </row>
    <row r="2039" spans="2:5">
      <c r="B2039" t="s">
        <v>3387</v>
      </c>
      <c r="C2039">
        <v>522263</v>
      </c>
      <c r="D2039" t="s">
        <v>3388</v>
      </c>
      <c r="E2039" t="s">
        <v>758</v>
      </c>
    </row>
    <row r="2040" spans="2:5">
      <c r="B2040" t="s">
        <v>3389</v>
      </c>
      <c r="C2040">
        <v>522263</v>
      </c>
      <c r="D2040" t="s">
        <v>3388</v>
      </c>
      <c r="E2040" t="s">
        <v>758</v>
      </c>
    </row>
    <row r="2041" spans="2:5">
      <c r="B2041" t="s">
        <v>3390</v>
      </c>
      <c r="C2041">
        <v>511092</v>
      </c>
      <c r="D2041" t="s">
        <v>360</v>
      </c>
      <c r="E2041" t="s">
        <v>363</v>
      </c>
    </row>
    <row r="2042" spans="2:5">
      <c r="B2042" t="s">
        <v>3391</v>
      </c>
      <c r="C2042">
        <v>523712</v>
      </c>
      <c r="D2042" t="s">
        <v>360</v>
      </c>
      <c r="E2042" t="s">
        <v>480</v>
      </c>
    </row>
    <row r="2043" spans="2:5">
      <c r="B2043" t="s">
        <v>3392</v>
      </c>
      <c r="C2043">
        <v>513691</v>
      </c>
      <c r="D2043" t="s">
        <v>3393</v>
      </c>
      <c r="E2043" t="s">
        <v>715</v>
      </c>
    </row>
    <row r="2044" spans="2:5">
      <c r="B2044" t="s">
        <v>3394</v>
      </c>
      <c r="C2044" t="s">
        <v>360</v>
      </c>
      <c r="D2044" t="s">
        <v>3395</v>
      </c>
      <c r="E2044" t="s">
        <v>451</v>
      </c>
    </row>
    <row r="2045" spans="2:5">
      <c r="B2045" t="s">
        <v>3396</v>
      </c>
      <c r="C2045">
        <v>523398</v>
      </c>
      <c r="D2045" t="s">
        <v>3397</v>
      </c>
      <c r="E2045" t="s">
        <v>729</v>
      </c>
    </row>
    <row r="2046" spans="2:5">
      <c r="B2046" t="s">
        <v>3398</v>
      </c>
      <c r="C2046">
        <v>523398</v>
      </c>
      <c r="D2046" t="s">
        <v>3397</v>
      </c>
      <c r="E2046" t="s">
        <v>729</v>
      </c>
    </row>
    <row r="2047" spans="2:5">
      <c r="B2047" t="s">
        <v>3399</v>
      </c>
      <c r="C2047">
        <v>531861</v>
      </c>
      <c r="D2047" t="s">
        <v>360</v>
      </c>
      <c r="E2047" t="s">
        <v>343</v>
      </c>
    </row>
    <row r="2048" spans="2:5">
      <c r="B2048" t="s">
        <v>3400</v>
      </c>
      <c r="C2048">
        <v>534659</v>
      </c>
      <c r="D2048" t="s">
        <v>360</v>
      </c>
      <c r="E2048" t="s">
        <v>346</v>
      </c>
    </row>
    <row r="2049" spans="2:5">
      <c r="B2049" t="s">
        <v>3401</v>
      </c>
      <c r="C2049">
        <v>542446</v>
      </c>
      <c r="D2049" t="s">
        <v>3402</v>
      </c>
      <c r="E2049" t="s">
        <v>444</v>
      </c>
    </row>
    <row r="2050" spans="2:5">
      <c r="B2050" t="s">
        <v>3403</v>
      </c>
      <c r="C2050">
        <v>538092</v>
      </c>
      <c r="D2050" t="s">
        <v>360</v>
      </c>
      <c r="E2050" t="s">
        <v>767</v>
      </c>
    </row>
    <row r="2051" spans="2:5">
      <c r="B2051" t="s">
        <v>3404</v>
      </c>
      <c r="C2051">
        <v>505750</v>
      </c>
      <c r="D2051" t="s">
        <v>360</v>
      </c>
      <c r="E2051" t="s">
        <v>368</v>
      </c>
    </row>
    <row r="2052" spans="2:5">
      <c r="B2052" t="s">
        <v>3405</v>
      </c>
      <c r="C2052">
        <v>508929</v>
      </c>
      <c r="D2052" t="s">
        <v>360</v>
      </c>
      <c r="E2052" t="s">
        <v>446</v>
      </c>
    </row>
    <row r="2053" spans="2:5">
      <c r="B2053" t="s">
        <v>3406</v>
      </c>
      <c r="C2053">
        <v>530985</v>
      </c>
      <c r="D2053" t="s">
        <v>360</v>
      </c>
      <c r="E2053" t="s">
        <v>377</v>
      </c>
    </row>
    <row r="2054" spans="2:5">
      <c r="B2054" t="s">
        <v>3407</v>
      </c>
      <c r="C2054">
        <v>506016</v>
      </c>
      <c r="D2054" t="s">
        <v>360</v>
      </c>
      <c r="E2054" t="s">
        <v>758</v>
      </c>
    </row>
    <row r="2055" spans="2:5">
      <c r="B2055" t="s">
        <v>3408</v>
      </c>
      <c r="C2055">
        <v>504080</v>
      </c>
      <c r="D2055" t="s">
        <v>360</v>
      </c>
      <c r="E2055" t="s">
        <v>658</v>
      </c>
    </row>
    <row r="2056" spans="2:5">
      <c r="B2056" t="s">
        <v>3409</v>
      </c>
      <c r="C2056">
        <v>533148</v>
      </c>
      <c r="D2056" t="s">
        <v>3410</v>
      </c>
      <c r="E2056" t="s">
        <v>499</v>
      </c>
    </row>
    <row r="2057" spans="2:5">
      <c r="B2057" t="s">
        <v>3411</v>
      </c>
      <c r="C2057">
        <v>532642</v>
      </c>
      <c r="D2057" t="s">
        <v>3412</v>
      </c>
      <c r="E2057" t="s">
        <v>526</v>
      </c>
    </row>
    <row r="2058" spans="2:5">
      <c r="B2058" t="s">
        <v>3413</v>
      </c>
      <c r="C2058">
        <v>500228</v>
      </c>
      <c r="D2058" t="s">
        <v>3414</v>
      </c>
      <c r="E2058" t="s">
        <v>392</v>
      </c>
    </row>
    <row r="2059" spans="2:5">
      <c r="B2059" t="s">
        <v>3415</v>
      </c>
      <c r="C2059">
        <v>520057</v>
      </c>
      <c r="D2059" t="s">
        <v>3416</v>
      </c>
      <c r="E2059" t="s">
        <v>715</v>
      </c>
    </row>
    <row r="2060" spans="2:5">
      <c r="B2060" t="s">
        <v>3417</v>
      </c>
      <c r="C2060">
        <v>520057</v>
      </c>
      <c r="D2060" t="s">
        <v>3418</v>
      </c>
      <c r="E2060" t="s">
        <v>715</v>
      </c>
    </row>
    <row r="2061" spans="2:5">
      <c r="B2061" t="s">
        <v>3419</v>
      </c>
      <c r="C2061">
        <v>534600</v>
      </c>
      <c r="D2061" t="s">
        <v>360</v>
      </c>
      <c r="E2061" t="s">
        <v>683</v>
      </c>
    </row>
    <row r="2062" spans="2:5">
      <c r="B2062" t="s">
        <v>3420</v>
      </c>
      <c r="C2062">
        <v>533155</v>
      </c>
      <c r="D2062" t="s">
        <v>3421</v>
      </c>
      <c r="E2062" t="s">
        <v>849</v>
      </c>
    </row>
    <row r="2063" spans="2:5">
      <c r="B2063" t="s">
        <v>3422</v>
      </c>
      <c r="C2063">
        <v>533320</v>
      </c>
      <c r="D2063" t="s">
        <v>3423</v>
      </c>
      <c r="E2063" t="s">
        <v>504</v>
      </c>
    </row>
    <row r="2064" spans="2:5">
      <c r="B2064" t="s">
        <v>3424</v>
      </c>
      <c r="C2064">
        <v>530019</v>
      </c>
      <c r="D2064" t="s">
        <v>3425</v>
      </c>
      <c r="E2064" t="s">
        <v>398</v>
      </c>
    </row>
    <row r="2065" spans="2:5">
      <c r="B2065" t="s">
        <v>3426</v>
      </c>
      <c r="C2065" t="s">
        <v>360</v>
      </c>
      <c r="D2065" t="s">
        <v>3427</v>
      </c>
      <c r="E2065" t="s">
        <v>451</v>
      </c>
    </row>
    <row r="2066" spans="2:5">
      <c r="B2066" t="s">
        <v>3428</v>
      </c>
      <c r="C2066">
        <v>516078</v>
      </c>
      <c r="D2066" t="s">
        <v>360</v>
      </c>
      <c r="E2066" t="s">
        <v>555</v>
      </c>
    </row>
    <row r="2067" spans="2:5">
      <c r="B2067" t="s">
        <v>3429</v>
      </c>
      <c r="C2067">
        <v>511060</v>
      </c>
      <c r="D2067" t="s">
        <v>360</v>
      </c>
      <c r="E2067" t="s">
        <v>781</v>
      </c>
    </row>
    <row r="2068" spans="2:5">
      <c r="B2068" t="s">
        <v>3430</v>
      </c>
      <c r="C2068">
        <v>539216</v>
      </c>
      <c r="D2068" t="s">
        <v>360</v>
      </c>
      <c r="E2068" t="s">
        <v>375</v>
      </c>
    </row>
    <row r="2069" spans="2:5">
      <c r="B2069" t="s">
        <v>3431</v>
      </c>
      <c r="C2069">
        <v>507987</v>
      </c>
      <c r="D2069" t="s">
        <v>360</v>
      </c>
      <c r="E2069" t="s">
        <v>377</v>
      </c>
    </row>
    <row r="2070" spans="2:5">
      <c r="B2070" t="s">
        <v>3432</v>
      </c>
      <c r="C2070">
        <v>534623</v>
      </c>
      <c r="D2070" t="s">
        <v>360</v>
      </c>
      <c r="E2070" t="s">
        <v>3119</v>
      </c>
    </row>
    <row r="2071" spans="2:5">
      <c r="B2071" t="s">
        <v>3433</v>
      </c>
      <c r="C2071">
        <v>535648</v>
      </c>
      <c r="D2071" t="s">
        <v>3434</v>
      </c>
      <c r="E2071" t="s">
        <v>884</v>
      </c>
    </row>
    <row r="2072" spans="2:5">
      <c r="B2072" t="s">
        <v>3435</v>
      </c>
      <c r="C2072">
        <v>531035</v>
      </c>
      <c r="D2072" t="s">
        <v>360</v>
      </c>
      <c r="E2072" t="s">
        <v>1017</v>
      </c>
    </row>
    <row r="2073" spans="2:5">
      <c r="B2073" t="s">
        <v>3436</v>
      </c>
      <c r="C2073">
        <v>519248</v>
      </c>
      <c r="D2073" t="s">
        <v>3437</v>
      </c>
      <c r="E2073" t="s">
        <v>609</v>
      </c>
    </row>
    <row r="2074" spans="2:5">
      <c r="B2074" t="s">
        <v>3438</v>
      </c>
      <c r="C2074">
        <v>542544</v>
      </c>
      <c r="D2074" t="s">
        <v>3439</v>
      </c>
      <c r="E2074" t="s">
        <v>343</v>
      </c>
    </row>
    <row r="2075" spans="2:5">
      <c r="B2075" t="s">
        <v>3440</v>
      </c>
      <c r="C2075">
        <v>532926</v>
      </c>
      <c r="D2075" t="s">
        <v>3441</v>
      </c>
      <c r="E2075" t="s">
        <v>2178</v>
      </c>
    </row>
    <row r="2076" spans="2:5">
      <c r="B2076" t="s">
        <v>3442</v>
      </c>
      <c r="C2076">
        <v>504076</v>
      </c>
      <c r="D2076" t="s">
        <v>360</v>
      </c>
      <c r="E2076" t="s">
        <v>403</v>
      </c>
    </row>
    <row r="2077" spans="2:5">
      <c r="B2077" t="s">
        <v>3443</v>
      </c>
      <c r="C2077">
        <v>514448</v>
      </c>
      <c r="D2077" t="s">
        <v>360</v>
      </c>
      <c r="E2077" t="s">
        <v>520</v>
      </c>
    </row>
    <row r="2078" spans="2:5">
      <c r="B2078" t="s">
        <v>3444</v>
      </c>
      <c r="C2078">
        <v>513250</v>
      </c>
      <c r="D2078" t="s">
        <v>3445</v>
      </c>
      <c r="E2078" t="s">
        <v>403</v>
      </c>
    </row>
    <row r="2079" spans="2:5">
      <c r="B2079" t="s">
        <v>3446</v>
      </c>
      <c r="C2079">
        <v>539246</v>
      </c>
      <c r="D2079" t="s">
        <v>360</v>
      </c>
      <c r="E2079" t="s">
        <v>382</v>
      </c>
    </row>
    <row r="2080" spans="2:5">
      <c r="B2080" t="s">
        <v>3447</v>
      </c>
      <c r="C2080">
        <v>532673</v>
      </c>
      <c r="D2080" t="s">
        <v>3448</v>
      </c>
      <c r="E2080" t="s">
        <v>1058</v>
      </c>
    </row>
    <row r="2081" spans="2:5">
      <c r="B2081" t="s">
        <v>3449</v>
      </c>
      <c r="C2081">
        <v>539686</v>
      </c>
      <c r="D2081" t="s">
        <v>360</v>
      </c>
      <c r="E2081" t="s">
        <v>499</v>
      </c>
    </row>
    <row r="2082" spans="2:5">
      <c r="B2082" t="s">
        <v>3450</v>
      </c>
      <c r="C2082">
        <v>532889</v>
      </c>
      <c r="D2082" t="s">
        <v>3451</v>
      </c>
      <c r="E2082" t="s">
        <v>375</v>
      </c>
    </row>
    <row r="2083" spans="2:5">
      <c r="B2083" t="s">
        <v>3452</v>
      </c>
      <c r="C2083">
        <v>511728</v>
      </c>
      <c r="D2083" t="s">
        <v>360</v>
      </c>
      <c r="E2083" t="s">
        <v>377</v>
      </c>
    </row>
    <row r="2084" spans="2:5">
      <c r="B2084" t="s">
        <v>3453</v>
      </c>
      <c r="C2084">
        <v>514360</v>
      </c>
      <c r="D2084" t="s">
        <v>360</v>
      </c>
      <c r="E2084" t="s">
        <v>758</v>
      </c>
    </row>
    <row r="2085" spans="2:5">
      <c r="B2085" t="s">
        <v>3454</v>
      </c>
      <c r="C2085">
        <v>542323</v>
      </c>
      <c r="D2085" t="s">
        <v>3455</v>
      </c>
      <c r="E2085" t="s">
        <v>499</v>
      </c>
    </row>
    <row r="2086" spans="2:5">
      <c r="B2086" t="s">
        <v>3456</v>
      </c>
      <c r="C2086">
        <v>540756</v>
      </c>
      <c r="D2086" t="s">
        <v>360</v>
      </c>
      <c r="E2086" t="s">
        <v>3140</v>
      </c>
    </row>
    <row r="2087" spans="2:5">
      <c r="B2087" t="s">
        <v>3457</v>
      </c>
      <c r="C2087">
        <v>539393</v>
      </c>
      <c r="D2087" t="s">
        <v>360</v>
      </c>
      <c r="E2087" t="s">
        <v>1037</v>
      </c>
    </row>
    <row r="2088" spans="2:5">
      <c r="B2088" t="s">
        <v>3458</v>
      </c>
      <c r="C2088">
        <v>524322</v>
      </c>
      <c r="D2088" t="s">
        <v>360</v>
      </c>
      <c r="E2088" t="s">
        <v>398</v>
      </c>
    </row>
    <row r="2089" spans="2:5">
      <c r="B2089" t="s">
        <v>3459</v>
      </c>
      <c r="C2089">
        <v>524109</v>
      </c>
      <c r="D2089" t="s">
        <v>3460</v>
      </c>
      <c r="E2089" t="s">
        <v>368</v>
      </c>
    </row>
    <row r="2090" spans="2:5">
      <c r="B2090" t="s">
        <v>3461</v>
      </c>
      <c r="C2090">
        <v>524675</v>
      </c>
      <c r="D2090" t="s">
        <v>360</v>
      </c>
      <c r="E2090" t="s">
        <v>382</v>
      </c>
    </row>
    <row r="2091" spans="2:5">
      <c r="B2091" t="s">
        <v>3462</v>
      </c>
      <c r="C2091">
        <v>531778</v>
      </c>
      <c r="D2091" t="s">
        <v>360</v>
      </c>
      <c r="E2091" t="s">
        <v>340</v>
      </c>
    </row>
    <row r="2092" spans="2:5">
      <c r="B2092" t="s">
        <v>3463</v>
      </c>
      <c r="C2092">
        <v>504840</v>
      </c>
      <c r="D2092" t="s">
        <v>360</v>
      </c>
      <c r="E2092" t="s">
        <v>555</v>
      </c>
    </row>
    <row r="2093" spans="2:5">
      <c r="B2093" t="s">
        <v>3464</v>
      </c>
      <c r="C2093">
        <v>531780</v>
      </c>
      <c r="D2093" t="s">
        <v>360</v>
      </c>
      <c r="E2093" t="s">
        <v>382</v>
      </c>
    </row>
    <row r="2094" spans="2:5">
      <c r="B2094" t="s">
        <v>3465</v>
      </c>
      <c r="C2094">
        <v>500233</v>
      </c>
      <c r="D2094" t="s">
        <v>3466</v>
      </c>
      <c r="E2094" t="s">
        <v>637</v>
      </c>
    </row>
    <row r="2095" spans="2:5">
      <c r="B2095" t="s">
        <v>3467</v>
      </c>
      <c r="C2095">
        <v>500234</v>
      </c>
      <c r="D2095" t="s">
        <v>3468</v>
      </c>
      <c r="E2095" t="s">
        <v>373</v>
      </c>
    </row>
    <row r="2096" spans="2:5">
      <c r="B2096" t="s">
        <v>3469</v>
      </c>
      <c r="C2096">
        <v>521054</v>
      </c>
      <c r="D2096" t="s">
        <v>360</v>
      </c>
      <c r="E2096" t="s">
        <v>375</v>
      </c>
    </row>
    <row r="2097" spans="2:5">
      <c r="B2097" t="s">
        <v>3470</v>
      </c>
      <c r="C2097">
        <v>530201</v>
      </c>
      <c r="D2097" t="s">
        <v>360</v>
      </c>
      <c r="E2097" t="s">
        <v>375</v>
      </c>
    </row>
    <row r="2098" spans="2:5">
      <c r="B2098" t="s">
        <v>3471</v>
      </c>
      <c r="C2098">
        <v>539014</v>
      </c>
      <c r="D2098" t="s">
        <v>360</v>
      </c>
      <c r="E2098" t="s">
        <v>382</v>
      </c>
    </row>
    <row r="2099" spans="2:5">
      <c r="B2099" t="s">
        <v>3472</v>
      </c>
      <c r="C2099">
        <v>522287</v>
      </c>
      <c r="D2099" t="s">
        <v>3473</v>
      </c>
      <c r="E2099" t="s">
        <v>403</v>
      </c>
    </row>
    <row r="2100" spans="2:5">
      <c r="B2100" t="s">
        <v>3474</v>
      </c>
      <c r="C2100" t="s">
        <v>360</v>
      </c>
      <c r="D2100" t="s">
        <v>3475</v>
      </c>
      <c r="E2100" t="s">
        <v>451</v>
      </c>
    </row>
    <row r="2101" spans="2:5">
      <c r="B2101" t="s">
        <v>3476</v>
      </c>
      <c r="C2101">
        <v>513509</v>
      </c>
      <c r="D2101" t="s">
        <v>3477</v>
      </c>
      <c r="E2101" t="s">
        <v>715</v>
      </c>
    </row>
    <row r="2102" spans="2:5">
      <c r="B2102" t="s">
        <v>3478</v>
      </c>
      <c r="C2102">
        <v>533302</v>
      </c>
      <c r="D2102" t="s">
        <v>3479</v>
      </c>
      <c r="E2102" t="s">
        <v>380</v>
      </c>
    </row>
    <row r="2103" spans="2:5">
      <c r="B2103" t="s">
        <v>3480</v>
      </c>
      <c r="C2103">
        <v>500235</v>
      </c>
      <c r="D2103" t="s">
        <v>3481</v>
      </c>
      <c r="E2103" t="s">
        <v>392</v>
      </c>
    </row>
    <row r="2104" spans="2:5">
      <c r="B2104" t="s">
        <v>3482</v>
      </c>
      <c r="C2104">
        <v>532468</v>
      </c>
      <c r="D2104" t="s">
        <v>360</v>
      </c>
      <c r="E2104" t="s">
        <v>526</v>
      </c>
    </row>
    <row r="2105" spans="2:5">
      <c r="B2105" t="s">
        <v>3483</v>
      </c>
      <c r="C2105">
        <v>514322</v>
      </c>
      <c r="D2105" t="s">
        <v>360</v>
      </c>
      <c r="E2105" t="s">
        <v>375</v>
      </c>
    </row>
    <row r="2106" spans="2:5">
      <c r="B2106" t="s">
        <v>3484</v>
      </c>
      <c r="C2106">
        <v>511131</v>
      </c>
      <c r="D2106" t="s">
        <v>360</v>
      </c>
      <c r="E2106" t="s">
        <v>446</v>
      </c>
    </row>
    <row r="2107" spans="2:5">
      <c r="B2107" t="s">
        <v>3485</v>
      </c>
      <c r="C2107">
        <v>526668</v>
      </c>
      <c r="D2107" t="s">
        <v>3486</v>
      </c>
      <c r="E2107" t="s">
        <v>561</v>
      </c>
    </row>
    <row r="2108" spans="2:5">
      <c r="B2108" t="s">
        <v>3487</v>
      </c>
      <c r="C2108">
        <v>532741</v>
      </c>
      <c r="D2108" t="s">
        <v>3488</v>
      </c>
      <c r="E2108" t="s">
        <v>392</v>
      </c>
    </row>
    <row r="2109" spans="2:5">
      <c r="B2109" t="s">
        <v>3489</v>
      </c>
      <c r="C2109">
        <v>524604</v>
      </c>
      <c r="D2109" t="s">
        <v>360</v>
      </c>
      <c r="E2109" t="s">
        <v>398</v>
      </c>
    </row>
    <row r="2110" spans="2:5">
      <c r="B2110" t="s">
        <v>3490</v>
      </c>
      <c r="C2110">
        <v>780003</v>
      </c>
      <c r="D2110" t="s">
        <v>360</v>
      </c>
      <c r="E2110" t="s">
        <v>451</v>
      </c>
    </row>
    <row r="2111" spans="2:5">
      <c r="B2111" t="s">
        <v>3491</v>
      </c>
      <c r="C2111">
        <v>506184</v>
      </c>
      <c r="D2111" t="s">
        <v>3492</v>
      </c>
      <c r="E2111" t="s">
        <v>474</v>
      </c>
    </row>
    <row r="2112" spans="2:5">
      <c r="B2112" t="s">
        <v>3493</v>
      </c>
      <c r="C2112">
        <v>538896</v>
      </c>
      <c r="D2112" t="s">
        <v>360</v>
      </c>
      <c r="E2112" t="s">
        <v>408</v>
      </c>
    </row>
    <row r="2113" spans="2:5">
      <c r="B2113" t="s">
        <v>3494</v>
      </c>
      <c r="C2113">
        <v>541005</v>
      </c>
      <c r="D2113" t="s">
        <v>360</v>
      </c>
      <c r="E2113" t="s">
        <v>767</v>
      </c>
    </row>
    <row r="2114" spans="2:5">
      <c r="B2114" t="s">
        <v>3495</v>
      </c>
      <c r="C2114">
        <v>521242</v>
      </c>
      <c r="D2114" t="s">
        <v>360</v>
      </c>
      <c r="E2114" t="s">
        <v>375</v>
      </c>
    </row>
    <row r="2115" spans="2:5">
      <c r="B2115" t="s">
        <v>3496</v>
      </c>
      <c r="C2115">
        <v>500236</v>
      </c>
      <c r="D2115" t="s">
        <v>3497</v>
      </c>
      <c r="E2115" t="s">
        <v>726</v>
      </c>
    </row>
    <row r="2116" spans="2:5">
      <c r="B2116" t="s">
        <v>3498</v>
      </c>
      <c r="C2116">
        <v>513456</v>
      </c>
      <c r="D2116" t="s">
        <v>360</v>
      </c>
      <c r="E2116" t="s">
        <v>683</v>
      </c>
    </row>
    <row r="2117" spans="2:5">
      <c r="B2117" t="s">
        <v>3499</v>
      </c>
      <c r="C2117">
        <v>506525</v>
      </c>
      <c r="D2117" t="s">
        <v>3500</v>
      </c>
      <c r="E2117" t="s">
        <v>408</v>
      </c>
    </row>
    <row r="2118" spans="2:5">
      <c r="B2118" t="s">
        <v>3501</v>
      </c>
      <c r="C2118">
        <v>507779</v>
      </c>
      <c r="D2118" t="s">
        <v>360</v>
      </c>
      <c r="E2118" t="s">
        <v>555</v>
      </c>
    </row>
    <row r="2119" spans="2:5">
      <c r="B2119" t="s">
        <v>3502</v>
      </c>
      <c r="C2119">
        <v>500165</v>
      </c>
      <c r="D2119" t="s">
        <v>3503</v>
      </c>
      <c r="E2119" t="s">
        <v>637</v>
      </c>
    </row>
    <row r="2120" spans="2:5">
      <c r="B2120" t="s">
        <v>3504</v>
      </c>
      <c r="C2120">
        <v>540515</v>
      </c>
      <c r="D2120" t="s">
        <v>360</v>
      </c>
      <c r="E2120" t="s">
        <v>343</v>
      </c>
    </row>
    <row r="2121" spans="2:5">
      <c r="B2121" t="s">
        <v>3505</v>
      </c>
      <c r="C2121">
        <v>512399</v>
      </c>
      <c r="D2121" t="s">
        <v>360</v>
      </c>
      <c r="E2121" t="s">
        <v>343</v>
      </c>
    </row>
    <row r="2122" spans="2:5">
      <c r="B2122" t="s">
        <v>3506</v>
      </c>
      <c r="C2122">
        <v>512036</v>
      </c>
      <c r="D2122" t="s">
        <v>360</v>
      </c>
      <c r="E2122" t="s">
        <v>375</v>
      </c>
    </row>
    <row r="2123" spans="2:5">
      <c r="B2123" t="s">
        <v>3507</v>
      </c>
      <c r="C2123">
        <v>539679</v>
      </c>
      <c r="D2123" t="s">
        <v>360</v>
      </c>
      <c r="E2123" t="s">
        <v>377</v>
      </c>
    </row>
    <row r="2124" spans="2:5">
      <c r="B2124" t="s">
        <v>3508</v>
      </c>
      <c r="C2124" t="s">
        <v>360</v>
      </c>
      <c r="D2124" t="s">
        <v>3509</v>
      </c>
      <c r="E2124" t="s">
        <v>371</v>
      </c>
    </row>
    <row r="2125" spans="2:5">
      <c r="B2125" t="s">
        <v>3510</v>
      </c>
      <c r="C2125">
        <v>526115</v>
      </c>
      <c r="D2125" t="s">
        <v>360</v>
      </c>
      <c r="E2125" t="s">
        <v>474</v>
      </c>
    </row>
    <row r="2126" spans="2:5">
      <c r="B2126" t="s">
        <v>3511</v>
      </c>
      <c r="C2126">
        <v>541161</v>
      </c>
      <c r="D2126" t="s">
        <v>3512</v>
      </c>
      <c r="E2126" t="s">
        <v>446</v>
      </c>
    </row>
    <row r="2127" spans="2:5">
      <c r="B2127" t="s">
        <v>3513</v>
      </c>
      <c r="C2127">
        <v>533451</v>
      </c>
      <c r="D2127" t="s">
        <v>3514</v>
      </c>
      <c r="E2127" t="s">
        <v>499</v>
      </c>
    </row>
    <row r="2128" spans="2:5">
      <c r="B2128" t="s">
        <v>3515</v>
      </c>
      <c r="C2128">
        <v>538928</v>
      </c>
      <c r="D2128" t="s">
        <v>360</v>
      </c>
      <c r="E2128" t="s">
        <v>377</v>
      </c>
    </row>
    <row r="2129" spans="2:5">
      <c r="B2129" t="s">
        <v>3516</v>
      </c>
      <c r="C2129">
        <v>537784</v>
      </c>
      <c r="D2129" t="s">
        <v>360</v>
      </c>
      <c r="E2129" t="s">
        <v>781</v>
      </c>
    </row>
    <row r="2130" spans="2:5">
      <c r="B2130" t="s">
        <v>3517</v>
      </c>
      <c r="C2130">
        <v>590003</v>
      </c>
      <c r="D2130" t="s">
        <v>3518</v>
      </c>
      <c r="E2130" t="s">
        <v>678</v>
      </c>
    </row>
    <row r="2131" spans="2:5">
      <c r="B2131" t="s">
        <v>3519</v>
      </c>
      <c r="C2131">
        <v>531687</v>
      </c>
      <c r="D2131" t="s">
        <v>3520</v>
      </c>
      <c r="E2131" t="s">
        <v>558</v>
      </c>
    </row>
    <row r="2132" spans="2:5">
      <c r="B2132" t="s">
        <v>3521</v>
      </c>
      <c r="C2132">
        <v>539533</v>
      </c>
      <c r="D2132" t="s">
        <v>360</v>
      </c>
      <c r="E2132" t="s">
        <v>343</v>
      </c>
    </row>
    <row r="2133" spans="2:5">
      <c r="B2133" t="s">
        <v>3522</v>
      </c>
      <c r="C2133">
        <v>502933</v>
      </c>
      <c r="D2133" t="s">
        <v>360</v>
      </c>
      <c r="E2133" t="s">
        <v>375</v>
      </c>
    </row>
    <row r="2134" spans="2:5">
      <c r="B2134" t="s">
        <v>3523</v>
      </c>
      <c r="C2134">
        <v>532925</v>
      </c>
      <c r="D2134" t="s">
        <v>3524</v>
      </c>
      <c r="E2134" t="s">
        <v>758</v>
      </c>
    </row>
    <row r="2135" spans="2:5">
      <c r="B2135" t="s">
        <v>3525</v>
      </c>
      <c r="C2135">
        <v>532899</v>
      </c>
      <c r="D2135" t="s">
        <v>3526</v>
      </c>
      <c r="E2135" t="s">
        <v>558</v>
      </c>
    </row>
    <row r="2136" spans="2:5">
      <c r="B2136" t="s">
        <v>3527</v>
      </c>
      <c r="C2136">
        <v>524444</v>
      </c>
      <c r="D2136" t="s">
        <v>360</v>
      </c>
      <c r="E2136" t="s">
        <v>609</v>
      </c>
    </row>
    <row r="2137" spans="2:5">
      <c r="B2137" t="s">
        <v>3528</v>
      </c>
      <c r="C2137">
        <v>535136</v>
      </c>
      <c r="D2137" t="s">
        <v>360</v>
      </c>
      <c r="E2137" t="s">
        <v>375</v>
      </c>
    </row>
    <row r="2138" spans="2:5">
      <c r="B2138" t="s">
        <v>3529</v>
      </c>
      <c r="C2138">
        <v>590041</v>
      </c>
      <c r="D2138" t="s">
        <v>3530</v>
      </c>
      <c r="E2138" t="s">
        <v>506</v>
      </c>
    </row>
    <row r="2139" spans="2:5">
      <c r="B2139" t="s">
        <v>3531</v>
      </c>
      <c r="C2139">
        <v>530255</v>
      </c>
      <c r="D2139" t="s">
        <v>360</v>
      </c>
      <c r="E2139" t="s">
        <v>354</v>
      </c>
    </row>
    <row r="2140" spans="2:5">
      <c r="B2140" t="s">
        <v>3532</v>
      </c>
      <c r="C2140">
        <v>539276</v>
      </c>
      <c r="D2140" t="s">
        <v>3533</v>
      </c>
      <c r="E2140" t="s">
        <v>3140</v>
      </c>
    </row>
    <row r="2141" spans="2:5">
      <c r="B2141" t="s">
        <v>3534</v>
      </c>
      <c r="C2141">
        <v>504084</v>
      </c>
      <c r="D2141" t="s">
        <v>360</v>
      </c>
      <c r="E2141" t="s">
        <v>658</v>
      </c>
    </row>
    <row r="2142" spans="2:5">
      <c r="B2142" t="s">
        <v>3535</v>
      </c>
      <c r="C2142">
        <v>539562</v>
      </c>
      <c r="D2142" t="s">
        <v>360</v>
      </c>
      <c r="E2142" t="s">
        <v>343</v>
      </c>
    </row>
    <row r="2143" spans="2:5">
      <c r="B2143" t="s">
        <v>3536</v>
      </c>
      <c r="C2143">
        <v>530357</v>
      </c>
      <c r="D2143" t="s">
        <v>360</v>
      </c>
      <c r="E2143" t="s">
        <v>343</v>
      </c>
    </row>
    <row r="2144" spans="2:5">
      <c r="B2144" t="s">
        <v>3537</v>
      </c>
      <c r="C2144">
        <v>530357</v>
      </c>
      <c r="D2144" t="s">
        <v>360</v>
      </c>
      <c r="E2144" t="s">
        <v>343</v>
      </c>
    </row>
    <row r="2145" spans="2:5">
      <c r="B2145" t="s">
        <v>3538</v>
      </c>
      <c r="C2145">
        <v>526067</v>
      </c>
      <c r="D2145" t="s">
        <v>360</v>
      </c>
      <c r="E2145" t="s">
        <v>555</v>
      </c>
    </row>
    <row r="2146" spans="2:5">
      <c r="B2146" t="s">
        <v>3539</v>
      </c>
      <c r="C2146">
        <v>531784</v>
      </c>
      <c r="D2146" t="s">
        <v>360</v>
      </c>
      <c r="E2146" t="s">
        <v>758</v>
      </c>
    </row>
    <row r="2147" spans="2:5">
      <c r="B2147" t="s">
        <v>3540</v>
      </c>
      <c r="C2147">
        <v>590066</v>
      </c>
      <c r="D2147" t="s">
        <v>3541</v>
      </c>
      <c r="E2147" t="s">
        <v>373</v>
      </c>
    </row>
    <row r="2148" spans="2:5">
      <c r="B2148" t="s">
        <v>3542</v>
      </c>
      <c r="C2148">
        <v>533192</v>
      </c>
      <c r="D2148" t="s">
        <v>3543</v>
      </c>
      <c r="E2148" t="s">
        <v>1058</v>
      </c>
    </row>
    <row r="2149" spans="2:5">
      <c r="B2149" t="s">
        <v>3544</v>
      </c>
      <c r="C2149">
        <v>540385</v>
      </c>
      <c r="D2149" t="s">
        <v>360</v>
      </c>
      <c r="E2149" t="s">
        <v>343</v>
      </c>
    </row>
    <row r="2150" spans="2:5">
      <c r="B2150" t="s">
        <v>3545</v>
      </c>
      <c r="C2150">
        <v>532054</v>
      </c>
      <c r="D2150" t="s">
        <v>3546</v>
      </c>
      <c r="E2150" t="s">
        <v>474</v>
      </c>
    </row>
    <row r="2151" spans="2:5">
      <c r="B2151" t="s">
        <v>3547</v>
      </c>
      <c r="C2151">
        <v>532714</v>
      </c>
      <c r="D2151" t="s">
        <v>3548</v>
      </c>
      <c r="E2151" t="s">
        <v>403</v>
      </c>
    </row>
    <row r="2152" spans="2:5">
      <c r="B2152" t="s">
        <v>3549</v>
      </c>
      <c r="C2152">
        <v>508993</v>
      </c>
      <c r="D2152" t="s">
        <v>360</v>
      </c>
      <c r="E2152" t="s">
        <v>446</v>
      </c>
    </row>
    <row r="2153" spans="2:5">
      <c r="B2153" t="s">
        <v>3550</v>
      </c>
      <c r="C2153">
        <v>518011</v>
      </c>
      <c r="D2153" t="s">
        <v>360</v>
      </c>
      <c r="E2153" t="s">
        <v>373</v>
      </c>
    </row>
    <row r="2154" spans="2:5">
      <c r="B2154" t="s">
        <v>3551</v>
      </c>
      <c r="C2154" t="s">
        <v>360</v>
      </c>
      <c r="D2154" t="s">
        <v>3552</v>
      </c>
      <c r="E2154" t="s">
        <v>371</v>
      </c>
    </row>
    <row r="2155" spans="2:5">
      <c r="B2155" t="s">
        <v>3553</v>
      </c>
      <c r="C2155">
        <v>517569</v>
      </c>
      <c r="D2155" t="s">
        <v>3554</v>
      </c>
      <c r="E2155" t="s">
        <v>658</v>
      </c>
    </row>
    <row r="2156" spans="2:5">
      <c r="B2156" t="s">
        <v>3555</v>
      </c>
      <c r="C2156">
        <v>519602</v>
      </c>
      <c r="D2156" t="s">
        <v>3556</v>
      </c>
      <c r="E2156" t="s">
        <v>453</v>
      </c>
    </row>
    <row r="2157" spans="2:5">
      <c r="B2157" t="s">
        <v>3557</v>
      </c>
      <c r="C2157">
        <v>506528</v>
      </c>
      <c r="D2157" t="s">
        <v>360</v>
      </c>
      <c r="E2157" t="s">
        <v>520</v>
      </c>
    </row>
    <row r="2158" spans="2:5">
      <c r="B2158" t="s">
        <v>3558</v>
      </c>
      <c r="C2158">
        <v>531163</v>
      </c>
      <c r="D2158" t="s">
        <v>3559</v>
      </c>
      <c r="E2158" t="s">
        <v>520</v>
      </c>
    </row>
    <row r="2159" spans="2:5">
      <c r="B2159" t="s">
        <v>3560</v>
      </c>
      <c r="C2159">
        <v>506530</v>
      </c>
      <c r="D2159" t="s">
        <v>360</v>
      </c>
      <c r="E2159" t="s">
        <v>555</v>
      </c>
    </row>
    <row r="2160" spans="2:5">
      <c r="B2160" t="s">
        <v>3561</v>
      </c>
      <c r="C2160">
        <v>505890</v>
      </c>
      <c r="D2160" t="s">
        <v>360</v>
      </c>
      <c r="E2160" t="s">
        <v>368</v>
      </c>
    </row>
    <row r="2161" spans="2:5">
      <c r="B2161" t="s">
        <v>3562</v>
      </c>
      <c r="C2161">
        <v>505890</v>
      </c>
      <c r="D2161" t="s">
        <v>360</v>
      </c>
      <c r="E2161" t="s">
        <v>368</v>
      </c>
    </row>
    <row r="2162" spans="2:5">
      <c r="B2162" t="s">
        <v>3563</v>
      </c>
      <c r="C2162">
        <v>540953</v>
      </c>
      <c r="D2162" t="s">
        <v>360</v>
      </c>
      <c r="E2162" t="s">
        <v>474</v>
      </c>
    </row>
    <row r="2163" spans="2:5">
      <c r="B2163" t="s">
        <v>3564</v>
      </c>
      <c r="C2163">
        <v>530163</v>
      </c>
      <c r="D2163" t="s">
        <v>360</v>
      </c>
      <c r="E2163" t="s">
        <v>398</v>
      </c>
    </row>
    <row r="2164" spans="2:5">
      <c r="B2164" t="s">
        <v>3565</v>
      </c>
      <c r="C2164">
        <v>532686</v>
      </c>
      <c r="D2164" t="s">
        <v>3566</v>
      </c>
      <c r="E2164" t="s">
        <v>483</v>
      </c>
    </row>
    <row r="2165" spans="2:5">
      <c r="B2165" t="s">
        <v>3567</v>
      </c>
      <c r="C2165">
        <v>532686</v>
      </c>
      <c r="D2165" t="s">
        <v>3566</v>
      </c>
      <c r="E2165" t="s">
        <v>483</v>
      </c>
    </row>
    <row r="2166" spans="2:5">
      <c r="B2166" t="s">
        <v>3568</v>
      </c>
      <c r="C2166">
        <v>507180</v>
      </c>
      <c r="D2166" t="s">
        <v>3569</v>
      </c>
      <c r="E2166" t="s">
        <v>1058</v>
      </c>
    </row>
    <row r="2167" spans="2:5">
      <c r="B2167" t="s">
        <v>3570</v>
      </c>
      <c r="C2167">
        <v>524174</v>
      </c>
      <c r="D2167" t="s">
        <v>360</v>
      </c>
      <c r="E2167" t="s">
        <v>408</v>
      </c>
    </row>
    <row r="2168" spans="2:5">
      <c r="B2168" t="s">
        <v>3571</v>
      </c>
      <c r="C2168">
        <v>533289</v>
      </c>
      <c r="D2168" t="s">
        <v>3572</v>
      </c>
      <c r="E2168" t="s">
        <v>681</v>
      </c>
    </row>
    <row r="2169" spans="2:5">
      <c r="B2169" t="s">
        <v>3573</v>
      </c>
      <c r="C2169">
        <v>502937</v>
      </c>
      <c r="D2169" t="s">
        <v>3574</v>
      </c>
      <c r="E2169" t="s">
        <v>349</v>
      </c>
    </row>
    <row r="2170" spans="2:5">
      <c r="B2170" t="s">
        <v>3575</v>
      </c>
      <c r="C2170">
        <v>532732</v>
      </c>
      <c r="D2170" t="s">
        <v>3576</v>
      </c>
      <c r="E2170" t="s">
        <v>474</v>
      </c>
    </row>
    <row r="2171" spans="2:5">
      <c r="B2171" t="s">
        <v>3577</v>
      </c>
      <c r="C2171">
        <v>507948</v>
      </c>
      <c r="D2171" t="s">
        <v>360</v>
      </c>
      <c r="E2171" t="s">
        <v>377</v>
      </c>
    </row>
    <row r="2172" spans="2:5">
      <c r="B2172" t="s">
        <v>3578</v>
      </c>
      <c r="C2172">
        <v>512597</v>
      </c>
      <c r="D2172" t="s">
        <v>3579</v>
      </c>
      <c r="E2172" t="s">
        <v>377</v>
      </c>
    </row>
    <row r="2173" spans="2:5">
      <c r="B2173" t="s">
        <v>3580</v>
      </c>
      <c r="C2173" t="s">
        <v>360</v>
      </c>
      <c r="D2173" t="s">
        <v>3581</v>
      </c>
      <c r="E2173" t="s">
        <v>377</v>
      </c>
    </row>
    <row r="2174" spans="2:5">
      <c r="B2174" t="s">
        <v>3582</v>
      </c>
      <c r="C2174">
        <v>500239</v>
      </c>
      <c r="D2174" t="s">
        <v>360</v>
      </c>
      <c r="E2174" t="s">
        <v>375</v>
      </c>
    </row>
    <row r="2175" spans="2:5">
      <c r="B2175" t="s">
        <v>3583</v>
      </c>
      <c r="C2175">
        <v>531609</v>
      </c>
      <c r="D2175" t="s">
        <v>360</v>
      </c>
      <c r="E2175" t="s">
        <v>555</v>
      </c>
    </row>
    <row r="2176" spans="2:5">
      <c r="B2176" t="s">
        <v>3584</v>
      </c>
      <c r="C2176">
        <v>540775</v>
      </c>
      <c r="D2176" t="s">
        <v>3585</v>
      </c>
      <c r="E2176" t="s">
        <v>786</v>
      </c>
    </row>
    <row r="2177" spans="2:5">
      <c r="B2177" t="s">
        <v>3586</v>
      </c>
      <c r="C2177">
        <v>540775</v>
      </c>
      <c r="D2177" t="s">
        <v>3585</v>
      </c>
      <c r="E2177" t="s">
        <v>786</v>
      </c>
    </row>
    <row r="2178" spans="2:5">
      <c r="B2178" t="s">
        <v>3587</v>
      </c>
      <c r="C2178">
        <v>590068</v>
      </c>
      <c r="D2178" t="s">
        <v>3588</v>
      </c>
      <c r="E2178" t="s">
        <v>382</v>
      </c>
    </row>
    <row r="2179" spans="2:5">
      <c r="B2179" t="s">
        <v>3589</v>
      </c>
      <c r="C2179">
        <v>507794</v>
      </c>
      <c r="D2179" t="s">
        <v>360</v>
      </c>
      <c r="E2179" t="s">
        <v>868</v>
      </c>
    </row>
    <row r="2180" spans="2:5">
      <c r="B2180" t="s">
        <v>3590</v>
      </c>
      <c r="C2180">
        <v>504269</v>
      </c>
      <c r="D2180" t="s">
        <v>3591</v>
      </c>
      <c r="E2180" t="s">
        <v>1124</v>
      </c>
    </row>
    <row r="2181" spans="2:5">
      <c r="B2181" t="s">
        <v>3592</v>
      </c>
      <c r="C2181">
        <v>590068</v>
      </c>
      <c r="D2181" t="s">
        <v>3588</v>
      </c>
      <c r="E2181" t="s">
        <v>382</v>
      </c>
    </row>
    <row r="2182" spans="2:5">
      <c r="B2182" t="s">
        <v>3593</v>
      </c>
      <c r="C2182">
        <v>519064</v>
      </c>
      <c r="D2182" t="s">
        <v>360</v>
      </c>
      <c r="E2182" t="s">
        <v>558</v>
      </c>
    </row>
    <row r="2183" spans="2:5">
      <c r="B2183" t="s">
        <v>3594</v>
      </c>
      <c r="C2183">
        <v>531892</v>
      </c>
      <c r="D2183" t="s">
        <v>3595</v>
      </c>
      <c r="E2183" t="s">
        <v>343</v>
      </c>
    </row>
    <row r="2184" spans="2:5">
      <c r="B2184" t="s">
        <v>3596</v>
      </c>
      <c r="C2184">
        <v>506178</v>
      </c>
      <c r="D2184" t="s">
        <v>360</v>
      </c>
      <c r="E2184" t="s">
        <v>382</v>
      </c>
    </row>
    <row r="2185" spans="2:5">
      <c r="B2185" t="s">
        <v>3597</v>
      </c>
      <c r="C2185">
        <v>521127</v>
      </c>
      <c r="D2185" t="s">
        <v>360</v>
      </c>
      <c r="E2185" t="s">
        <v>375</v>
      </c>
    </row>
    <row r="2186" spans="2:5">
      <c r="B2186" t="s">
        <v>3598</v>
      </c>
      <c r="C2186">
        <v>539788</v>
      </c>
      <c r="D2186" t="s">
        <v>360</v>
      </c>
      <c r="E2186" t="s">
        <v>394</v>
      </c>
    </row>
    <row r="2187" spans="2:5">
      <c r="B2187" t="s">
        <v>3599</v>
      </c>
      <c r="C2187">
        <v>507435</v>
      </c>
      <c r="D2187" t="s">
        <v>360</v>
      </c>
      <c r="E2187" t="s">
        <v>991</v>
      </c>
    </row>
    <row r="2188" spans="2:5">
      <c r="B2188" t="s">
        <v>3600</v>
      </c>
      <c r="C2188">
        <v>507435</v>
      </c>
      <c r="D2188" t="s">
        <v>360</v>
      </c>
      <c r="E2188" t="s">
        <v>991</v>
      </c>
    </row>
    <row r="2189" spans="2:5">
      <c r="B2189" t="s">
        <v>3601</v>
      </c>
      <c r="C2189">
        <v>535730</v>
      </c>
      <c r="D2189" t="s">
        <v>360</v>
      </c>
      <c r="E2189" t="s">
        <v>375</v>
      </c>
    </row>
    <row r="2190" spans="2:5">
      <c r="B2190" t="s">
        <v>3602</v>
      </c>
      <c r="C2190">
        <v>531692</v>
      </c>
      <c r="D2190" t="s">
        <v>360</v>
      </c>
      <c r="E2190" t="s">
        <v>561</v>
      </c>
    </row>
    <row r="2191" spans="2:5">
      <c r="B2191" t="s">
        <v>3603</v>
      </c>
      <c r="C2191">
        <v>513693</v>
      </c>
      <c r="D2191" t="s">
        <v>360</v>
      </c>
      <c r="E2191" t="s">
        <v>392</v>
      </c>
    </row>
    <row r="2192" spans="2:5">
      <c r="B2192" t="s">
        <v>3604</v>
      </c>
      <c r="C2192">
        <v>540812</v>
      </c>
      <c r="D2192" t="s">
        <v>360</v>
      </c>
      <c r="E2192" t="s">
        <v>830</v>
      </c>
    </row>
    <row r="2193" spans="2:5">
      <c r="B2193" t="s">
        <v>3605</v>
      </c>
      <c r="C2193">
        <v>507946</v>
      </c>
      <c r="D2193" t="s">
        <v>360</v>
      </c>
      <c r="E2193" t="s">
        <v>382</v>
      </c>
    </row>
    <row r="2194" spans="2:5">
      <c r="B2194" t="s">
        <v>3606</v>
      </c>
      <c r="C2194">
        <v>507946</v>
      </c>
      <c r="D2194" t="s">
        <v>360</v>
      </c>
      <c r="E2194" t="s">
        <v>382</v>
      </c>
    </row>
    <row r="2195" spans="2:5">
      <c r="B2195" t="s">
        <v>3607</v>
      </c>
      <c r="C2195">
        <v>535566</v>
      </c>
      <c r="D2195" t="s">
        <v>360</v>
      </c>
      <c r="E2195" t="s">
        <v>377</v>
      </c>
    </row>
    <row r="2196" spans="2:5">
      <c r="B2196" t="s">
        <v>3608</v>
      </c>
      <c r="C2196">
        <v>524699</v>
      </c>
      <c r="D2196" t="s">
        <v>360</v>
      </c>
      <c r="E2196" t="s">
        <v>408</v>
      </c>
    </row>
    <row r="2197" spans="2:5">
      <c r="B2197" t="s">
        <v>3609</v>
      </c>
      <c r="C2197">
        <v>522101</v>
      </c>
      <c r="D2197" t="s">
        <v>360</v>
      </c>
      <c r="E2197" t="s">
        <v>368</v>
      </c>
    </row>
    <row r="2198" spans="2:5">
      <c r="B2198" t="s">
        <v>3610</v>
      </c>
      <c r="C2198">
        <v>523218</v>
      </c>
      <c r="D2198" t="s">
        <v>3611</v>
      </c>
      <c r="E2198" t="s">
        <v>902</v>
      </c>
    </row>
    <row r="2199" spans="2:5">
      <c r="B2199" t="s">
        <v>3612</v>
      </c>
      <c r="C2199">
        <v>524500</v>
      </c>
      <c r="D2199" t="s">
        <v>3613</v>
      </c>
      <c r="E2199" t="s">
        <v>398</v>
      </c>
    </row>
    <row r="2200" spans="2:5">
      <c r="B2200" t="s">
        <v>3614</v>
      </c>
      <c r="C2200">
        <v>524500</v>
      </c>
      <c r="D2200" t="s">
        <v>3613</v>
      </c>
      <c r="E2200" t="s">
        <v>398</v>
      </c>
    </row>
    <row r="2201" spans="2:5">
      <c r="B2201" t="s">
        <v>3615</v>
      </c>
      <c r="C2201">
        <v>532067</v>
      </c>
      <c r="D2201" t="s">
        <v>360</v>
      </c>
      <c r="E2201" t="s">
        <v>504</v>
      </c>
    </row>
    <row r="2202" spans="2:5">
      <c r="B2202" t="s">
        <v>3616</v>
      </c>
      <c r="C2202">
        <v>532067</v>
      </c>
      <c r="D2202" t="s">
        <v>360</v>
      </c>
      <c r="E2202" t="s">
        <v>504</v>
      </c>
    </row>
    <row r="2203" spans="2:5">
      <c r="B2203" t="s">
        <v>3617</v>
      </c>
      <c r="C2203">
        <v>530313</v>
      </c>
      <c r="D2203" t="s">
        <v>3618</v>
      </c>
      <c r="E2203" t="s">
        <v>398</v>
      </c>
    </row>
    <row r="2204" spans="2:5">
      <c r="B2204" t="s">
        <v>3619</v>
      </c>
      <c r="C2204">
        <v>500240</v>
      </c>
      <c r="D2204" t="s">
        <v>360</v>
      </c>
      <c r="E2204" t="s">
        <v>1017</v>
      </c>
    </row>
    <row r="2205" spans="2:5">
      <c r="B2205" t="s">
        <v>3620</v>
      </c>
      <c r="C2205">
        <v>531274</v>
      </c>
      <c r="D2205" t="s">
        <v>360</v>
      </c>
      <c r="E2205" t="s">
        <v>377</v>
      </c>
    </row>
    <row r="2206" spans="2:5">
      <c r="B2206" t="s">
        <v>3621</v>
      </c>
      <c r="C2206">
        <v>524019</v>
      </c>
      <c r="D2206" t="s">
        <v>3622</v>
      </c>
      <c r="E2206" t="s">
        <v>480</v>
      </c>
    </row>
    <row r="2207" spans="2:5">
      <c r="B2207" t="s">
        <v>3623</v>
      </c>
      <c r="C2207">
        <v>524019</v>
      </c>
      <c r="D2207" t="s">
        <v>3622</v>
      </c>
      <c r="E2207" t="s">
        <v>480</v>
      </c>
    </row>
    <row r="2208" spans="2:5">
      <c r="B2208" t="s">
        <v>3624</v>
      </c>
      <c r="C2208">
        <v>530215</v>
      </c>
      <c r="D2208" t="s">
        <v>360</v>
      </c>
      <c r="E2208" t="s">
        <v>446</v>
      </c>
    </row>
    <row r="2209" spans="2:5">
      <c r="B2209" t="s">
        <v>3625</v>
      </c>
      <c r="C2209">
        <v>512329</v>
      </c>
      <c r="D2209" t="s">
        <v>360</v>
      </c>
      <c r="E2209" t="s">
        <v>781</v>
      </c>
    </row>
    <row r="2210" spans="2:5">
      <c r="B2210" t="s">
        <v>3626</v>
      </c>
      <c r="C2210">
        <v>540680</v>
      </c>
      <c r="D2210" t="s">
        <v>3627</v>
      </c>
      <c r="E2210" t="s">
        <v>392</v>
      </c>
    </row>
    <row r="2211" spans="2:5">
      <c r="B2211" t="s">
        <v>3628</v>
      </c>
      <c r="C2211">
        <v>531413</v>
      </c>
      <c r="D2211" t="s">
        <v>360</v>
      </c>
      <c r="E2211" t="s">
        <v>2352</v>
      </c>
    </row>
    <row r="2212" spans="2:5">
      <c r="B2212" t="s">
        <v>3629</v>
      </c>
      <c r="C2212">
        <v>537750</v>
      </c>
      <c r="D2212" t="s">
        <v>360</v>
      </c>
      <c r="E2212" t="s">
        <v>380</v>
      </c>
    </row>
    <row r="2213" spans="2:5">
      <c r="B2213" t="s">
        <v>3630</v>
      </c>
      <c r="C2213">
        <v>532967</v>
      </c>
      <c r="D2213" t="s">
        <v>3631</v>
      </c>
      <c r="E2213" t="s">
        <v>520</v>
      </c>
    </row>
    <row r="2214" spans="2:5">
      <c r="B2214" t="s">
        <v>3632</v>
      </c>
      <c r="C2214">
        <v>500241</v>
      </c>
      <c r="D2214" t="s">
        <v>3633</v>
      </c>
      <c r="E2214" t="s">
        <v>368</v>
      </c>
    </row>
    <row r="2215" spans="2:5">
      <c r="B2215" t="s">
        <v>3634</v>
      </c>
      <c r="C2215">
        <v>533193</v>
      </c>
      <c r="D2215" t="s">
        <v>3635</v>
      </c>
      <c r="E2215" t="s">
        <v>658</v>
      </c>
    </row>
    <row r="2216" spans="2:5">
      <c r="B2216" t="s">
        <v>3636</v>
      </c>
      <c r="C2216">
        <v>500245</v>
      </c>
      <c r="D2216" t="s">
        <v>360</v>
      </c>
      <c r="E2216" t="s">
        <v>392</v>
      </c>
    </row>
    <row r="2217" spans="2:5">
      <c r="B2217" t="s">
        <v>3637</v>
      </c>
      <c r="C2217">
        <v>500243</v>
      </c>
      <c r="D2217" t="s">
        <v>3638</v>
      </c>
      <c r="E2217" t="s">
        <v>368</v>
      </c>
    </row>
    <row r="2218" spans="2:5">
      <c r="B2218" t="s">
        <v>3639</v>
      </c>
      <c r="C2218">
        <v>533293</v>
      </c>
      <c r="D2218" t="s">
        <v>3640</v>
      </c>
      <c r="E2218" t="s">
        <v>715</v>
      </c>
    </row>
    <row r="2219" spans="2:5">
      <c r="B2219" t="s">
        <v>3641</v>
      </c>
      <c r="C2219">
        <v>505283</v>
      </c>
      <c r="D2219" t="s">
        <v>360</v>
      </c>
      <c r="E2219" t="s">
        <v>368</v>
      </c>
    </row>
    <row r="2220" spans="2:5">
      <c r="B2220" t="s">
        <v>3642</v>
      </c>
      <c r="C2220">
        <v>530145</v>
      </c>
      <c r="D2220" t="s">
        <v>360</v>
      </c>
      <c r="E2220" t="s">
        <v>480</v>
      </c>
    </row>
    <row r="2221" spans="2:5">
      <c r="B2221" t="s">
        <v>3643</v>
      </c>
      <c r="C2221">
        <v>521248</v>
      </c>
      <c r="D2221" t="s">
        <v>3644</v>
      </c>
      <c r="E2221" t="s">
        <v>474</v>
      </c>
    </row>
    <row r="2222" spans="2:5">
      <c r="B2222" t="s">
        <v>3645</v>
      </c>
      <c r="C2222">
        <v>532304</v>
      </c>
      <c r="D2222" t="s">
        <v>360</v>
      </c>
      <c r="E2222" t="s">
        <v>343</v>
      </c>
    </row>
    <row r="2223" spans="2:5">
      <c r="B2223" t="s">
        <v>3646</v>
      </c>
      <c r="C2223">
        <v>532304</v>
      </c>
      <c r="D2223" t="s">
        <v>360</v>
      </c>
      <c r="E2223" t="s">
        <v>343</v>
      </c>
    </row>
    <row r="2224" spans="2:5">
      <c r="B2224" t="s">
        <v>3647</v>
      </c>
      <c r="C2224">
        <v>530235</v>
      </c>
      <c r="D2224" t="s">
        <v>360</v>
      </c>
      <c r="E2224" t="s">
        <v>377</v>
      </c>
    </row>
    <row r="2225" spans="2:5">
      <c r="B2225" t="s">
        <v>3648</v>
      </c>
      <c r="C2225">
        <v>526409</v>
      </c>
      <c r="D2225" t="s">
        <v>360</v>
      </c>
      <c r="E2225" t="s">
        <v>480</v>
      </c>
    </row>
    <row r="2226" spans="2:5">
      <c r="B2226" t="s">
        <v>3649</v>
      </c>
      <c r="C2226">
        <v>526409</v>
      </c>
      <c r="D2226" t="s">
        <v>360</v>
      </c>
      <c r="E2226" t="s">
        <v>480</v>
      </c>
    </row>
    <row r="2227" spans="2:5">
      <c r="B2227" t="s">
        <v>3650</v>
      </c>
      <c r="C2227">
        <v>523652</v>
      </c>
      <c r="D2227" t="s">
        <v>360</v>
      </c>
      <c r="E2227" t="s">
        <v>480</v>
      </c>
    </row>
    <row r="2228" spans="2:5">
      <c r="B2228" t="s">
        <v>3651</v>
      </c>
      <c r="C2228">
        <v>521238</v>
      </c>
      <c r="D2228" t="s">
        <v>360</v>
      </c>
      <c r="E2228" t="s">
        <v>685</v>
      </c>
    </row>
    <row r="2229" spans="2:5">
      <c r="B2229" t="s">
        <v>3652</v>
      </c>
      <c r="C2229" t="s">
        <v>360</v>
      </c>
      <c r="D2229" t="s">
        <v>3653</v>
      </c>
      <c r="E2229" t="s">
        <v>371</v>
      </c>
    </row>
    <row r="2230" spans="2:5">
      <c r="B2230" t="s">
        <v>3654</v>
      </c>
      <c r="C2230">
        <v>530771</v>
      </c>
      <c r="D2230" t="s">
        <v>360</v>
      </c>
      <c r="E2230" t="s">
        <v>377</v>
      </c>
    </row>
    <row r="2231" spans="2:5">
      <c r="B2231" t="s">
        <v>3655</v>
      </c>
      <c r="C2231">
        <v>514221</v>
      </c>
      <c r="D2231" t="s">
        <v>360</v>
      </c>
      <c r="E2231" t="s">
        <v>375</v>
      </c>
    </row>
    <row r="2232" spans="2:5">
      <c r="B2232" t="s">
        <v>3656</v>
      </c>
      <c r="C2232">
        <v>517170</v>
      </c>
      <c r="D2232" t="s">
        <v>3657</v>
      </c>
      <c r="E2232" t="s">
        <v>658</v>
      </c>
    </row>
    <row r="2233" spans="2:5">
      <c r="B2233" t="s">
        <v>3658</v>
      </c>
      <c r="C2233">
        <v>524520</v>
      </c>
      <c r="D2233" t="s">
        <v>360</v>
      </c>
      <c r="E2233" t="s">
        <v>549</v>
      </c>
    </row>
    <row r="2234" spans="2:5">
      <c r="B2234" t="s">
        <v>3659</v>
      </c>
      <c r="C2234">
        <v>524520</v>
      </c>
      <c r="D2234" t="s">
        <v>360</v>
      </c>
      <c r="E2234" t="s">
        <v>549</v>
      </c>
    </row>
    <row r="2235" spans="2:5">
      <c r="B2235" t="s">
        <v>3660</v>
      </c>
      <c r="C2235">
        <v>531578</v>
      </c>
      <c r="D2235" t="s">
        <v>360</v>
      </c>
      <c r="E2235" t="s">
        <v>446</v>
      </c>
    </row>
    <row r="2236" spans="2:5">
      <c r="B2236" t="s">
        <v>3661</v>
      </c>
      <c r="C2236">
        <v>519415</v>
      </c>
      <c r="D2236" t="s">
        <v>360</v>
      </c>
      <c r="E2236" t="s">
        <v>420</v>
      </c>
    </row>
    <row r="2237" spans="2:5">
      <c r="B2237" t="s">
        <v>3662</v>
      </c>
      <c r="C2237">
        <v>540468</v>
      </c>
      <c r="D2237" t="s">
        <v>360</v>
      </c>
      <c r="E2237" t="s">
        <v>1324</v>
      </c>
    </row>
    <row r="2238" spans="2:5">
      <c r="B2238" t="s">
        <v>3663</v>
      </c>
      <c r="C2238">
        <v>532942</v>
      </c>
      <c r="D2238" t="s">
        <v>3664</v>
      </c>
      <c r="E2238" t="s">
        <v>758</v>
      </c>
    </row>
    <row r="2239" spans="2:5">
      <c r="B2239" t="s">
        <v>3665</v>
      </c>
      <c r="C2239">
        <v>512559</v>
      </c>
      <c r="D2239" t="s">
        <v>3666</v>
      </c>
      <c r="E2239" t="s">
        <v>558</v>
      </c>
    </row>
    <row r="2240" spans="2:5">
      <c r="B2240" t="s">
        <v>3667</v>
      </c>
      <c r="C2240">
        <v>523207</v>
      </c>
      <c r="D2240" t="s">
        <v>3668</v>
      </c>
      <c r="E2240" t="s">
        <v>906</v>
      </c>
    </row>
    <row r="2241" spans="2:5">
      <c r="B2241" t="s">
        <v>3669</v>
      </c>
      <c r="C2241">
        <v>532924</v>
      </c>
      <c r="D2241" t="s">
        <v>3670</v>
      </c>
      <c r="E2241" t="s">
        <v>446</v>
      </c>
    </row>
    <row r="2242" spans="2:5">
      <c r="B2242" t="s">
        <v>3671</v>
      </c>
      <c r="C2242">
        <v>539910</v>
      </c>
      <c r="D2242" t="s">
        <v>360</v>
      </c>
      <c r="E2242" t="s">
        <v>363</v>
      </c>
    </row>
    <row r="2243" spans="2:5">
      <c r="B2243" t="s">
        <v>3672</v>
      </c>
      <c r="C2243">
        <v>514128</v>
      </c>
      <c r="D2243" t="s">
        <v>360</v>
      </c>
      <c r="E2243" t="s">
        <v>375</v>
      </c>
    </row>
    <row r="2244" spans="2:5">
      <c r="B2244" t="s">
        <v>3673</v>
      </c>
      <c r="C2244">
        <v>524280</v>
      </c>
      <c r="D2244" t="s">
        <v>3674</v>
      </c>
      <c r="E2244" t="s">
        <v>398</v>
      </c>
    </row>
    <row r="2245" spans="2:5">
      <c r="B2245" t="s">
        <v>3675</v>
      </c>
      <c r="C2245">
        <v>500247</v>
      </c>
      <c r="D2245" t="s">
        <v>3676</v>
      </c>
      <c r="E2245" t="s">
        <v>678</v>
      </c>
    </row>
    <row r="2246" spans="2:5">
      <c r="B2246" t="s">
        <v>3677</v>
      </c>
      <c r="C2246">
        <v>590097</v>
      </c>
      <c r="D2246" t="s">
        <v>3678</v>
      </c>
      <c r="E2246" t="s">
        <v>343</v>
      </c>
    </row>
    <row r="2247" spans="2:5">
      <c r="B2247" t="s">
        <v>3679</v>
      </c>
      <c r="C2247">
        <v>590107</v>
      </c>
      <c r="D2247" t="s">
        <v>3680</v>
      </c>
      <c r="E2247" t="s">
        <v>343</v>
      </c>
    </row>
    <row r="2248" spans="2:5">
      <c r="B2248" t="s">
        <v>3681</v>
      </c>
      <c r="C2248">
        <v>532985</v>
      </c>
      <c r="D2248" t="s">
        <v>3682</v>
      </c>
      <c r="E2248" t="s">
        <v>343</v>
      </c>
    </row>
    <row r="2249" spans="2:5">
      <c r="B2249" t="s">
        <v>3683</v>
      </c>
      <c r="C2249">
        <v>507474</v>
      </c>
      <c r="D2249" t="s">
        <v>360</v>
      </c>
      <c r="E2249" t="s">
        <v>440</v>
      </c>
    </row>
    <row r="2250" spans="2:5">
      <c r="B2250" t="s">
        <v>3684</v>
      </c>
      <c r="C2250" t="s">
        <v>360</v>
      </c>
      <c r="D2250" t="s">
        <v>3685</v>
      </c>
      <c r="E2250" t="s">
        <v>451</v>
      </c>
    </row>
    <row r="2251" spans="2:5">
      <c r="B2251" t="s">
        <v>3686</v>
      </c>
      <c r="C2251">
        <v>530299</v>
      </c>
      <c r="D2251" t="s">
        <v>3687</v>
      </c>
      <c r="E2251" t="s">
        <v>382</v>
      </c>
    </row>
    <row r="2252" spans="2:5">
      <c r="B2252" t="s">
        <v>3688</v>
      </c>
      <c r="C2252" t="s">
        <v>360</v>
      </c>
      <c r="D2252" t="s">
        <v>3689</v>
      </c>
      <c r="E2252" t="s">
        <v>451</v>
      </c>
    </row>
    <row r="2253" spans="2:5">
      <c r="B2253" t="s">
        <v>3690</v>
      </c>
      <c r="C2253">
        <v>511138</v>
      </c>
      <c r="D2253" t="s">
        <v>360</v>
      </c>
      <c r="E2253" t="s">
        <v>377</v>
      </c>
    </row>
    <row r="2254" spans="2:5">
      <c r="B2254" t="s">
        <v>3691</v>
      </c>
      <c r="C2254">
        <v>539599</v>
      </c>
      <c r="D2254" t="s">
        <v>360</v>
      </c>
      <c r="E2254" t="s">
        <v>394</v>
      </c>
    </row>
    <row r="2255" spans="2:5">
      <c r="B2255" t="s">
        <v>3692</v>
      </c>
      <c r="C2255">
        <v>523323</v>
      </c>
      <c r="D2255" t="s">
        <v>360</v>
      </c>
      <c r="E2255" t="s">
        <v>549</v>
      </c>
    </row>
    <row r="2256" spans="2:5">
      <c r="B2256" t="s">
        <v>3693</v>
      </c>
      <c r="C2256">
        <v>505585</v>
      </c>
      <c r="D2256" t="s">
        <v>360</v>
      </c>
      <c r="E2256" t="s">
        <v>781</v>
      </c>
    </row>
    <row r="2257" spans="2:5">
      <c r="B2257" t="s">
        <v>3694</v>
      </c>
      <c r="C2257">
        <v>507598</v>
      </c>
      <c r="D2257" t="s">
        <v>360</v>
      </c>
      <c r="E2257" t="s">
        <v>440</v>
      </c>
    </row>
    <row r="2258" spans="2:5">
      <c r="B2258" t="s">
        <v>3695</v>
      </c>
      <c r="C2258">
        <v>532400</v>
      </c>
      <c r="D2258" t="s">
        <v>3696</v>
      </c>
      <c r="E2258" t="s">
        <v>346</v>
      </c>
    </row>
    <row r="2259" spans="2:5">
      <c r="B2259" t="s">
        <v>3697</v>
      </c>
      <c r="C2259">
        <v>542651</v>
      </c>
      <c r="D2259" t="s">
        <v>3698</v>
      </c>
      <c r="E2259" t="s">
        <v>3699</v>
      </c>
    </row>
    <row r="2260" spans="2:5">
      <c r="B2260" t="s">
        <v>3700</v>
      </c>
      <c r="C2260">
        <v>542459</v>
      </c>
      <c r="D2260" t="s">
        <v>3701</v>
      </c>
      <c r="E2260" t="s">
        <v>3699</v>
      </c>
    </row>
    <row r="2261" spans="2:5">
      <c r="B2261" t="s">
        <v>3702</v>
      </c>
      <c r="C2261">
        <v>501261</v>
      </c>
      <c r="D2261" t="s">
        <v>360</v>
      </c>
      <c r="E2261" t="s">
        <v>343</v>
      </c>
    </row>
    <row r="2262" spans="2:5">
      <c r="B2262" t="s">
        <v>3703</v>
      </c>
      <c r="C2262">
        <v>530813</v>
      </c>
      <c r="D2262" t="s">
        <v>3704</v>
      </c>
      <c r="E2262" t="s">
        <v>420</v>
      </c>
    </row>
    <row r="2263" spans="2:5">
      <c r="B2263" t="s">
        <v>3705</v>
      </c>
      <c r="C2263">
        <v>524518</v>
      </c>
      <c r="D2263" t="s">
        <v>3706</v>
      </c>
      <c r="E2263" t="s">
        <v>398</v>
      </c>
    </row>
    <row r="2264" spans="2:5">
      <c r="B2264" t="s">
        <v>3707</v>
      </c>
      <c r="C2264">
        <v>530139</v>
      </c>
      <c r="D2264" t="s">
        <v>360</v>
      </c>
      <c r="E2264" t="s">
        <v>377</v>
      </c>
    </row>
    <row r="2265" spans="2:5">
      <c r="B2265" t="s">
        <v>3708</v>
      </c>
      <c r="C2265">
        <v>531328</v>
      </c>
      <c r="D2265" t="s">
        <v>360</v>
      </c>
      <c r="E2265" t="s">
        <v>1324</v>
      </c>
    </row>
    <row r="2266" spans="2:5">
      <c r="B2266" t="s">
        <v>3709</v>
      </c>
      <c r="C2266">
        <v>533482</v>
      </c>
      <c r="D2266" t="s">
        <v>3710</v>
      </c>
      <c r="E2266" t="s">
        <v>758</v>
      </c>
    </row>
    <row r="2267" spans="2:5">
      <c r="B2267" t="s">
        <v>3711</v>
      </c>
      <c r="C2267" t="s">
        <v>360</v>
      </c>
      <c r="D2267" t="s">
        <v>3712</v>
      </c>
      <c r="E2267" t="s">
        <v>371</v>
      </c>
    </row>
    <row r="2268" spans="2:5">
      <c r="B2268" t="s">
        <v>3713</v>
      </c>
      <c r="C2268">
        <v>539384</v>
      </c>
      <c r="D2268" t="s">
        <v>360</v>
      </c>
      <c r="E2268" t="s">
        <v>377</v>
      </c>
    </row>
    <row r="2269" spans="2:5">
      <c r="B2269" t="s">
        <v>3714</v>
      </c>
      <c r="C2269">
        <v>504392</v>
      </c>
      <c r="D2269" t="s">
        <v>360</v>
      </c>
      <c r="E2269" t="s">
        <v>343</v>
      </c>
    </row>
    <row r="2270" spans="2:5">
      <c r="B2270" t="s">
        <v>3715</v>
      </c>
      <c r="C2270">
        <v>526423</v>
      </c>
      <c r="D2270" t="s">
        <v>360</v>
      </c>
      <c r="E2270" t="s">
        <v>480</v>
      </c>
    </row>
    <row r="2271" spans="2:5">
      <c r="B2271" t="s">
        <v>3716</v>
      </c>
      <c r="C2271">
        <v>526423</v>
      </c>
      <c r="D2271" t="s">
        <v>360</v>
      </c>
      <c r="E2271" t="s">
        <v>480</v>
      </c>
    </row>
    <row r="2272" spans="2:5">
      <c r="B2272" t="s">
        <v>3717</v>
      </c>
      <c r="C2272">
        <v>533210</v>
      </c>
      <c r="D2272" t="s">
        <v>360</v>
      </c>
      <c r="E2272" t="s">
        <v>609</v>
      </c>
    </row>
    <row r="2273" spans="2:5">
      <c r="B2273" t="s">
        <v>3718</v>
      </c>
      <c r="C2273" t="s">
        <v>360</v>
      </c>
      <c r="D2273" t="s">
        <v>3719</v>
      </c>
      <c r="E2273" t="s">
        <v>371</v>
      </c>
    </row>
    <row r="2274" spans="2:5">
      <c r="B2274" t="s">
        <v>3720</v>
      </c>
      <c r="C2274">
        <v>523550</v>
      </c>
      <c r="D2274" t="s">
        <v>360</v>
      </c>
      <c r="E2274" t="s">
        <v>349</v>
      </c>
    </row>
    <row r="2275" spans="2:5">
      <c r="B2275" t="s">
        <v>3721</v>
      </c>
      <c r="C2275">
        <v>500249</v>
      </c>
      <c r="D2275" t="s">
        <v>3722</v>
      </c>
      <c r="E2275" t="s">
        <v>368</v>
      </c>
    </row>
    <row r="2276" spans="2:5">
      <c r="B2276" t="s">
        <v>3723</v>
      </c>
      <c r="C2276">
        <v>519421</v>
      </c>
      <c r="D2276" t="s">
        <v>360</v>
      </c>
      <c r="E2276" t="s">
        <v>420</v>
      </c>
    </row>
    <row r="2277" spans="2:5">
      <c r="B2277" t="s">
        <v>3724</v>
      </c>
      <c r="C2277" t="s">
        <v>360</v>
      </c>
      <c r="D2277" t="s">
        <v>3725</v>
      </c>
      <c r="E2277" t="s">
        <v>371</v>
      </c>
    </row>
    <row r="2278" spans="2:5">
      <c r="B2278" t="s">
        <v>3726</v>
      </c>
      <c r="C2278">
        <v>503626</v>
      </c>
      <c r="D2278" t="s">
        <v>360</v>
      </c>
      <c r="E2278" t="s">
        <v>343</v>
      </c>
    </row>
    <row r="2279" spans="2:5">
      <c r="B2279" t="s">
        <v>3727</v>
      </c>
      <c r="C2279">
        <v>532997</v>
      </c>
      <c r="D2279" t="s">
        <v>3728</v>
      </c>
      <c r="E2279" t="s">
        <v>499</v>
      </c>
    </row>
    <row r="2280" spans="2:5">
      <c r="B2280" t="s">
        <v>3729</v>
      </c>
      <c r="C2280">
        <v>530149</v>
      </c>
      <c r="D2280" t="s">
        <v>360</v>
      </c>
      <c r="E2280" t="s">
        <v>375</v>
      </c>
    </row>
    <row r="2281" spans="2:5">
      <c r="B2281" t="s">
        <v>3730</v>
      </c>
      <c r="C2281">
        <v>532081</v>
      </c>
      <c r="D2281" t="s">
        <v>3731</v>
      </c>
      <c r="E2281" t="s">
        <v>363</v>
      </c>
    </row>
    <row r="2282" spans="2:5">
      <c r="B2282" t="s">
        <v>3732</v>
      </c>
      <c r="C2282">
        <v>532937</v>
      </c>
      <c r="D2282" t="s">
        <v>360</v>
      </c>
      <c r="E2282" t="s">
        <v>354</v>
      </c>
    </row>
    <row r="2283" spans="2:5">
      <c r="B2283" t="s">
        <v>3733</v>
      </c>
      <c r="C2283">
        <v>539408</v>
      </c>
      <c r="D2283" t="s">
        <v>360</v>
      </c>
      <c r="E2283" t="s">
        <v>377</v>
      </c>
    </row>
    <row r="2284" spans="2:5">
      <c r="B2284" t="s">
        <v>3734</v>
      </c>
      <c r="C2284">
        <v>505299</v>
      </c>
      <c r="D2284" t="s">
        <v>360</v>
      </c>
      <c r="E2284" t="s">
        <v>368</v>
      </c>
    </row>
    <row r="2285" spans="2:5">
      <c r="B2285" t="s">
        <v>3735</v>
      </c>
      <c r="C2285">
        <v>513703</v>
      </c>
      <c r="D2285" t="s">
        <v>360</v>
      </c>
      <c r="E2285" t="s">
        <v>375</v>
      </c>
    </row>
    <row r="2286" spans="2:5">
      <c r="B2286" t="s">
        <v>3736</v>
      </c>
      <c r="C2286">
        <v>523594</v>
      </c>
      <c r="D2286" t="s">
        <v>360</v>
      </c>
      <c r="E2286" t="s">
        <v>480</v>
      </c>
    </row>
    <row r="2287" spans="2:5">
      <c r="B2287" t="s">
        <v>3737</v>
      </c>
      <c r="C2287">
        <v>511048</v>
      </c>
      <c r="D2287" t="s">
        <v>360</v>
      </c>
      <c r="E2287" t="s">
        <v>382</v>
      </c>
    </row>
    <row r="2288" spans="2:5">
      <c r="B2288" t="s">
        <v>3738</v>
      </c>
      <c r="C2288">
        <v>514240</v>
      </c>
      <c r="D2288" t="s">
        <v>360</v>
      </c>
      <c r="E2288" t="s">
        <v>375</v>
      </c>
    </row>
    <row r="2289" spans="2:5">
      <c r="B2289" t="s">
        <v>3739</v>
      </c>
      <c r="C2289">
        <v>536170</v>
      </c>
      <c r="D2289" t="s">
        <v>360</v>
      </c>
      <c r="E2289" t="s">
        <v>382</v>
      </c>
    </row>
    <row r="2290" spans="2:5">
      <c r="B2290" t="s">
        <v>3740</v>
      </c>
      <c r="C2290">
        <v>530421</v>
      </c>
      <c r="D2290" t="s">
        <v>360</v>
      </c>
      <c r="E2290" t="s">
        <v>408</v>
      </c>
    </row>
    <row r="2291" spans="2:5">
      <c r="B2291" t="s">
        <v>3741</v>
      </c>
      <c r="C2291">
        <v>531206</v>
      </c>
      <c r="D2291" t="s">
        <v>360</v>
      </c>
      <c r="E2291" t="s">
        <v>377</v>
      </c>
    </row>
    <row r="2292" spans="2:5">
      <c r="B2292" t="s">
        <v>3742</v>
      </c>
      <c r="C2292">
        <v>531882</v>
      </c>
      <c r="D2292" t="s">
        <v>3743</v>
      </c>
      <c r="E2292" t="s">
        <v>420</v>
      </c>
    </row>
    <row r="2293" spans="2:5">
      <c r="B2293" t="s">
        <v>3744</v>
      </c>
      <c r="C2293">
        <v>539997</v>
      </c>
      <c r="D2293" t="s">
        <v>360</v>
      </c>
      <c r="E2293" t="s">
        <v>398</v>
      </c>
    </row>
    <row r="2294" spans="2:5">
      <c r="B2294" t="s">
        <v>3745</v>
      </c>
      <c r="C2294">
        <v>537669</v>
      </c>
      <c r="D2294" t="s">
        <v>360</v>
      </c>
      <c r="E2294" t="s">
        <v>438</v>
      </c>
    </row>
    <row r="2295" spans="2:5">
      <c r="B2295" t="s">
        <v>3746</v>
      </c>
      <c r="C2295">
        <v>533519</v>
      </c>
      <c r="D2295" t="s">
        <v>3747</v>
      </c>
      <c r="E2295" t="s">
        <v>526</v>
      </c>
    </row>
    <row r="2296" spans="2:5">
      <c r="B2296" t="s">
        <v>3748</v>
      </c>
      <c r="C2296">
        <v>540115</v>
      </c>
      <c r="D2296" t="s">
        <v>3749</v>
      </c>
      <c r="E2296" t="s">
        <v>366</v>
      </c>
    </row>
    <row r="2297" spans="2:5">
      <c r="B2297" t="s">
        <v>3750</v>
      </c>
      <c r="C2297">
        <v>526947</v>
      </c>
      <c r="D2297" t="s">
        <v>3751</v>
      </c>
      <c r="E2297" t="s">
        <v>1405</v>
      </c>
    </row>
    <row r="2298" spans="2:5">
      <c r="B2298" t="s">
        <v>3752</v>
      </c>
      <c r="C2298">
        <v>505693</v>
      </c>
      <c r="D2298" t="s">
        <v>3753</v>
      </c>
      <c r="E2298" t="s">
        <v>545</v>
      </c>
    </row>
    <row r="2299" spans="2:5">
      <c r="B2299" t="s">
        <v>3754</v>
      </c>
      <c r="C2299">
        <v>524202</v>
      </c>
      <c r="D2299" t="s">
        <v>360</v>
      </c>
      <c r="E2299" t="s">
        <v>440</v>
      </c>
    </row>
    <row r="2300" spans="2:5">
      <c r="B2300" t="s">
        <v>3755</v>
      </c>
      <c r="C2300">
        <v>524202</v>
      </c>
      <c r="D2300" t="s">
        <v>360</v>
      </c>
      <c r="E2300" t="s">
        <v>440</v>
      </c>
    </row>
    <row r="2301" spans="2:5">
      <c r="B2301" t="s">
        <v>3756</v>
      </c>
      <c r="C2301">
        <v>540026</v>
      </c>
      <c r="D2301" t="s">
        <v>360</v>
      </c>
      <c r="E2301" t="s">
        <v>446</v>
      </c>
    </row>
    <row r="2302" spans="2:5">
      <c r="B2302" t="s">
        <v>3757</v>
      </c>
      <c r="C2302">
        <v>530577</v>
      </c>
      <c r="D2302" t="s">
        <v>360</v>
      </c>
      <c r="E2302" t="s">
        <v>377</v>
      </c>
    </row>
    <row r="2303" spans="2:5">
      <c r="B2303" t="s">
        <v>3758</v>
      </c>
      <c r="C2303">
        <v>524522</v>
      </c>
      <c r="D2303" t="s">
        <v>360</v>
      </c>
      <c r="E2303" t="s">
        <v>408</v>
      </c>
    </row>
    <row r="2304" spans="2:5">
      <c r="B2304" t="s">
        <v>3759</v>
      </c>
      <c r="C2304" t="s">
        <v>360</v>
      </c>
      <c r="D2304" t="s">
        <v>3760</v>
      </c>
      <c r="E2304" t="s">
        <v>371</v>
      </c>
    </row>
    <row r="2305" spans="2:5">
      <c r="B2305" t="s">
        <v>3761</v>
      </c>
      <c r="C2305">
        <v>531842</v>
      </c>
      <c r="D2305" t="s">
        <v>360</v>
      </c>
      <c r="E2305" t="s">
        <v>382</v>
      </c>
    </row>
    <row r="2306" spans="2:5">
      <c r="B2306" t="s">
        <v>3762</v>
      </c>
      <c r="C2306">
        <v>535387</v>
      </c>
      <c r="D2306" t="s">
        <v>360</v>
      </c>
      <c r="E2306" t="s">
        <v>375</v>
      </c>
    </row>
    <row r="2307" spans="2:5">
      <c r="B2307" t="s">
        <v>3763</v>
      </c>
      <c r="C2307">
        <v>535387</v>
      </c>
      <c r="D2307" t="s">
        <v>360</v>
      </c>
      <c r="E2307" t="s">
        <v>375</v>
      </c>
    </row>
    <row r="2308" spans="2:5">
      <c r="B2308" t="s">
        <v>3764</v>
      </c>
      <c r="C2308">
        <v>505302</v>
      </c>
      <c r="D2308" t="s">
        <v>360</v>
      </c>
      <c r="E2308" t="s">
        <v>368</v>
      </c>
    </row>
    <row r="2309" spans="2:5">
      <c r="B2309" t="s">
        <v>3765</v>
      </c>
      <c r="C2309">
        <v>504258</v>
      </c>
      <c r="D2309" t="s">
        <v>360</v>
      </c>
      <c r="E2309" t="s">
        <v>658</v>
      </c>
    </row>
    <row r="2310" spans="2:5">
      <c r="B2310" t="s">
        <v>3766</v>
      </c>
      <c r="C2310" t="s">
        <v>360</v>
      </c>
      <c r="D2310" t="s">
        <v>3767</v>
      </c>
      <c r="E2310" t="s">
        <v>451</v>
      </c>
    </row>
    <row r="2311" spans="2:5">
      <c r="B2311" t="s">
        <v>3768</v>
      </c>
      <c r="C2311">
        <v>500252</v>
      </c>
      <c r="D2311" t="s">
        <v>3769</v>
      </c>
      <c r="E2311" t="s">
        <v>368</v>
      </c>
    </row>
    <row r="2312" spans="2:5">
      <c r="B2312" t="s">
        <v>3770</v>
      </c>
      <c r="C2312">
        <v>502958</v>
      </c>
      <c r="D2312" t="s">
        <v>360</v>
      </c>
      <c r="E2312" t="s">
        <v>375</v>
      </c>
    </row>
    <row r="2313" spans="2:5">
      <c r="B2313" t="s">
        <v>3771</v>
      </c>
      <c r="C2313">
        <v>506079</v>
      </c>
      <c r="D2313" t="s">
        <v>3772</v>
      </c>
      <c r="E2313" t="s">
        <v>683</v>
      </c>
    </row>
    <row r="2314" spans="2:5">
      <c r="B2314" t="s">
        <v>3773</v>
      </c>
      <c r="C2314">
        <v>534690</v>
      </c>
      <c r="D2314" t="s">
        <v>3774</v>
      </c>
      <c r="E2314" t="s">
        <v>678</v>
      </c>
    </row>
    <row r="2315" spans="2:5">
      <c r="B2315" t="s">
        <v>3775</v>
      </c>
      <c r="C2315">
        <v>590075</v>
      </c>
      <c r="D2315" t="s">
        <v>3776</v>
      </c>
      <c r="E2315" t="s">
        <v>375</v>
      </c>
    </row>
    <row r="2316" spans="2:5">
      <c r="B2316" t="s">
        <v>3777</v>
      </c>
      <c r="C2316">
        <v>539841</v>
      </c>
      <c r="D2316" t="s">
        <v>360</v>
      </c>
      <c r="E2316" t="s">
        <v>681</v>
      </c>
    </row>
    <row r="2317" spans="2:5">
      <c r="B2317" t="s">
        <v>3778</v>
      </c>
      <c r="C2317">
        <v>509048</v>
      </c>
      <c r="D2317" t="s">
        <v>360</v>
      </c>
      <c r="E2317" t="s">
        <v>446</v>
      </c>
    </row>
    <row r="2318" spans="2:5">
      <c r="B2318" t="s">
        <v>3779</v>
      </c>
      <c r="C2318">
        <v>532275</v>
      </c>
      <c r="D2318" t="s">
        <v>360</v>
      </c>
      <c r="E2318" t="s">
        <v>377</v>
      </c>
    </row>
    <row r="2319" spans="2:5">
      <c r="B2319" t="s">
        <v>3780</v>
      </c>
      <c r="C2319">
        <v>533012</v>
      </c>
      <c r="D2319" t="s">
        <v>3781</v>
      </c>
      <c r="E2319" t="s">
        <v>446</v>
      </c>
    </row>
    <row r="2320" spans="2:5">
      <c r="B2320" t="s">
        <v>3782</v>
      </c>
      <c r="C2320">
        <v>540005</v>
      </c>
      <c r="D2320" t="s">
        <v>3783</v>
      </c>
      <c r="E2320" t="s">
        <v>346</v>
      </c>
    </row>
    <row r="2321" spans="2:5">
      <c r="B2321" t="s">
        <v>3784</v>
      </c>
      <c r="C2321">
        <v>500510</v>
      </c>
      <c r="D2321" t="s">
        <v>3785</v>
      </c>
      <c r="E2321" t="s">
        <v>758</v>
      </c>
    </row>
    <row r="2322" spans="2:5">
      <c r="B2322" t="s">
        <v>3786</v>
      </c>
      <c r="C2322">
        <v>540702</v>
      </c>
      <c r="D2322" t="s">
        <v>3787</v>
      </c>
      <c r="E2322" t="s">
        <v>549</v>
      </c>
    </row>
    <row r="2323" spans="2:5">
      <c r="B2323" t="s">
        <v>3788</v>
      </c>
      <c r="C2323">
        <v>531164</v>
      </c>
      <c r="D2323" t="s">
        <v>360</v>
      </c>
      <c r="E2323" t="s">
        <v>474</v>
      </c>
    </row>
    <row r="2324" spans="2:5">
      <c r="B2324" t="s">
        <v>3789</v>
      </c>
      <c r="C2324">
        <v>539909</v>
      </c>
      <c r="D2324" t="s">
        <v>360</v>
      </c>
      <c r="E2324" t="s">
        <v>377</v>
      </c>
    </row>
    <row r="2325" spans="2:5">
      <c r="B2325" t="s">
        <v>3790</v>
      </c>
      <c r="C2325" t="s">
        <v>360</v>
      </c>
      <c r="D2325" t="s">
        <v>3791</v>
      </c>
      <c r="E2325" t="s">
        <v>371</v>
      </c>
    </row>
    <row r="2326" spans="2:5">
      <c r="B2326" t="s">
        <v>3792</v>
      </c>
      <c r="C2326">
        <v>540222</v>
      </c>
      <c r="D2326" t="s">
        <v>3793</v>
      </c>
      <c r="E2326" t="s">
        <v>398</v>
      </c>
    </row>
    <row r="2327" spans="2:5">
      <c r="B2327" t="s">
        <v>3794</v>
      </c>
      <c r="C2327">
        <v>532829</v>
      </c>
      <c r="D2327" t="s">
        <v>360</v>
      </c>
      <c r="E2327" t="s">
        <v>786</v>
      </c>
    </row>
    <row r="2328" spans="2:5">
      <c r="B2328" t="s">
        <v>3795</v>
      </c>
      <c r="C2328" t="s">
        <v>360</v>
      </c>
      <c r="D2328" t="s">
        <v>3796</v>
      </c>
      <c r="E2328" t="s">
        <v>371</v>
      </c>
    </row>
    <row r="2329" spans="2:5">
      <c r="B2329" t="s">
        <v>3797</v>
      </c>
      <c r="C2329">
        <v>531288</v>
      </c>
      <c r="D2329" t="s">
        <v>360</v>
      </c>
      <c r="E2329" t="s">
        <v>377</v>
      </c>
    </row>
    <row r="2330" spans="2:5">
      <c r="B2330" t="s">
        <v>3798</v>
      </c>
      <c r="C2330">
        <v>540360</v>
      </c>
      <c r="D2330" t="s">
        <v>360</v>
      </c>
      <c r="E2330" t="s">
        <v>343</v>
      </c>
    </row>
    <row r="2331" spans="2:5">
      <c r="B2331" t="s">
        <v>3799</v>
      </c>
      <c r="C2331">
        <v>508306</v>
      </c>
      <c r="D2331" t="s">
        <v>360</v>
      </c>
      <c r="E2331" t="s">
        <v>767</v>
      </c>
    </row>
    <row r="2332" spans="2:5">
      <c r="B2332" t="s">
        <v>3800</v>
      </c>
      <c r="C2332">
        <v>517415</v>
      </c>
      <c r="D2332" t="s">
        <v>360</v>
      </c>
      <c r="E2332" t="s">
        <v>690</v>
      </c>
    </row>
    <row r="2333" spans="2:5">
      <c r="B2333" t="s">
        <v>3801</v>
      </c>
      <c r="C2333">
        <v>517518</v>
      </c>
      <c r="D2333" t="s">
        <v>3802</v>
      </c>
      <c r="E2333" t="s">
        <v>368</v>
      </c>
    </row>
    <row r="2334" spans="2:5">
      <c r="B2334" t="s">
        <v>3803</v>
      </c>
      <c r="C2334">
        <v>509046</v>
      </c>
      <c r="D2334" t="s">
        <v>360</v>
      </c>
      <c r="E2334" t="s">
        <v>781</v>
      </c>
    </row>
    <row r="2335" spans="2:5">
      <c r="B2335" t="s">
        <v>3804</v>
      </c>
      <c r="C2335">
        <v>780021</v>
      </c>
      <c r="D2335" t="s">
        <v>360</v>
      </c>
      <c r="E2335" t="s">
        <v>451</v>
      </c>
    </row>
    <row r="2336" spans="2:5">
      <c r="B2336" t="s">
        <v>3805</v>
      </c>
      <c r="C2336">
        <v>541233</v>
      </c>
      <c r="D2336" t="s">
        <v>3806</v>
      </c>
      <c r="E2336" t="s">
        <v>561</v>
      </c>
    </row>
    <row r="2337" spans="2:5">
      <c r="B2337" t="s">
        <v>3807</v>
      </c>
      <c r="C2337">
        <v>533602</v>
      </c>
      <c r="D2337" t="s">
        <v>360</v>
      </c>
      <c r="E2337" t="s">
        <v>380</v>
      </c>
    </row>
    <row r="2338" spans="2:5">
      <c r="B2338" t="s">
        <v>3808</v>
      </c>
      <c r="C2338">
        <v>541196</v>
      </c>
      <c r="D2338" t="s">
        <v>360</v>
      </c>
      <c r="E2338" t="s">
        <v>444</v>
      </c>
    </row>
    <row r="2339" spans="2:5">
      <c r="B2339" t="s">
        <v>3809</v>
      </c>
      <c r="C2339" t="s">
        <v>360</v>
      </c>
      <c r="D2339" t="s">
        <v>3810</v>
      </c>
      <c r="E2339" t="s">
        <v>371</v>
      </c>
    </row>
    <row r="2340" spans="2:5">
      <c r="B2340" t="s">
        <v>3811</v>
      </c>
      <c r="C2340" t="s">
        <v>360</v>
      </c>
      <c r="D2340" t="s">
        <v>3810</v>
      </c>
      <c r="E2340" t="s">
        <v>371</v>
      </c>
    </row>
    <row r="2341" spans="2:5">
      <c r="B2341" t="s">
        <v>3812</v>
      </c>
      <c r="C2341">
        <v>500250</v>
      </c>
      <c r="D2341" t="s">
        <v>3813</v>
      </c>
      <c r="E2341" t="s">
        <v>715</v>
      </c>
    </row>
    <row r="2342" spans="2:5">
      <c r="B2342" t="s">
        <v>3814</v>
      </c>
      <c r="C2342">
        <v>533007</v>
      </c>
      <c r="D2342" t="s">
        <v>3815</v>
      </c>
      <c r="E2342" t="s">
        <v>1279</v>
      </c>
    </row>
    <row r="2343" spans="2:5">
      <c r="B2343" t="s">
        <v>3816</v>
      </c>
      <c r="C2343" t="s">
        <v>360</v>
      </c>
      <c r="D2343" t="s">
        <v>3817</v>
      </c>
      <c r="E2343" t="s">
        <v>371</v>
      </c>
    </row>
    <row r="2344" spans="2:5">
      <c r="B2344" t="s">
        <v>3818</v>
      </c>
      <c r="C2344">
        <v>526596</v>
      </c>
      <c r="D2344" t="s">
        <v>3819</v>
      </c>
      <c r="E2344" t="s">
        <v>786</v>
      </c>
    </row>
    <row r="2345" spans="2:5">
      <c r="B2345" t="s">
        <v>3820</v>
      </c>
      <c r="C2345">
        <v>511593</v>
      </c>
      <c r="D2345" t="s">
        <v>360</v>
      </c>
      <c r="E2345" t="s">
        <v>377</v>
      </c>
    </row>
    <row r="2346" spans="2:5">
      <c r="B2346" t="s">
        <v>3821</v>
      </c>
      <c r="C2346">
        <v>531027</v>
      </c>
      <c r="D2346" t="s">
        <v>360</v>
      </c>
      <c r="E2346" t="s">
        <v>343</v>
      </c>
    </row>
    <row r="2347" spans="2:5">
      <c r="B2347" t="s">
        <v>3822</v>
      </c>
      <c r="C2347">
        <v>500253</v>
      </c>
      <c r="D2347" t="s">
        <v>3823</v>
      </c>
      <c r="E2347" t="s">
        <v>418</v>
      </c>
    </row>
    <row r="2348" spans="2:5">
      <c r="B2348" t="s">
        <v>3824</v>
      </c>
      <c r="C2348">
        <v>539927</v>
      </c>
      <c r="D2348" t="s">
        <v>360</v>
      </c>
      <c r="E2348" t="s">
        <v>444</v>
      </c>
    </row>
    <row r="2349" spans="2:5">
      <c r="B2349" t="s">
        <v>3825</v>
      </c>
      <c r="C2349">
        <v>507759</v>
      </c>
      <c r="D2349" t="s">
        <v>360</v>
      </c>
      <c r="E2349" t="s">
        <v>408</v>
      </c>
    </row>
    <row r="2350" spans="2:5">
      <c r="B2350" t="s">
        <v>3826</v>
      </c>
      <c r="C2350">
        <v>517463</v>
      </c>
      <c r="D2350" t="s">
        <v>3827</v>
      </c>
      <c r="E2350" t="s">
        <v>902</v>
      </c>
    </row>
    <row r="2351" spans="2:5">
      <c r="B2351" t="s">
        <v>3828</v>
      </c>
      <c r="C2351">
        <v>531241</v>
      </c>
      <c r="D2351" t="s">
        <v>3829</v>
      </c>
      <c r="E2351" t="s">
        <v>906</v>
      </c>
    </row>
    <row r="2352" spans="2:5">
      <c r="B2352" t="s">
        <v>3830</v>
      </c>
      <c r="C2352">
        <v>531633</v>
      </c>
      <c r="D2352" t="s">
        <v>3831</v>
      </c>
      <c r="E2352" t="s">
        <v>398</v>
      </c>
    </row>
    <row r="2353" spans="2:5">
      <c r="B2353" t="s">
        <v>3832</v>
      </c>
      <c r="C2353">
        <v>523457</v>
      </c>
      <c r="D2353" t="s">
        <v>3833</v>
      </c>
      <c r="E2353" t="s">
        <v>1395</v>
      </c>
    </row>
    <row r="2354" spans="2:5">
      <c r="B2354" t="s">
        <v>3834</v>
      </c>
      <c r="C2354">
        <v>523457</v>
      </c>
      <c r="D2354" t="s">
        <v>3835</v>
      </c>
      <c r="E2354" t="s">
        <v>1395</v>
      </c>
    </row>
    <row r="2355" spans="2:5">
      <c r="B2355" t="s">
        <v>3836</v>
      </c>
      <c r="C2355">
        <v>524748</v>
      </c>
      <c r="D2355" t="s">
        <v>360</v>
      </c>
      <c r="E2355" t="s">
        <v>408</v>
      </c>
    </row>
    <row r="2356" spans="2:5">
      <c r="B2356" t="s">
        <v>3837</v>
      </c>
      <c r="C2356">
        <v>526604</v>
      </c>
      <c r="D2356" t="s">
        <v>360</v>
      </c>
      <c r="E2356" t="s">
        <v>368</v>
      </c>
    </row>
    <row r="2357" spans="2:5">
      <c r="B2357" t="s">
        <v>3838</v>
      </c>
      <c r="C2357">
        <v>507912</v>
      </c>
      <c r="D2357" t="s">
        <v>360</v>
      </c>
      <c r="E2357" t="s">
        <v>343</v>
      </c>
    </row>
    <row r="2358" spans="2:5">
      <c r="B2358" t="s">
        <v>3839</v>
      </c>
      <c r="C2358">
        <v>540192</v>
      </c>
      <c r="D2358" t="s">
        <v>360</v>
      </c>
      <c r="E2358" t="s">
        <v>343</v>
      </c>
    </row>
    <row r="2359" spans="2:5">
      <c r="B2359" t="s">
        <v>3840</v>
      </c>
      <c r="C2359">
        <v>512455</v>
      </c>
      <c r="D2359" t="s">
        <v>360</v>
      </c>
      <c r="E2359" t="s">
        <v>392</v>
      </c>
    </row>
    <row r="2360" spans="2:5">
      <c r="B2360" t="s">
        <v>3841</v>
      </c>
      <c r="C2360">
        <v>539992</v>
      </c>
      <c r="D2360" t="s">
        <v>3842</v>
      </c>
      <c r="E2360" t="s">
        <v>368</v>
      </c>
    </row>
    <row r="2361" spans="2:5">
      <c r="B2361" t="s">
        <v>3843</v>
      </c>
      <c r="C2361">
        <v>590082</v>
      </c>
      <c r="D2361" t="s">
        <v>360</v>
      </c>
      <c r="E2361" t="s">
        <v>343</v>
      </c>
    </row>
    <row r="2362" spans="2:5">
      <c r="B2362" t="s">
        <v>3844</v>
      </c>
      <c r="C2362">
        <v>532740</v>
      </c>
      <c r="D2362" t="s">
        <v>3845</v>
      </c>
      <c r="E2362" t="s">
        <v>368</v>
      </c>
    </row>
    <row r="2363" spans="2:5">
      <c r="B2363" t="s">
        <v>3846</v>
      </c>
      <c r="C2363">
        <v>526568</v>
      </c>
      <c r="D2363" t="s">
        <v>360</v>
      </c>
      <c r="E2363" t="s">
        <v>767</v>
      </c>
    </row>
    <row r="2364" spans="2:5">
      <c r="B2364" t="s">
        <v>3847</v>
      </c>
      <c r="C2364">
        <v>534422</v>
      </c>
      <c r="D2364" t="s">
        <v>360</v>
      </c>
      <c r="E2364" t="s">
        <v>830</v>
      </c>
    </row>
    <row r="2365" spans="2:5">
      <c r="B2365" t="s">
        <v>3848</v>
      </c>
      <c r="C2365">
        <v>500284</v>
      </c>
      <c r="D2365" t="s">
        <v>360</v>
      </c>
      <c r="E2365" t="s">
        <v>408</v>
      </c>
    </row>
    <row r="2366" spans="2:5">
      <c r="B2366" t="s">
        <v>3849</v>
      </c>
      <c r="C2366">
        <v>530065</v>
      </c>
      <c r="D2366" t="s">
        <v>360</v>
      </c>
      <c r="E2366" t="s">
        <v>561</v>
      </c>
    </row>
    <row r="2367" spans="2:5">
      <c r="B2367" t="s">
        <v>3850</v>
      </c>
      <c r="C2367">
        <v>540952</v>
      </c>
      <c r="D2367" t="s">
        <v>360</v>
      </c>
      <c r="E2367" t="s">
        <v>474</v>
      </c>
    </row>
    <row r="2368" spans="2:5">
      <c r="B2368" t="s">
        <v>3851</v>
      </c>
      <c r="C2368">
        <v>523475</v>
      </c>
      <c r="D2368" t="s">
        <v>360</v>
      </c>
      <c r="E2368" t="s">
        <v>420</v>
      </c>
    </row>
    <row r="2369" spans="2:5">
      <c r="B2369" t="s">
        <v>3852</v>
      </c>
      <c r="C2369">
        <v>532998</v>
      </c>
      <c r="D2369" t="s">
        <v>3853</v>
      </c>
      <c r="E2369" t="s">
        <v>830</v>
      </c>
    </row>
    <row r="2370" spans="2:5">
      <c r="B2370" t="s">
        <v>3854</v>
      </c>
      <c r="C2370">
        <v>533343</v>
      </c>
      <c r="D2370" t="s">
        <v>3855</v>
      </c>
      <c r="E2370" t="s">
        <v>474</v>
      </c>
    </row>
    <row r="2371" spans="2:5">
      <c r="B2371" t="s">
        <v>3856</v>
      </c>
      <c r="C2371">
        <v>539227</v>
      </c>
      <c r="D2371" t="s">
        <v>360</v>
      </c>
      <c r="E2371" t="s">
        <v>368</v>
      </c>
    </row>
    <row r="2372" spans="2:5">
      <c r="B2372" t="s">
        <v>3857</v>
      </c>
      <c r="C2372">
        <v>514036</v>
      </c>
      <c r="D2372" t="s">
        <v>360</v>
      </c>
      <c r="E2372" t="s">
        <v>375</v>
      </c>
    </row>
    <row r="2373" spans="2:5">
      <c r="B2373" t="s">
        <v>3858</v>
      </c>
      <c r="C2373">
        <v>532783</v>
      </c>
      <c r="D2373" t="s">
        <v>3859</v>
      </c>
      <c r="E2373" t="s">
        <v>420</v>
      </c>
    </row>
    <row r="2374" spans="2:5">
      <c r="B2374" t="s">
        <v>3860</v>
      </c>
      <c r="C2374">
        <v>526179</v>
      </c>
      <c r="D2374" t="s">
        <v>360</v>
      </c>
      <c r="E2374" t="s">
        <v>597</v>
      </c>
    </row>
    <row r="2375" spans="2:5">
      <c r="B2375" t="s">
        <v>3861</v>
      </c>
      <c r="C2375">
        <v>512048</v>
      </c>
      <c r="D2375" t="s">
        <v>360</v>
      </c>
      <c r="E2375" t="s">
        <v>446</v>
      </c>
    </row>
    <row r="2376" spans="2:5">
      <c r="B2376" t="s">
        <v>3862</v>
      </c>
      <c r="C2376">
        <v>532796</v>
      </c>
      <c r="D2376" t="s">
        <v>3863</v>
      </c>
      <c r="E2376" t="s">
        <v>715</v>
      </c>
    </row>
    <row r="2377" spans="2:5">
      <c r="B2377" t="s">
        <v>3864</v>
      </c>
      <c r="C2377">
        <v>517206</v>
      </c>
      <c r="D2377" t="s">
        <v>3865</v>
      </c>
      <c r="E2377" t="s">
        <v>715</v>
      </c>
    </row>
    <row r="2378" spans="2:5">
      <c r="B2378" t="s">
        <v>3866</v>
      </c>
      <c r="C2378">
        <v>500257</v>
      </c>
      <c r="D2378" t="s">
        <v>3867</v>
      </c>
      <c r="E2378" t="s">
        <v>398</v>
      </c>
    </row>
    <row r="2379" spans="2:5">
      <c r="B2379" t="s">
        <v>3868</v>
      </c>
      <c r="C2379">
        <v>539542</v>
      </c>
      <c r="D2379" t="s">
        <v>3869</v>
      </c>
      <c r="E2379" t="s">
        <v>474</v>
      </c>
    </row>
    <row r="2380" spans="2:5">
      <c r="B2380" t="s">
        <v>3870</v>
      </c>
      <c r="C2380">
        <v>531402</v>
      </c>
      <c r="D2380" t="s">
        <v>360</v>
      </c>
      <c r="E2380" t="s">
        <v>382</v>
      </c>
    </row>
    <row r="2381" spans="2:5">
      <c r="B2381" t="s">
        <v>3871</v>
      </c>
      <c r="C2381">
        <v>500259</v>
      </c>
      <c r="D2381" t="s">
        <v>3872</v>
      </c>
      <c r="E2381" t="s">
        <v>398</v>
      </c>
    </row>
    <row r="2382" spans="2:5">
      <c r="B2382" t="s">
        <v>3873</v>
      </c>
      <c r="C2382">
        <v>530689</v>
      </c>
      <c r="D2382" t="s">
        <v>360</v>
      </c>
      <c r="E2382" t="s">
        <v>542</v>
      </c>
    </row>
    <row r="2383" spans="2:5">
      <c r="B2383" t="s">
        <v>3874</v>
      </c>
      <c r="C2383">
        <v>505320</v>
      </c>
      <c r="D2383" t="s">
        <v>360</v>
      </c>
      <c r="E2383" t="s">
        <v>368</v>
      </c>
    </row>
    <row r="2384" spans="2:5">
      <c r="B2384" t="s">
        <v>3875</v>
      </c>
      <c r="C2384">
        <v>534532</v>
      </c>
      <c r="D2384" t="s">
        <v>3876</v>
      </c>
      <c r="E2384" t="s">
        <v>474</v>
      </c>
    </row>
    <row r="2385" spans="2:5">
      <c r="B2385" t="s">
        <v>3877</v>
      </c>
      <c r="C2385">
        <v>526935</v>
      </c>
      <c r="D2385" t="s">
        <v>360</v>
      </c>
      <c r="E2385" t="s">
        <v>343</v>
      </c>
    </row>
    <row r="2386" spans="2:5">
      <c r="B2386" t="s">
        <v>3878</v>
      </c>
      <c r="C2386">
        <v>538890</v>
      </c>
      <c r="D2386" t="s">
        <v>360</v>
      </c>
      <c r="E2386" t="s">
        <v>375</v>
      </c>
    </row>
    <row r="2387" spans="2:5">
      <c r="B2387" t="s">
        <v>3879</v>
      </c>
      <c r="C2387">
        <v>538890</v>
      </c>
      <c r="D2387" t="s">
        <v>360</v>
      </c>
      <c r="E2387" t="s">
        <v>375</v>
      </c>
    </row>
    <row r="2388" spans="2:5">
      <c r="B2388" t="s">
        <v>3880</v>
      </c>
      <c r="C2388" t="s">
        <v>360</v>
      </c>
      <c r="D2388" t="s">
        <v>3881</v>
      </c>
      <c r="E2388" t="s">
        <v>371</v>
      </c>
    </row>
    <row r="2389" spans="2:5">
      <c r="B2389" t="s">
        <v>3882</v>
      </c>
      <c r="C2389">
        <v>506543</v>
      </c>
      <c r="D2389" t="s">
        <v>360</v>
      </c>
      <c r="E2389" t="s">
        <v>868</v>
      </c>
    </row>
    <row r="2390" spans="2:5">
      <c r="B2390" t="s">
        <v>3883</v>
      </c>
      <c r="C2390">
        <v>532906</v>
      </c>
      <c r="D2390" t="s">
        <v>3884</v>
      </c>
      <c r="E2390" t="s">
        <v>758</v>
      </c>
    </row>
    <row r="2391" spans="2:5">
      <c r="B2391" t="s">
        <v>3885</v>
      </c>
      <c r="C2391">
        <v>507836</v>
      </c>
      <c r="D2391" t="s">
        <v>360</v>
      </c>
      <c r="E2391" t="s">
        <v>561</v>
      </c>
    </row>
    <row r="2392" spans="2:5">
      <c r="B2392" t="s">
        <v>3886</v>
      </c>
      <c r="C2392">
        <v>507836</v>
      </c>
      <c r="D2392" t="s">
        <v>360</v>
      </c>
      <c r="E2392" t="s">
        <v>561</v>
      </c>
    </row>
    <row r="2393" spans="2:5">
      <c r="B2393" t="s">
        <v>3887</v>
      </c>
      <c r="C2393">
        <v>541973</v>
      </c>
      <c r="D2393" t="s">
        <v>360</v>
      </c>
      <c r="E2393" t="s">
        <v>561</v>
      </c>
    </row>
    <row r="2394" spans="2:5">
      <c r="B2394" t="s">
        <v>3888</v>
      </c>
      <c r="C2394">
        <v>523248</v>
      </c>
      <c r="D2394" t="s">
        <v>360</v>
      </c>
      <c r="E2394" t="s">
        <v>480</v>
      </c>
    </row>
    <row r="2395" spans="2:5">
      <c r="B2395" t="s">
        <v>3889</v>
      </c>
      <c r="C2395">
        <v>501471</v>
      </c>
      <c r="D2395" t="s">
        <v>360</v>
      </c>
      <c r="E2395" t="s">
        <v>382</v>
      </c>
    </row>
    <row r="2396" spans="2:5">
      <c r="B2396" t="s">
        <v>3890</v>
      </c>
      <c r="C2396" t="s">
        <v>360</v>
      </c>
      <c r="D2396" t="s">
        <v>3891</v>
      </c>
      <c r="E2396" t="s">
        <v>371</v>
      </c>
    </row>
    <row r="2397" spans="2:5">
      <c r="B2397" t="s">
        <v>3892</v>
      </c>
      <c r="C2397">
        <v>512600</v>
      </c>
      <c r="D2397" t="s">
        <v>360</v>
      </c>
      <c r="E2397" t="s">
        <v>382</v>
      </c>
    </row>
    <row r="2398" spans="2:5">
      <c r="B2398" t="s">
        <v>3893</v>
      </c>
      <c r="C2398" t="s">
        <v>360</v>
      </c>
      <c r="D2398" t="s">
        <v>3894</v>
      </c>
      <c r="E2398" t="s">
        <v>371</v>
      </c>
    </row>
    <row r="2399" spans="2:5">
      <c r="B2399" t="s">
        <v>3895</v>
      </c>
      <c r="C2399">
        <v>539894</v>
      </c>
      <c r="D2399" t="s">
        <v>360</v>
      </c>
      <c r="E2399" t="s">
        <v>758</v>
      </c>
    </row>
    <row r="2400" spans="2:5">
      <c r="B2400" t="s">
        <v>3896</v>
      </c>
      <c r="C2400">
        <v>515093</v>
      </c>
      <c r="D2400" t="s">
        <v>3897</v>
      </c>
      <c r="E2400" t="s">
        <v>888</v>
      </c>
    </row>
    <row r="2401" spans="2:5">
      <c r="B2401" t="s">
        <v>3898</v>
      </c>
      <c r="C2401">
        <v>780009</v>
      </c>
      <c r="D2401" t="s">
        <v>360</v>
      </c>
      <c r="E2401" t="s">
        <v>451</v>
      </c>
    </row>
    <row r="2402" spans="2:5">
      <c r="B2402" t="s">
        <v>3899</v>
      </c>
      <c r="C2402">
        <v>531497</v>
      </c>
      <c r="D2402" t="s">
        <v>3900</v>
      </c>
      <c r="E2402" t="s">
        <v>758</v>
      </c>
    </row>
    <row r="2403" spans="2:5">
      <c r="B2403" t="s">
        <v>3901</v>
      </c>
      <c r="C2403">
        <v>519279</v>
      </c>
      <c r="D2403" t="s">
        <v>360</v>
      </c>
      <c r="E2403" t="s">
        <v>558</v>
      </c>
    </row>
    <row r="2404" spans="2:5">
      <c r="B2404" t="s">
        <v>3902</v>
      </c>
      <c r="C2404">
        <v>515059</v>
      </c>
      <c r="D2404" t="s">
        <v>360</v>
      </c>
      <c r="E2404" t="s">
        <v>609</v>
      </c>
    </row>
    <row r="2405" spans="2:5">
      <c r="B2405" t="s">
        <v>3903</v>
      </c>
      <c r="C2405">
        <v>511000</v>
      </c>
      <c r="D2405" t="s">
        <v>360</v>
      </c>
      <c r="E2405" t="s">
        <v>377</v>
      </c>
    </row>
    <row r="2406" spans="2:5">
      <c r="B2406" t="s">
        <v>3904</v>
      </c>
      <c r="C2406">
        <v>531910</v>
      </c>
      <c r="D2406" t="s">
        <v>360</v>
      </c>
      <c r="E2406" t="s">
        <v>398</v>
      </c>
    </row>
    <row r="2407" spans="2:5">
      <c r="B2407" t="s">
        <v>3905</v>
      </c>
      <c r="C2407" t="s">
        <v>360</v>
      </c>
      <c r="D2407" t="s">
        <v>3906</v>
      </c>
      <c r="E2407" t="s">
        <v>371</v>
      </c>
    </row>
    <row r="2408" spans="2:5">
      <c r="B2408" t="s">
        <v>3907</v>
      </c>
      <c r="C2408" t="s">
        <v>360</v>
      </c>
      <c r="D2408" t="s">
        <v>3908</v>
      </c>
      <c r="E2408" t="s">
        <v>371</v>
      </c>
    </row>
    <row r="2409" spans="2:5">
      <c r="B2409" t="s">
        <v>3909</v>
      </c>
      <c r="C2409">
        <v>590134</v>
      </c>
      <c r="D2409" t="s">
        <v>3910</v>
      </c>
      <c r="E2409" t="s">
        <v>868</v>
      </c>
    </row>
    <row r="2410" spans="2:5">
      <c r="B2410" t="s">
        <v>3911</v>
      </c>
      <c r="C2410">
        <v>538401</v>
      </c>
      <c r="D2410" t="s">
        <v>360</v>
      </c>
      <c r="E2410" t="s">
        <v>902</v>
      </c>
    </row>
    <row r="2411" spans="2:5">
      <c r="B2411" t="s">
        <v>3912</v>
      </c>
      <c r="C2411">
        <v>500264</v>
      </c>
      <c r="D2411" t="s">
        <v>360</v>
      </c>
      <c r="E2411" t="s">
        <v>375</v>
      </c>
    </row>
    <row r="2412" spans="2:5">
      <c r="B2412" t="s">
        <v>3913</v>
      </c>
      <c r="C2412">
        <v>540650</v>
      </c>
      <c r="D2412" t="s">
        <v>3914</v>
      </c>
      <c r="E2412" t="s">
        <v>1058</v>
      </c>
    </row>
    <row r="2413" spans="2:5">
      <c r="B2413" t="s">
        <v>3915</v>
      </c>
      <c r="C2413">
        <v>524000</v>
      </c>
      <c r="D2413" t="s">
        <v>3916</v>
      </c>
      <c r="E2413" t="s">
        <v>377</v>
      </c>
    </row>
    <row r="2414" spans="2:5">
      <c r="B2414" t="s">
        <v>3917</v>
      </c>
      <c r="C2414">
        <v>517449</v>
      </c>
      <c r="D2414" t="s">
        <v>360</v>
      </c>
      <c r="E2414" t="s">
        <v>1279</v>
      </c>
    </row>
    <row r="2415" spans="2:5">
      <c r="B2415" t="s">
        <v>3918</v>
      </c>
      <c r="C2415">
        <v>512377</v>
      </c>
      <c r="D2415" t="s">
        <v>360</v>
      </c>
      <c r="E2415" t="s">
        <v>781</v>
      </c>
    </row>
    <row r="2416" spans="2:5">
      <c r="B2416" t="s">
        <v>3919</v>
      </c>
      <c r="C2416">
        <v>532896</v>
      </c>
      <c r="D2416" t="s">
        <v>3920</v>
      </c>
      <c r="E2416" t="s">
        <v>354</v>
      </c>
    </row>
    <row r="2417" spans="2:5">
      <c r="B2417" t="s">
        <v>3921</v>
      </c>
      <c r="C2417">
        <v>523384</v>
      </c>
      <c r="D2417" t="s">
        <v>3922</v>
      </c>
      <c r="E2417" t="s">
        <v>377</v>
      </c>
    </row>
    <row r="2418" spans="2:5">
      <c r="B2418" t="s">
        <v>3923</v>
      </c>
      <c r="C2418">
        <v>519612</v>
      </c>
      <c r="D2418" t="s">
        <v>360</v>
      </c>
      <c r="E2418" t="s">
        <v>420</v>
      </c>
    </row>
    <row r="2419" spans="2:5">
      <c r="B2419" t="s">
        <v>3924</v>
      </c>
      <c r="C2419">
        <v>514450</v>
      </c>
      <c r="D2419" t="s">
        <v>360</v>
      </c>
      <c r="E2419" t="s">
        <v>1279</v>
      </c>
    </row>
    <row r="2420" spans="2:5">
      <c r="B2420" t="s">
        <v>3925</v>
      </c>
      <c r="C2420">
        <v>513460</v>
      </c>
      <c r="D2420" t="s">
        <v>360</v>
      </c>
      <c r="E2420" t="s">
        <v>683</v>
      </c>
    </row>
    <row r="2421" spans="2:5">
      <c r="B2421" t="s">
        <v>3926</v>
      </c>
      <c r="C2421">
        <v>513554</v>
      </c>
      <c r="D2421" t="s">
        <v>3927</v>
      </c>
      <c r="E2421" t="s">
        <v>683</v>
      </c>
    </row>
    <row r="2422" spans="2:5">
      <c r="B2422" t="s">
        <v>3928</v>
      </c>
      <c r="C2422">
        <v>531515</v>
      </c>
      <c r="D2422" t="s">
        <v>360</v>
      </c>
      <c r="E2422" t="s">
        <v>382</v>
      </c>
    </row>
    <row r="2423" spans="2:5">
      <c r="B2423" t="s">
        <v>3929</v>
      </c>
      <c r="C2423">
        <v>539957</v>
      </c>
      <c r="D2423" t="s">
        <v>3930</v>
      </c>
      <c r="E2423" t="s">
        <v>385</v>
      </c>
    </row>
    <row r="2424" spans="2:5">
      <c r="B2424" t="s">
        <v>3931</v>
      </c>
      <c r="C2424">
        <v>500108</v>
      </c>
      <c r="D2424" t="s">
        <v>3932</v>
      </c>
      <c r="E2424" t="s">
        <v>1303</v>
      </c>
    </row>
    <row r="2425" spans="2:5">
      <c r="B2425" t="s">
        <v>3933</v>
      </c>
      <c r="C2425">
        <v>530441</v>
      </c>
      <c r="D2425" t="s">
        <v>360</v>
      </c>
      <c r="E2425" t="s">
        <v>781</v>
      </c>
    </row>
    <row r="2426" spans="2:5">
      <c r="B2426" t="s">
        <v>3934</v>
      </c>
      <c r="C2426">
        <v>530441</v>
      </c>
      <c r="D2426" t="s">
        <v>360</v>
      </c>
      <c r="E2426" t="s">
        <v>781</v>
      </c>
    </row>
    <row r="2427" spans="2:5">
      <c r="B2427" t="s">
        <v>3935</v>
      </c>
      <c r="C2427">
        <v>505523</v>
      </c>
      <c r="D2427" t="s">
        <v>360</v>
      </c>
      <c r="E2427" t="s">
        <v>382</v>
      </c>
    </row>
    <row r="2428" spans="2:5">
      <c r="B2428" t="s">
        <v>3936</v>
      </c>
      <c r="C2428">
        <v>500266</v>
      </c>
      <c r="D2428" t="s">
        <v>3937</v>
      </c>
      <c r="E2428" t="s">
        <v>380</v>
      </c>
    </row>
    <row r="2429" spans="2:5">
      <c r="B2429" t="s">
        <v>3938</v>
      </c>
      <c r="C2429">
        <v>500265</v>
      </c>
      <c r="D2429" t="s">
        <v>3939</v>
      </c>
      <c r="E2429" t="s">
        <v>758</v>
      </c>
    </row>
    <row r="2430" spans="2:5">
      <c r="B2430" t="s">
        <v>3940</v>
      </c>
      <c r="C2430">
        <v>526795</v>
      </c>
      <c r="D2430" t="s">
        <v>360</v>
      </c>
      <c r="E2430" t="s">
        <v>432</v>
      </c>
    </row>
    <row r="2431" spans="2:5">
      <c r="B2431" t="s">
        <v>3941</v>
      </c>
      <c r="C2431">
        <v>512337</v>
      </c>
      <c r="D2431" t="s">
        <v>360</v>
      </c>
      <c r="E2431" t="s">
        <v>382</v>
      </c>
    </row>
    <row r="2432" spans="2:5">
      <c r="B2432" t="s">
        <v>3942</v>
      </c>
      <c r="C2432">
        <v>539383</v>
      </c>
      <c r="D2432" t="s">
        <v>360</v>
      </c>
      <c r="E2432" t="s">
        <v>346</v>
      </c>
    </row>
    <row r="2433" spans="2:5">
      <c r="B2433" t="s">
        <v>3943</v>
      </c>
      <c r="C2433">
        <v>531648</v>
      </c>
      <c r="D2433" t="s">
        <v>360</v>
      </c>
      <c r="E2433" t="s">
        <v>434</v>
      </c>
    </row>
    <row r="2434" spans="2:5">
      <c r="B2434" t="s">
        <v>3944</v>
      </c>
      <c r="C2434">
        <v>542677</v>
      </c>
      <c r="D2434" t="s">
        <v>3945</v>
      </c>
      <c r="E2434" t="s">
        <v>446</v>
      </c>
    </row>
    <row r="2435" spans="2:5">
      <c r="B2435" t="s">
        <v>3946</v>
      </c>
      <c r="C2435" t="s">
        <v>360</v>
      </c>
      <c r="D2435" t="s">
        <v>3947</v>
      </c>
      <c r="E2435" t="s">
        <v>371</v>
      </c>
    </row>
    <row r="2436" spans="2:5">
      <c r="B2436" t="s">
        <v>3948</v>
      </c>
      <c r="C2436" t="s">
        <v>360</v>
      </c>
      <c r="D2436" t="s">
        <v>3949</v>
      </c>
      <c r="E2436" t="s">
        <v>371</v>
      </c>
    </row>
    <row r="2437" spans="2:5">
      <c r="B2437" t="s">
        <v>3950</v>
      </c>
      <c r="C2437">
        <v>532720</v>
      </c>
      <c r="D2437" t="s">
        <v>3951</v>
      </c>
      <c r="E2437" t="s">
        <v>377</v>
      </c>
    </row>
    <row r="2438" spans="2:5">
      <c r="B2438" t="s">
        <v>3952</v>
      </c>
      <c r="C2438">
        <v>500520</v>
      </c>
      <c r="D2438" t="s">
        <v>3953</v>
      </c>
      <c r="E2438" t="s">
        <v>2289</v>
      </c>
    </row>
    <row r="2439" spans="2:5">
      <c r="B2439" t="s">
        <v>3954</v>
      </c>
      <c r="C2439">
        <v>532756</v>
      </c>
      <c r="D2439" t="s">
        <v>3955</v>
      </c>
      <c r="E2439" t="s">
        <v>1279</v>
      </c>
    </row>
    <row r="2440" spans="2:5">
      <c r="B2440" t="s">
        <v>3956</v>
      </c>
      <c r="C2440">
        <v>533088</v>
      </c>
      <c r="D2440" t="s">
        <v>3957</v>
      </c>
      <c r="E2440" t="s">
        <v>561</v>
      </c>
    </row>
    <row r="2441" spans="2:5">
      <c r="B2441" t="s">
        <v>3958</v>
      </c>
      <c r="C2441">
        <v>533088</v>
      </c>
      <c r="D2441" t="s">
        <v>3957</v>
      </c>
      <c r="E2441" t="s">
        <v>561</v>
      </c>
    </row>
    <row r="2442" spans="2:5">
      <c r="B2442" t="s">
        <v>3959</v>
      </c>
      <c r="C2442">
        <v>532313</v>
      </c>
      <c r="D2442" t="s">
        <v>3960</v>
      </c>
      <c r="E2442" t="s">
        <v>446</v>
      </c>
    </row>
    <row r="2443" spans="2:5">
      <c r="B2443" t="s">
        <v>3961</v>
      </c>
      <c r="C2443">
        <v>540768</v>
      </c>
      <c r="D2443" t="s">
        <v>3962</v>
      </c>
      <c r="E2443" t="s">
        <v>681</v>
      </c>
    </row>
    <row r="2444" spans="2:5">
      <c r="B2444" t="s">
        <v>3963</v>
      </c>
      <c r="C2444">
        <v>542503</v>
      </c>
      <c r="D2444" t="s">
        <v>3964</v>
      </c>
      <c r="E2444" t="s">
        <v>2337</v>
      </c>
    </row>
    <row r="2445" spans="2:5">
      <c r="B2445" t="s">
        <v>3965</v>
      </c>
      <c r="C2445">
        <v>590078</v>
      </c>
      <c r="D2445" t="s">
        <v>3966</v>
      </c>
      <c r="E2445" t="s">
        <v>392</v>
      </c>
    </row>
    <row r="2446" spans="2:5">
      <c r="B2446" t="s">
        <v>3967</v>
      </c>
      <c r="C2446">
        <v>513430</v>
      </c>
      <c r="D2446" t="s">
        <v>360</v>
      </c>
      <c r="E2446" t="s">
        <v>665</v>
      </c>
    </row>
    <row r="2447" spans="2:5">
      <c r="B2447" t="s">
        <v>3968</v>
      </c>
      <c r="C2447">
        <v>539289</v>
      </c>
      <c r="D2447" t="s">
        <v>3969</v>
      </c>
      <c r="E2447" t="s">
        <v>346</v>
      </c>
    </row>
    <row r="2448" spans="2:5">
      <c r="B2448" t="s">
        <v>3970</v>
      </c>
      <c r="C2448">
        <v>500267</v>
      </c>
      <c r="D2448" t="s">
        <v>360</v>
      </c>
      <c r="E2448" t="s">
        <v>1017</v>
      </c>
    </row>
    <row r="2449" spans="2:5">
      <c r="B2449" t="s">
        <v>3971</v>
      </c>
      <c r="C2449">
        <v>539229</v>
      </c>
      <c r="D2449" t="s">
        <v>360</v>
      </c>
      <c r="E2449" t="s">
        <v>349</v>
      </c>
    </row>
    <row r="2450" spans="2:5">
      <c r="B2450" t="s">
        <v>3972</v>
      </c>
      <c r="C2450">
        <v>506919</v>
      </c>
      <c r="D2450" t="s">
        <v>360</v>
      </c>
      <c r="E2450" t="s">
        <v>398</v>
      </c>
    </row>
    <row r="2451" spans="2:5">
      <c r="B2451" t="s">
        <v>3973</v>
      </c>
      <c r="C2451">
        <v>539400</v>
      </c>
      <c r="D2451" t="s">
        <v>360</v>
      </c>
      <c r="E2451" t="s">
        <v>474</v>
      </c>
    </row>
    <row r="2452" spans="2:5">
      <c r="B2452" t="s">
        <v>3974</v>
      </c>
      <c r="C2452">
        <v>539400</v>
      </c>
      <c r="D2452" t="s">
        <v>360</v>
      </c>
      <c r="E2452" t="s">
        <v>474</v>
      </c>
    </row>
    <row r="2453" spans="2:5">
      <c r="B2453" t="s">
        <v>3975</v>
      </c>
      <c r="C2453">
        <v>532728</v>
      </c>
      <c r="D2453" t="s">
        <v>3976</v>
      </c>
      <c r="E2453" t="s">
        <v>354</v>
      </c>
    </row>
    <row r="2454" spans="2:5">
      <c r="B2454" t="s">
        <v>3977</v>
      </c>
      <c r="C2454">
        <v>513269</v>
      </c>
      <c r="D2454" t="s">
        <v>3978</v>
      </c>
      <c r="E2454" t="s">
        <v>758</v>
      </c>
    </row>
    <row r="2455" spans="2:5">
      <c r="B2455" t="s">
        <v>3979</v>
      </c>
      <c r="C2455">
        <v>513269</v>
      </c>
      <c r="D2455" t="s">
        <v>3978</v>
      </c>
      <c r="E2455" t="s">
        <v>758</v>
      </c>
    </row>
    <row r="2456" spans="2:5">
      <c r="B2456" t="s">
        <v>3980</v>
      </c>
      <c r="C2456">
        <v>533169</v>
      </c>
      <c r="D2456" t="s">
        <v>3981</v>
      </c>
      <c r="E2456" t="s">
        <v>758</v>
      </c>
    </row>
    <row r="2457" spans="2:5">
      <c r="B2457" t="s">
        <v>3982</v>
      </c>
      <c r="C2457">
        <v>539045</v>
      </c>
      <c r="D2457" t="s">
        <v>3983</v>
      </c>
      <c r="E2457" t="s">
        <v>665</v>
      </c>
    </row>
    <row r="2458" spans="2:5">
      <c r="B2458" t="s">
        <v>3984</v>
      </c>
      <c r="C2458">
        <v>539046</v>
      </c>
      <c r="D2458" t="s">
        <v>3985</v>
      </c>
      <c r="E2458" t="s">
        <v>392</v>
      </c>
    </row>
    <row r="2459" spans="2:5">
      <c r="B2459" t="s">
        <v>3986</v>
      </c>
      <c r="C2459">
        <v>532932</v>
      </c>
      <c r="D2459" t="s">
        <v>3987</v>
      </c>
      <c r="E2459" t="s">
        <v>555</v>
      </c>
    </row>
    <row r="2460" spans="2:5">
      <c r="B2460" t="s">
        <v>3988</v>
      </c>
      <c r="C2460">
        <v>539044</v>
      </c>
      <c r="D2460" t="s">
        <v>3989</v>
      </c>
      <c r="E2460" t="s">
        <v>392</v>
      </c>
    </row>
    <row r="2461" spans="2:5">
      <c r="B2461" t="s">
        <v>3990</v>
      </c>
      <c r="C2461">
        <v>500268</v>
      </c>
      <c r="D2461" t="s">
        <v>3991</v>
      </c>
      <c r="E2461" t="s">
        <v>574</v>
      </c>
    </row>
    <row r="2462" spans="2:5">
      <c r="B2462" t="s">
        <v>3992</v>
      </c>
      <c r="C2462">
        <v>531213</v>
      </c>
      <c r="D2462" t="s">
        <v>3993</v>
      </c>
      <c r="E2462" t="s">
        <v>377</v>
      </c>
    </row>
    <row r="2463" spans="2:5">
      <c r="B2463" t="s">
        <v>3994</v>
      </c>
      <c r="C2463">
        <v>540402</v>
      </c>
      <c r="D2463" t="s">
        <v>360</v>
      </c>
      <c r="E2463" t="s">
        <v>446</v>
      </c>
    </row>
    <row r="2464" spans="2:5">
      <c r="B2464" t="s">
        <v>3995</v>
      </c>
      <c r="C2464" t="s">
        <v>360</v>
      </c>
      <c r="D2464" t="s">
        <v>3996</v>
      </c>
      <c r="E2464" t="s">
        <v>371</v>
      </c>
    </row>
    <row r="2465" spans="2:5">
      <c r="B2465" t="s">
        <v>3997</v>
      </c>
      <c r="C2465">
        <v>533204</v>
      </c>
      <c r="D2465" t="s">
        <v>3998</v>
      </c>
      <c r="E2465" t="s">
        <v>375</v>
      </c>
    </row>
    <row r="2466" spans="2:5">
      <c r="B2466" t="s">
        <v>3999</v>
      </c>
      <c r="C2466">
        <v>505850</v>
      </c>
      <c r="D2466" t="s">
        <v>4000</v>
      </c>
      <c r="E2466" t="s">
        <v>377</v>
      </c>
    </row>
    <row r="2467" spans="2:5">
      <c r="B2467" t="s">
        <v>4001</v>
      </c>
      <c r="C2467">
        <v>502157</v>
      </c>
      <c r="D2467" t="s">
        <v>4002</v>
      </c>
      <c r="E2467" t="s">
        <v>373</v>
      </c>
    </row>
    <row r="2468" spans="2:5">
      <c r="B2468" t="s">
        <v>4003</v>
      </c>
      <c r="C2468">
        <v>532637</v>
      </c>
      <c r="D2468" t="s">
        <v>4004</v>
      </c>
      <c r="E2468" t="s">
        <v>398</v>
      </c>
    </row>
    <row r="2469" spans="2:5">
      <c r="B2469" t="s">
        <v>4005</v>
      </c>
      <c r="C2469">
        <v>537800</v>
      </c>
      <c r="D2469" t="s">
        <v>360</v>
      </c>
      <c r="E2469" t="s">
        <v>377</v>
      </c>
    </row>
    <row r="2470" spans="2:5">
      <c r="B2470" t="s">
        <v>4006</v>
      </c>
      <c r="C2470">
        <v>514418</v>
      </c>
      <c r="D2470" t="s">
        <v>360</v>
      </c>
      <c r="E2470" t="s">
        <v>408</v>
      </c>
    </row>
    <row r="2471" spans="2:5">
      <c r="B2471" t="s">
        <v>4007</v>
      </c>
      <c r="C2471">
        <v>539275</v>
      </c>
      <c r="D2471" t="s">
        <v>360</v>
      </c>
      <c r="E2471" t="s">
        <v>558</v>
      </c>
    </row>
    <row r="2472" spans="2:5">
      <c r="B2472" t="s">
        <v>4008</v>
      </c>
      <c r="C2472">
        <v>516007</v>
      </c>
      <c r="D2472" t="s">
        <v>4009</v>
      </c>
      <c r="E2472" t="s">
        <v>855</v>
      </c>
    </row>
    <row r="2473" spans="2:5">
      <c r="B2473" t="s">
        <v>4010</v>
      </c>
      <c r="C2473">
        <v>530011</v>
      </c>
      <c r="D2473" t="s">
        <v>4011</v>
      </c>
      <c r="E2473" t="s">
        <v>868</v>
      </c>
    </row>
    <row r="2474" spans="2:5">
      <c r="B2474" t="s">
        <v>4012</v>
      </c>
      <c r="C2474">
        <v>500109</v>
      </c>
      <c r="D2474" t="s">
        <v>4013</v>
      </c>
      <c r="E2474" t="s">
        <v>1288</v>
      </c>
    </row>
    <row r="2475" spans="2:5">
      <c r="B2475" t="s">
        <v>4014</v>
      </c>
      <c r="C2475">
        <v>530243</v>
      </c>
      <c r="D2475" t="s">
        <v>360</v>
      </c>
      <c r="E2475" t="s">
        <v>453</v>
      </c>
    </row>
    <row r="2476" spans="2:5">
      <c r="B2476" t="s">
        <v>4015</v>
      </c>
      <c r="C2476">
        <v>507938</v>
      </c>
      <c r="D2476" t="s">
        <v>360</v>
      </c>
      <c r="E2476" t="s">
        <v>377</v>
      </c>
    </row>
    <row r="2477" spans="2:5">
      <c r="B2477" t="s">
        <v>4016</v>
      </c>
      <c r="C2477">
        <v>533078</v>
      </c>
      <c r="D2477" t="s">
        <v>360</v>
      </c>
      <c r="E2477" t="s">
        <v>446</v>
      </c>
    </row>
    <row r="2478" spans="2:5">
      <c r="B2478" t="s">
        <v>4017</v>
      </c>
      <c r="C2478">
        <v>540396</v>
      </c>
      <c r="D2478" t="s">
        <v>360</v>
      </c>
      <c r="E2478" t="s">
        <v>375</v>
      </c>
    </row>
    <row r="2479" spans="2:5">
      <c r="B2479" t="s">
        <v>4018</v>
      </c>
      <c r="C2479">
        <v>540396</v>
      </c>
      <c r="D2479" t="s">
        <v>360</v>
      </c>
      <c r="E2479" t="s">
        <v>375</v>
      </c>
    </row>
    <row r="2480" spans="2:5">
      <c r="B2480" t="s">
        <v>4019</v>
      </c>
      <c r="C2480">
        <v>541974</v>
      </c>
      <c r="D2480" t="s">
        <v>360</v>
      </c>
      <c r="E2480" t="s">
        <v>609</v>
      </c>
    </row>
    <row r="2481" spans="2:5">
      <c r="B2481" t="s">
        <v>4020</v>
      </c>
      <c r="C2481">
        <v>539207</v>
      </c>
      <c r="D2481" t="s">
        <v>4021</v>
      </c>
      <c r="E2481" t="s">
        <v>795</v>
      </c>
    </row>
    <row r="2482" spans="2:5">
      <c r="B2482" t="s">
        <v>4022</v>
      </c>
      <c r="C2482">
        <v>530537</v>
      </c>
      <c r="D2482" t="s">
        <v>360</v>
      </c>
      <c r="E2482" t="s">
        <v>418</v>
      </c>
    </row>
    <row r="2483" spans="2:5">
      <c r="B2483" t="s">
        <v>4023</v>
      </c>
      <c r="C2483">
        <v>511758</v>
      </c>
      <c r="D2483" t="s">
        <v>360</v>
      </c>
      <c r="E2483" t="s">
        <v>377</v>
      </c>
    </row>
    <row r="2484" spans="2:5">
      <c r="B2484" t="s">
        <v>4024</v>
      </c>
      <c r="C2484">
        <v>512303</v>
      </c>
      <c r="D2484" t="s">
        <v>360</v>
      </c>
      <c r="E2484" t="s">
        <v>781</v>
      </c>
    </row>
    <row r="2485" spans="2:5">
      <c r="B2485" t="s">
        <v>4025</v>
      </c>
      <c r="C2485">
        <v>505324</v>
      </c>
      <c r="D2485" t="s">
        <v>4026</v>
      </c>
      <c r="E2485" t="s">
        <v>368</v>
      </c>
    </row>
    <row r="2486" spans="2:5">
      <c r="B2486" t="s">
        <v>4027</v>
      </c>
      <c r="C2486">
        <v>505324</v>
      </c>
      <c r="D2486" t="s">
        <v>4026</v>
      </c>
      <c r="E2486" t="s">
        <v>368</v>
      </c>
    </row>
    <row r="2487" spans="2:5">
      <c r="B2487" t="s">
        <v>4028</v>
      </c>
      <c r="C2487">
        <v>538970</v>
      </c>
      <c r="D2487" t="s">
        <v>360</v>
      </c>
      <c r="E2487" t="s">
        <v>446</v>
      </c>
    </row>
    <row r="2488" spans="2:5">
      <c r="B2488" t="s">
        <v>4029</v>
      </c>
      <c r="C2488">
        <v>521018</v>
      </c>
      <c r="D2488" t="s">
        <v>4030</v>
      </c>
      <c r="E2488" t="s">
        <v>375</v>
      </c>
    </row>
    <row r="2489" spans="2:5">
      <c r="B2489" t="s">
        <v>4031</v>
      </c>
      <c r="C2489">
        <v>503101</v>
      </c>
      <c r="D2489" t="s">
        <v>4032</v>
      </c>
      <c r="E2489" t="s">
        <v>446</v>
      </c>
    </row>
    <row r="2490" spans="2:5">
      <c r="B2490" t="s">
        <v>4033</v>
      </c>
      <c r="C2490">
        <v>502250</v>
      </c>
      <c r="D2490" t="s">
        <v>360</v>
      </c>
      <c r="E2490" t="s">
        <v>888</v>
      </c>
    </row>
    <row r="2491" spans="2:5">
      <c r="B2491" t="s">
        <v>4034</v>
      </c>
      <c r="C2491">
        <v>513544</v>
      </c>
      <c r="D2491" t="s">
        <v>360</v>
      </c>
      <c r="E2491" t="s">
        <v>434</v>
      </c>
    </row>
    <row r="2492" spans="2:5">
      <c r="B2492" t="s">
        <v>4035</v>
      </c>
      <c r="C2492">
        <v>530543</v>
      </c>
      <c r="D2492" t="s">
        <v>360</v>
      </c>
      <c r="E2492" t="s">
        <v>446</v>
      </c>
    </row>
    <row r="2493" spans="2:5">
      <c r="B2493" t="s">
        <v>4036</v>
      </c>
      <c r="C2493">
        <v>540254</v>
      </c>
      <c r="D2493" t="s">
        <v>360</v>
      </c>
      <c r="E2493" t="s">
        <v>377</v>
      </c>
    </row>
    <row r="2494" spans="2:5">
      <c r="B2494" t="s">
        <v>4037</v>
      </c>
      <c r="C2494">
        <v>500206</v>
      </c>
      <c r="D2494" t="s">
        <v>360</v>
      </c>
      <c r="E2494" t="s">
        <v>377</v>
      </c>
    </row>
    <row r="2495" spans="2:5">
      <c r="B2495" t="s">
        <v>4038</v>
      </c>
      <c r="C2495">
        <v>531642</v>
      </c>
      <c r="D2495" t="s">
        <v>4039</v>
      </c>
      <c r="E2495" t="s">
        <v>542</v>
      </c>
    </row>
    <row r="2496" spans="2:5">
      <c r="B2496" t="s">
        <v>4040</v>
      </c>
      <c r="C2496" t="s">
        <v>360</v>
      </c>
      <c r="D2496" t="s">
        <v>4041</v>
      </c>
      <c r="E2496" t="s">
        <v>371</v>
      </c>
    </row>
    <row r="2497" spans="2:5">
      <c r="B2497" t="s">
        <v>4042</v>
      </c>
      <c r="C2497" t="s">
        <v>360</v>
      </c>
      <c r="D2497" t="s">
        <v>4041</v>
      </c>
      <c r="E2497" t="s">
        <v>371</v>
      </c>
    </row>
    <row r="2498" spans="2:5">
      <c r="B2498" t="s">
        <v>4043</v>
      </c>
      <c r="C2498">
        <v>531503</v>
      </c>
      <c r="D2498" t="s">
        <v>360</v>
      </c>
      <c r="E2498" t="s">
        <v>375</v>
      </c>
    </row>
    <row r="2499" spans="2:5">
      <c r="B2499" t="s">
        <v>4044</v>
      </c>
      <c r="C2499">
        <v>526891</v>
      </c>
      <c r="D2499" t="s">
        <v>360</v>
      </c>
      <c r="E2499" t="s">
        <v>343</v>
      </c>
    </row>
    <row r="2500" spans="2:5">
      <c r="B2500" t="s">
        <v>4045</v>
      </c>
      <c r="C2500">
        <v>524404</v>
      </c>
      <c r="D2500" t="s">
        <v>4046</v>
      </c>
      <c r="E2500" t="s">
        <v>398</v>
      </c>
    </row>
    <row r="2501" spans="2:5">
      <c r="B2501" t="s">
        <v>4047</v>
      </c>
      <c r="C2501" t="s">
        <v>360</v>
      </c>
      <c r="D2501" t="s">
        <v>4048</v>
      </c>
      <c r="E2501" t="s">
        <v>371</v>
      </c>
    </row>
    <row r="2502" spans="2:5">
      <c r="B2502" t="s">
        <v>4049</v>
      </c>
      <c r="C2502">
        <v>517467</v>
      </c>
      <c r="D2502" t="s">
        <v>360</v>
      </c>
      <c r="E2502" t="s">
        <v>658</v>
      </c>
    </row>
    <row r="2503" spans="2:5">
      <c r="B2503" t="s">
        <v>4050</v>
      </c>
      <c r="C2503">
        <v>523566</v>
      </c>
      <c r="D2503" t="s">
        <v>360</v>
      </c>
      <c r="E2503" t="s">
        <v>446</v>
      </c>
    </row>
    <row r="2504" spans="2:5">
      <c r="B2504" t="s">
        <v>4051</v>
      </c>
      <c r="C2504">
        <v>531540</v>
      </c>
      <c r="D2504" t="s">
        <v>360</v>
      </c>
      <c r="E2504" t="s">
        <v>758</v>
      </c>
    </row>
    <row r="2505" spans="2:5">
      <c r="B2505" t="s">
        <v>4052</v>
      </c>
      <c r="C2505">
        <v>531319</v>
      </c>
      <c r="D2505" t="s">
        <v>360</v>
      </c>
      <c r="E2505" t="s">
        <v>377</v>
      </c>
    </row>
    <row r="2506" spans="2:5">
      <c r="B2506" t="s">
        <v>4053</v>
      </c>
      <c r="C2506">
        <v>532500</v>
      </c>
      <c r="D2506" t="s">
        <v>4054</v>
      </c>
      <c r="E2506" t="s">
        <v>2289</v>
      </c>
    </row>
    <row r="2507" spans="2:5">
      <c r="B2507" t="s">
        <v>4055</v>
      </c>
      <c r="C2507">
        <v>532500</v>
      </c>
      <c r="D2507" t="s">
        <v>4054</v>
      </c>
      <c r="E2507" t="s">
        <v>2289</v>
      </c>
    </row>
    <row r="2508" spans="2:5">
      <c r="B2508" t="s">
        <v>4056</v>
      </c>
      <c r="C2508" t="s">
        <v>360</v>
      </c>
      <c r="D2508" t="s">
        <v>4057</v>
      </c>
      <c r="E2508" t="s">
        <v>371</v>
      </c>
    </row>
    <row r="2509" spans="2:5">
      <c r="B2509" t="s">
        <v>4058</v>
      </c>
      <c r="C2509">
        <v>540749</v>
      </c>
      <c r="D2509" t="s">
        <v>4059</v>
      </c>
      <c r="E2509" t="s">
        <v>377</v>
      </c>
    </row>
    <row r="2510" spans="2:5">
      <c r="B2510" t="s">
        <v>4060</v>
      </c>
      <c r="C2510" t="s">
        <v>360</v>
      </c>
      <c r="D2510" t="s">
        <v>4061</v>
      </c>
      <c r="E2510" t="s">
        <v>451</v>
      </c>
    </row>
    <row r="2511" spans="2:5">
      <c r="B2511" t="s">
        <v>4062</v>
      </c>
      <c r="C2511">
        <v>523704</v>
      </c>
      <c r="D2511" t="s">
        <v>4063</v>
      </c>
      <c r="E2511" t="s">
        <v>453</v>
      </c>
    </row>
    <row r="2512" spans="2:5">
      <c r="B2512" t="s">
        <v>4064</v>
      </c>
      <c r="C2512">
        <v>506867</v>
      </c>
      <c r="D2512" t="s">
        <v>360</v>
      </c>
      <c r="E2512" t="s">
        <v>375</v>
      </c>
    </row>
    <row r="2513" spans="2:5">
      <c r="B2513" t="s">
        <v>4065</v>
      </c>
      <c r="C2513">
        <v>511768</v>
      </c>
      <c r="D2513" t="s">
        <v>360</v>
      </c>
      <c r="E2513" t="s">
        <v>377</v>
      </c>
    </row>
    <row r="2514" spans="2:5">
      <c r="B2514" t="s">
        <v>4066</v>
      </c>
      <c r="C2514">
        <v>511688</v>
      </c>
      <c r="D2514" t="s">
        <v>360</v>
      </c>
      <c r="E2514" t="s">
        <v>377</v>
      </c>
    </row>
    <row r="2515" spans="2:5">
      <c r="B2515" t="s">
        <v>4067</v>
      </c>
      <c r="C2515">
        <v>540704</v>
      </c>
      <c r="D2515" t="s">
        <v>4068</v>
      </c>
      <c r="E2515" t="s">
        <v>366</v>
      </c>
    </row>
    <row r="2516" spans="2:5">
      <c r="B2516" t="s">
        <v>4069</v>
      </c>
      <c r="C2516">
        <v>539219</v>
      </c>
      <c r="D2516" t="s">
        <v>360</v>
      </c>
      <c r="E2516" t="s">
        <v>1279</v>
      </c>
    </row>
    <row r="2517" spans="2:5">
      <c r="B2517" t="s">
        <v>4070</v>
      </c>
      <c r="C2517">
        <v>500248</v>
      </c>
      <c r="D2517" t="s">
        <v>360</v>
      </c>
      <c r="E2517" t="s">
        <v>480</v>
      </c>
    </row>
    <row r="2518" spans="2:5">
      <c r="B2518" t="s">
        <v>4071</v>
      </c>
      <c r="C2518">
        <v>523371</v>
      </c>
      <c r="D2518" t="s">
        <v>4072</v>
      </c>
      <c r="E2518" t="s">
        <v>1058</v>
      </c>
    </row>
    <row r="2519" spans="2:5">
      <c r="B2519" t="s">
        <v>4073</v>
      </c>
      <c r="C2519">
        <v>539981</v>
      </c>
      <c r="D2519" t="s">
        <v>4074</v>
      </c>
      <c r="E2519" t="s">
        <v>526</v>
      </c>
    </row>
    <row r="2520" spans="2:5">
      <c r="B2520" t="s">
        <v>4075</v>
      </c>
      <c r="C2520">
        <v>534563</v>
      </c>
      <c r="D2520" t="s">
        <v>4076</v>
      </c>
      <c r="E2520" t="s">
        <v>368</v>
      </c>
    </row>
    <row r="2521" spans="2:5">
      <c r="B2521" t="s">
        <v>4077</v>
      </c>
      <c r="C2521">
        <v>500271</v>
      </c>
      <c r="D2521" t="s">
        <v>4078</v>
      </c>
      <c r="E2521" t="s">
        <v>2772</v>
      </c>
    </row>
    <row r="2522" spans="2:5">
      <c r="B2522" t="s">
        <v>4079</v>
      </c>
      <c r="C2522">
        <v>539981</v>
      </c>
      <c r="D2522" t="s">
        <v>4080</v>
      </c>
      <c r="E2522" t="s">
        <v>526</v>
      </c>
    </row>
    <row r="2523" spans="2:5">
      <c r="B2523" t="s">
        <v>4081</v>
      </c>
      <c r="C2523">
        <v>539940</v>
      </c>
      <c r="D2523" t="s">
        <v>4082</v>
      </c>
      <c r="E2523" t="s">
        <v>526</v>
      </c>
    </row>
    <row r="2524" spans="2:5">
      <c r="B2524" t="s">
        <v>4083</v>
      </c>
      <c r="C2524">
        <v>534338</v>
      </c>
      <c r="D2524" t="s">
        <v>360</v>
      </c>
      <c r="E2524" t="s">
        <v>446</v>
      </c>
    </row>
    <row r="2525" spans="2:5">
      <c r="B2525" t="s">
        <v>4084</v>
      </c>
      <c r="C2525">
        <v>526538</v>
      </c>
      <c r="D2525" t="s">
        <v>360</v>
      </c>
      <c r="E2525" t="s">
        <v>398</v>
      </c>
    </row>
    <row r="2526" spans="2:5">
      <c r="B2526" t="s">
        <v>4085</v>
      </c>
      <c r="C2526">
        <v>540401</v>
      </c>
      <c r="D2526" t="s">
        <v>360</v>
      </c>
      <c r="E2526" t="s">
        <v>382</v>
      </c>
    </row>
    <row r="2527" spans="2:5">
      <c r="B2527" t="s">
        <v>4086</v>
      </c>
      <c r="C2527">
        <v>539519</v>
      </c>
      <c r="D2527" t="s">
        <v>360</v>
      </c>
      <c r="E2527" t="s">
        <v>394</v>
      </c>
    </row>
    <row r="2528" spans="2:5">
      <c r="B2528" t="s">
        <v>4087</v>
      </c>
      <c r="C2528">
        <v>531221</v>
      </c>
      <c r="D2528" t="s">
        <v>360</v>
      </c>
      <c r="E2528" t="s">
        <v>888</v>
      </c>
    </row>
    <row r="2529" spans="2:5">
      <c r="B2529" t="s">
        <v>4088</v>
      </c>
      <c r="C2529">
        <v>531680</v>
      </c>
      <c r="D2529" t="s">
        <v>360</v>
      </c>
      <c r="E2529" t="s">
        <v>474</v>
      </c>
    </row>
    <row r="2530" spans="2:5">
      <c r="B2530" t="s">
        <v>4089</v>
      </c>
      <c r="C2530">
        <v>522249</v>
      </c>
      <c r="D2530" t="s">
        <v>4090</v>
      </c>
      <c r="E2530" t="s">
        <v>375</v>
      </c>
    </row>
    <row r="2531" spans="2:5">
      <c r="B2531" t="s">
        <v>4091</v>
      </c>
      <c r="C2531">
        <v>523792</v>
      </c>
      <c r="D2531" t="s">
        <v>4092</v>
      </c>
      <c r="E2531" t="s">
        <v>368</v>
      </c>
    </row>
    <row r="2532" spans="2:5">
      <c r="B2532" t="s">
        <v>4093</v>
      </c>
      <c r="C2532">
        <v>533152</v>
      </c>
      <c r="D2532" t="s">
        <v>4094</v>
      </c>
      <c r="E2532" t="s">
        <v>758</v>
      </c>
    </row>
    <row r="2533" spans="2:5">
      <c r="B2533" t="s">
        <v>4095</v>
      </c>
      <c r="C2533">
        <v>532852</v>
      </c>
      <c r="D2533" t="s">
        <v>4096</v>
      </c>
      <c r="E2533" t="s">
        <v>380</v>
      </c>
    </row>
    <row r="2534" spans="2:5">
      <c r="B2534" t="s">
        <v>4097</v>
      </c>
      <c r="C2534">
        <v>532654</v>
      </c>
      <c r="D2534" t="s">
        <v>4098</v>
      </c>
      <c r="E2534" t="s">
        <v>767</v>
      </c>
    </row>
    <row r="2535" spans="2:5">
      <c r="B2535" t="s">
        <v>4099</v>
      </c>
      <c r="C2535">
        <v>532654</v>
      </c>
      <c r="D2535" t="s">
        <v>4098</v>
      </c>
      <c r="E2535" t="s">
        <v>767</v>
      </c>
    </row>
    <row r="2536" spans="2:5">
      <c r="B2536" t="s">
        <v>4100</v>
      </c>
      <c r="C2536">
        <v>532629</v>
      </c>
      <c r="D2536" t="s">
        <v>4101</v>
      </c>
      <c r="E2536" t="s">
        <v>758</v>
      </c>
    </row>
    <row r="2537" spans="2:5">
      <c r="B2537" t="s">
        <v>4102</v>
      </c>
      <c r="C2537">
        <v>512267</v>
      </c>
      <c r="D2537" t="s">
        <v>360</v>
      </c>
      <c r="E2537" t="s">
        <v>363</v>
      </c>
    </row>
    <row r="2538" spans="2:5">
      <c r="B2538" t="s">
        <v>4103</v>
      </c>
      <c r="C2538">
        <v>531146</v>
      </c>
      <c r="D2538" t="s">
        <v>360</v>
      </c>
      <c r="E2538" t="s">
        <v>398</v>
      </c>
    </row>
    <row r="2539" spans="2:5">
      <c r="B2539" t="s">
        <v>4104</v>
      </c>
      <c r="C2539">
        <v>523144</v>
      </c>
      <c r="D2539" t="s">
        <v>360</v>
      </c>
      <c r="E2539" t="s">
        <v>398</v>
      </c>
    </row>
    <row r="2540" spans="2:5">
      <c r="B2540" t="s">
        <v>4105</v>
      </c>
      <c r="C2540">
        <v>539938</v>
      </c>
      <c r="D2540" t="s">
        <v>4106</v>
      </c>
      <c r="E2540" t="s">
        <v>343</v>
      </c>
    </row>
    <row r="2541" spans="2:5">
      <c r="B2541" t="s">
        <v>4107</v>
      </c>
      <c r="C2541">
        <v>540937</v>
      </c>
      <c r="D2541" t="s">
        <v>360</v>
      </c>
      <c r="E2541" t="s">
        <v>398</v>
      </c>
    </row>
    <row r="2542" spans="2:5">
      <c r="B2542" t="s">
        <v>4108</v>
      </c>
      <c r="C2542">
        <v>526301</v>
      </c>
      <c r="D2542" t="s">
        <v>360</v>
      </c>
      <c r="E2542" t="s">
        <v>549</v>
      </c>
    </row>
    <row r="2543" spans="2:5">
      <c r="B2543" t="s">
        <v>4109</v>
      </c>
      <c r="C2543">
        <v>538834</v>
      </c>
      <c r="D2543" t="s">
        <v>360</v>
      </c>
      <c r="E2543" t="s">
        <v>377</v>
      </c>
    </row>
    <row r="2544" spans="2:5">
      <c r="B2544" t="s">
        <v>4110</v>
      </c>
      <c r="C2544">
        <v>512505</v>
      </c>
      <c r="D2544" t="s">
        <v>360</v>
      </c>
      <c r="E2544" t="s">
        <v>683</v>
      </c>
    </row>
    <row r="2545" spans="2:5">
      <c r="B2545" t="s">
        <v>4111</v>
      </c>
      <c r="C2545">
        <v>540519</v>
      </c>
      <c r="D2545" t="s">
        <v>360</v>
      </c>
      <c r="E2545" t="s">
        <v>368</v>
      </c>
    </row>
    <row r="2546" spans="2:5">
      <c r="B2546" t="s">
        <v>4112</v>
      </c>
      <c r="C2546">
        <v>511276</v>
      </c>
      <c r="D2546" t="s">
        <v>360</v>
      </c>
      <c r="E2546" t="s">
        <v>558</v>
      </c>
    </row>
    <row r="2547" spans="2:5">
      <c r="B2547" t="s">
        <v>4113</v>
      </c>
      <c r="C2547">
        <v>531176</v>
      </c>
      <c r="D2547" t="s">
        <v>360</v>
      </c>
      <c r="E2547" t="s">
        <v>377</v>
      </c>
    </row>
    <row r="2548" spans="2:5">
      <c r="B2548" t="s">
        <v>4114</v>
      </c>
      <c r="C2548">
        <v>531417</v>
      </c>
      <c r="D2548" t="s">
        <v>360</v>
      </c>
      <c r="E2548" t="s">
        <v>377</v>
      </c>
    </row>
    <row r="2549" spans="2:5">
      <c r="B2549" t="s">
        <v>4115</v>
      </c>
      <c r="C2549">
        <v>532105</v>
      </c>
      <c r="D2549" t="s">
        <v>360</v>
      </c>
      <c r="E2549" t="s">
        <v>781</v>
      </c>
    </row>
    <row r="2550" spans="2:5">
      <c r="B2550" t="s">
        <v>4116</v>
      </c>
      <c r="C2550">
        <v>532105</v>
      </c>
      <c r="D2550" t="s">
        <v>360</v>
      </c>
      <c r="E2550" t="s">
        <v>781</v>
      </c>
    </row>
    <row r="2551" spans="2:5">
      <c r="B2551" t="s">
        <v>4117</v>
      </c>
      <c r="C2551">
        <v>539767</v>
      </c>
      <c r="D2551" t="s">
        <v>360</v>
      </c>
      <c r="E2551" t="s">
        <v>446</v>
      </c>
    </row>
    <row r="2552" spans="2:5">
      <c r="B2552" t="s">
        <v>4118</v>
      </c>
      <c r="C2552">
        <v>532408</v>
      </c>
      <c r="D2552" t="s">
        <v>4119</v>
      </c>
      <c r="E2552" t="s">
        <v>453</v>
      </c>
    </row>
    <row r="2553" spans="2:5">
      <c r="B2553" t="s">
        <v>4120</v>
      </c>
      <c r="C2553">
        <v>541352</v>
      </c>
      <c r="D2553" t="s">
        <v>360</v>
      </c>
      <c r="E2553" t="s">
        <v>440</v>
      </c>
    </row>
    <row r="2554" spans="2:5">
      <c r="B2554" t="s">
        <v>4121</v>
      </c>
      <c r="C2554">
        <v>532865</v>
      </c>
      <c r="D2554" t="s">
        <v>4122</v>
      </c>
      <c r="E2554" t="s">
        <v>520</v>
      </c>
    </row>
    <row r="2555" spans="2:5">
      <c r="B2555" t="s">
        <v>4123</v>
      </c>
      <c r="C2555">
        <v>511367</v>
      </c>
      <c r="D2555" t="s">
        <v>360</v>
      </c>
      <c r="E2555" t="s">
        <v>377</v>
      </c>
    </row>
    <row r="2556" spans="2:5">
      <c r="B2556" t="s">
        <v>4124</v>
      </c>
      <c r="C2556">
        <v>511367</v>
      </c>
      <c r="D2556" t="s">
        <v>360</v>
      </c>
      <c r="E2556" t="s">
        <v>377</v>
      </c>
    </row>
    <row r="2557" spans="2:5">
      <c r="B2557" t="s">
        <v>4125</v>
      </c>
      <c r="C2557">
        <v>539012</v>
      </c>
      <c r="D2557" t="s">
        <v>360</v>
      </c>
      <c r="E2557" t="s">
        <v>366</v>
      </c>
    </row>
    <row r="2558" spans="2:5">
      <c r="B2558" t="s">
        <v>4126</v>
      </c>
      <c r="C2558">
        <v>540730</v>
      </c>
      <c r="D2558" t="s">
        <v>360</v>
      </c>
      <c r="E2558" t="s">
        <v>382</v>
      </c>
    </row>
    <row r="2559" spans="2:5">
      <c r="B2559" t="s">
        <v>4127</v>
      </c>
      <c r="C2559">
        <v>511740</v>
      </c>
      <c r="D2559" t="s">
        <v>360</v>
      </c>
      <c r="E2559" t="s">
        <v>418</v>
      </c>
    </row>
    <row r="2560" spans="2:5">
      <c r="B2560" t="s">
        <v>4128</v>
      </c>
      <c r="C2560">
        <v>511377</v>
      </c>
      <c r="D2560" t="s">
        <v>360</v>
      </c>
      <c r="E2560" t="s">
        <v>377</v>
      </c>
    </row>
    <row r="2561" spans="2:5">
      <c r="B2561" t="s">
        <v>4129</v>
      </c>
      <c r="C2561">
        <v>511738</v>
      </c>
      <c r="D2561" t="s">
        <v>360</v>
      </c>
      <c r="E2561" t="s">
        <v>343</v>
      </c>
    </row>
    <row r="2562" spans="2:5">
      <c r="B2562" t="s">
        <v>4130</v>
      </c>
      <c r="C2562">
        <v>532307</v>
      </c>
      <c r="D2562" t="s">
        <v>4131</v>
      </c>
      <c r="E2562" t="s">
        <v>453</v>
      </c>
    </row>
    <row r="2563" spans="2:5">
      <c r="B2563" t="s">
        <v>4132</v>
      </c>
      <c r="C2563">
        <v>531127</v>
      </c>
      <c r="D2563" t="s">
        <v>360</v>
      </c>
      <c r="E2563" t="s">
        <v>377</v>
      </c>
    </row>
    <row r="2564" spans="2:5">
      <c r="B2564" t="s">
        <v>4133</v>
      </c>
      <c r="C2564">
        <v>523828</v>
      </c>
      <c r="D2564" t="s">
        <v>4134</v>
      </c>
      <c r="E2564" t="s">
        <v>715</v>
      </c>
    </row>
    <row r="2565" spans="2:5">
      <c r="B2565" t="s">
        <v>4135</v>
      </c>
      <c r="C2565">
        <v>531727</v>
      </c>
      <c r="D2565" t="s">
        <v>360</v>
      </c>
      <c r="E2565" t="s">
        <v>715</v>
      </c>
    </row>
    <row r="2566" spans="2:5">
      <c r="B2566" t="s">
        <v>4136</v>
      </c>
      <c r="C2566">
        <v>539126</v>
      </c>
      <c r="D2566" t="s">
        <v>4137</v>
      </c>
      <c r="E2566" t="s">
        <v>955</v>
      </c>
    </row>
    <row r="2567" spans="2:5">
      <c r="B2567" t="s">
        <v>4138</v>
      </c>
      <c r="C2567">
        <v>538942</v>
      </c>
      <c r="D2567" t="s">
        <v>360</v>
      </c>
      <c r="E2567" t="s">
        <v>781</v>
      </c>
    </row>
    <row r="2568" spans="2:5">
      <c r="B2568" t="s">
        <v>4139</v>
      </c>
      <c r="C2568">
        <v>526235</v>
      </c>
      <c r="D2568" t="s">
        <v>4140</v>
      </c>
      <c r="E2568" t="s">
        <v>349</v>
      </c>
    </row>
    <row r="2569" spans="2:5">
      <c r="B2569" t="s">
        <v>4141</v>
      </c>
      <c r="C2569">
        <v>500126</v>
      </c>
      <c r="D2569" t="s">
        <v>4142</v>
      </c>
      <c r="E2569" t="s">
        <v>398</v>
      </c>
    </row>
    <row r="2570" spans="2:5">
      <c r="B2570" t="s">
        <v>4143</v>
      </c>
      <c r="C2570">
        <v>538964</v>
      </c>
      <c r="D2570" t="s">
        <v>360</v>
      </c>
      <c r="E2570" t="s">
        <v>398</v>
      </c>
    </row>
    <row r="2571" spans="2:5">
      <c r="B2571" t="s">
        <v>4144</v>
      </c>
      <c r="C2571">
        <v>531357</v>
      </c>
      <c r="D2571" t="s">
        <v>360</v>
      </c>
      <c r="E2571" t="s">
        <v>382</v>
      </c>
    </row>
    <row r="2572" spans="2:5">
      <c r="B2572" t="s">
        <v>4145</v>
      </c>
      <c r="C2572">
        <v>512415</v>
      </c>
      <c r="D2572" t="s">
        <v>360</v>
      </c>
      <c r="E2572" t="s">
        <v>781</v>
      </c>
    </row>
    <row r="2573" spans="2:5">
      <c r="B2573" t="s">
        <v>4146</v>
      </c>
      <c r="C2573">
        <v>500274</v>
      </c>
      <c r="D2573" t="s">
        <v>360</v>
      </c>
      <c r="E2573" t="s">
        <v>398</v>
      </c>
    </row>
    <row r="2574" spans="2:5">
      <c r="B2574" t="s">
        <v>4147</v>
      </c>
      <c r="C2574">
        <v>531810</v>
      </c>
      <c r="D2574" t="s">
        <v>360</v>
      </c>
      <c r="E2574" t="s">
        <v>683</v>
      </c>
    </row>
    <row r="2575" spans="2:5">
      <c r="B2575" t="s">
        <v>4148</v>
      </c>
      <c r="C2575">
        <v>531810</v>
      </c>
      <c r="D2575" t="s">
        <v>360</v>
      </c>
      <c r="E2575" t="s">
        <v>683</v>
      </c>
    </row>
    <row r="2576" spans="2:5">
      <c r="B2576" t="s">
        <v>4149</v>
      </c>
      <c r="C2576">
        <v>513335</v>
      </c>
      <c r="D2576" t="s">
        <v>4150</v>
      </c>
      <c r="E2576" t="s">
        <v>1279</v>
      </c>
    </row>
    <row r="2577" spans="2:5">
      <c r="B2577" t="s">
        <v>4151</v>
      </c>
      <c r="C2577">
        <v>532990</v>
      </c>
      <c r="D2577" t="s">
        <v>4152</v>
      </c>
      <c r="E2577" t="s">
        <v>392</v>
      </c>
    </row>
    <row r="2578" spans="2:5">
      <c r="B2578" t="s">
        <v>4153</v>
      </c>
      <c r="C2578">
        <v>500159</v>
      </c>
      <c r="D2578" t="s">
        <v>360</v>
      </c>
      <c r="E2578" t="s">
        <v>354</v>
      </c>
    </row>
    <row r="2579" spans="2:5">
      <c r="B2579" t="s">
        <v>4154</v>
      </c>
      <c r="C2579">
        <v>542650</v>
      </c>
      <c r="D2579" t="s">
        <v>4155</v>
      </c>
      <c r="E2579" t="s">
        <v>549</v>
      </c>
    </row>
    <row r="2580" spans="2:5">
      <c r="B2580" t="s">
        <v>4156</v>
      </c>
      <c r="C2580">
        <v>540150</v>
      </c>
      <c r="D2580" t="s">
        <v>360</v>
      </c>
      <c r="E2580" t="s">
        <v>758</v>
      </c>
    </row>
    <row r="2581" spans="2:5">
      <c r="B2581" t="s">
        <v>4157</v>
      </c>
      <c r="C2581">
        <v>513496</v>
      </c>
      <c r="D2581" t="s">
        <v>360</v>
      </c>
      <c r="E2581" t="s">
        <v>2875</v>
      </c>
    </row>
    <row r="2582" spans="2:5">
      <c r="B2582" t="s">
        <v>4158</v>
      </c>
      <c r="C2582">
        <v>531613</v>
      </c>
      <c r="D2582" t="s">
        <v>4159</v>
      </c>
      <c r="E2582" t="s">
        <v>916</v>
      </c>
    </row>
    <row r="2583" spans="2:5">
      <c r="B2583" t="s">
        <v>4160</v>
      </c>
      <c r="C2583">
        <v>526622</v>
      </c>
      <c r="D2583" t="s">
        <v>360</v>
      </c>
      <c r="E2583" t="s">
        <v>681</v>
      </c>
    </row>
    <row r="2584" spans="2:5">
      <c r="B2584" t="s">
        <v>4161</v>
      </c>
      <c r="C2584">
        <v>526622</v>
      </c>
      <c r="D2584" t="s">
        <v>360</v>
      </c>
      <c r="E2584" t="s">
        <v>681</v>
      </c>
    </row>
    <row r="2585" spans="2:5">
      <c r="B2585" t="s">
        <v>4162</v>
      </c>
      <c r="C2585">
        <v>513721</v>
      </c>
      <c r="D2585" t="s">
        <v>360</v>
      </c>
      <c r="E2585" t="s">
        <v>392</v>
      </c>
    </row>
    <row r="2586" spans="2:5">
      <c r="B2586" t="s">
        <v>4163</v>
      </c>
      <c r="C2586">
        <v>532850</v>
      </c>
      <c r="D2586" t="s">
        <v>4164</v>
      </c>
      <c r="E2586" t="s">
        <v>902</v>
      </c>
    </row>
    <row r="2587" spans="2:5">
      <c r="B2587" t="s">
        <v>4165</v>
      </c>
      <c r="C2587">
        <v>523343</v>
      </c>
      <c r="D2587" t="s">
        <v>360</v>
      </c>
      <c r="E2587" t="s">
        <v>377</v>
      </c>
    </row>
    <row r="2588" spans="2:5">
      <c r="B2588" t="s">
        <v>4166</v>
      </c>
      <c r="C2588">
        <v>523343</v>
      </c>
      <c r="D2588" t="s">
        <v>360</v>
      </c>
      <c r="E2588" t="s">
        <v>377</v>
      </c>
    </row>
    <row r="2589" spans="2:5">
      <c r="B2589" t="s">
        <v>4167</v>
      </c>
      <c r="C2589">
        <v>526251</v>
      </c>
      <c r="D2589" t="s">
        <v>360</v>
      </c>
      <c r="E2589" t="s">
        <v>343</v>
      </c>
    </row>
    <row r="2590" spans="2:5">
      <c r="B2590" t="s">
        <v>4168</v>
      </c>
      <c r="C2590">
        <v>500277</v>
      </c>
      <c r="D2590" t="s">
        <v>360</v>
      </c>
      <c r="E2590" t="s">
        <v>375</v>
      </c>
    </row>
    <row r="2591" spans="2:5">
      <c r="B2591" t="s">
        <v>4169</v>
      </c>
      <c r="C2591">
        <v>531192</v>
      </c>
      <c r="D2591" t="s">
        <v>360</v>
      </c>
      <c r="E2591" t="s">
        <v>377</v>
      </c>
    </row>
    <row r="2592" spans="2:5">
      <c r="B2592" t="s">
        <v>4170</v>
      </c>
      <c r="C2592">
        <v>540744</v>
      </c>
      <c r="D2592" t="s">
        <v>360</v>
      </c>
      <c r="E2592" t="s">
        <v>392</v>
      </c>
    </row>
    <row r="2593" spans="2:5">
      <c r="B2593" t="s">
        <v>4171</v>
      </c>
      <c r="C2593">
        <v>533310</v>
      </c>
      <c r="D2593" t="s">
        <v>4172</v>
      </c>
      <c r="E2593" t="s">
        <v>4173</v>
      </c>
    </row>
    <row r="2594" spans="2:5">
      <c r="B2594" t="s">
        <v>4174</v>
      </c>
      <c r="C2594">
        <v>526570</v>
      </c>
      <c r="D2594" t="s">
        <v>360</v>
      </c>
      <c r="E2594" t="s">
        <v>888</v>
      </c>
    </row>
    <row r="2595" spans="2:5">
      <c r="B2595" t="s">
        <v>4175</v>
      </c>
      <c r="C2595">
        <v>538895</v>
      </c>
      <c r="D2595" t="s">
        <v>360</v>
      </c>
      <c r="E2595" t="s">
        <v>382</v>
      </c>
    </row>
    <row r="2596" spans="2:5">
      <c r="B2596" t="s">
        <v>4176</v>
      </c>
      <c r="C2596">
        <v>541337</v>
      </c>
      <c r="D2596" t="s">
        <v>360</v>
      </c>
      <c r="E2596" t="s">
        <v>637</v>
      </c>
    </row>
    <row r="2597" spans="2:5">
      <c r="B2597" t="s">
        <v>4177</v>
      </c>
      <c r="C2597">
        <v>531338</v>
      </c>
      <c r="D2597" t="s">
        <v>360</v>
      </c>
      <c r="E2597" t="s">
        <v>888</v>
      </c>
    </row>
    <row r="2598" spans="2:5">
      <c r="B2598" t="s">
        <v>4178</v>
      </c>
      <c r="C2598">
        <v>511018</v>
      </c>
      <c r="D2598" t="s">
        <v>360</v>
      </c>
      <c r="E2598" t="s">
        <v>781</v>
      </c>
    </row>
    <row r="2599" spans="2:5">
      <c r="B2599" t="s">
        <v>4179</v>
      </c>
      <c r="C2599">
        <v>507621</v>
      </c>
      <c r="D2599" t="s">
        <v>360</v>
      </c>
      <c r="E2599" t="s">
        <v>420</v>
      </c>
    </row>
    <row r="2600" spans="2:5">
      <c r="B2600" t="s">
        <v>4180</v>
      </c>
      <c r="C2600">
        <v>511187</v>
      </c>
      <c r="D2600" t="s">
        <v>360</v>
      </c>
      <c r="E2600" t="s">
        <v>781</v>
      </c>
    </row>
    <row r="2601" spans="2:5">
      <c r="B2601" t="s">
        <v>4181</v>
      </c>
      <c r="C2601" t="s">
        <v>360</v>
      </c>
      <c r="D2601" t="s">
        <v>4182</v>
      </c>
      <c r="E2601" t="s">
        <v>371</v>
      </c>
    </row>
    <row r="2602" spans="2:5">
      <c r="B2602" t="s">
        <v>4183</v>
      </c>
      <c r="C2602">
        <v>531456</v>
      </c>
      <c r="D2602" t="s">
        <v>360</v>
      </c>
      <c r="E2602" t="s">
        <v>375</v>
      </c>
    </row>
    <row r="2603" spans="2:5">
      <c r="B2603" t="s">
        <v>4184</v>
      </c>
      <c r="C2603">
        <v>538962</v>
      </c>
      <c r="D2603" t="s">
        <v>4185</v>
      </c>
      <c r="E2603" t="s">
        <v>715</v>
      </c>
    </row>
    <row r="2604" spans="2:5">
      <c r="B2604" t="s">
        <v>4186</v>
      </c>
      <c r="C2604">
        <v>539303</v>
      </c>
      <c r="D2604" t="s">
        <v>360</v>
      </c>
      <c r="E2604" t="s">
        <v>377</v>
      </c>
    </row>
    <row r="2605" spans="2:5">
      <c r="B2605" t="s">
        <v>4187</v>
      </c>
      <c r="C2605">
        <v>532539</v>
      </c>
      <c r="D2605" t="s">
        <v>4188</v>
      </c>
      <c r="E2605" t="s">
        <v>715</v>
      </c>
    </row>
    <row r="2606" spans="2:5">
      <c r="B2606" t="s">
        <v>4189</v>
      </c>
      <c r="C2606">
        <v>517344</v>
      </c>
      <c r="D2606" t="s">
        <v>4190</v>
      </c>
      <c r="E2606" t="s">
        <v>453</v>
      </c>
    </row>
    <row r="2607" spans="2:5">
      <c r="B2607" t="s">
        <v>4191</v>
      </c>
      <c r="C2607">
        <v>517344</v>
      </c>
      <c r="D2607" t="s">
        <v>4190</v>
      </c>
      <c r="E2607" t="s">
        <v>453</v>
      </c>
    </row>
    <row r="2608" spans="2:5">
      <c r="B2608" t="s">
        <v>4192</v>
      </c>
      <c r="C2608">
        <v>532819</v>
      </c>
      <c r="D2608" t="s">
        <v>4193</v>
      </c>
      <c r="E2608" t="s">
        <v>346</v>
      </c>
    </row>
    <row r="2609" spans="2:5">
      <c r="B2609" t="s">
        <v>4194</v>
      </c>
      <c r="C2609">
        <v>523373</v>
      </c>
      <c r="D2609" t="s">
        <v>360</v>
      </c>
      <c r="E2609" t="s">
        <v>474</v>
      </c>
    </row>
    <row r="2610" spans="2:5">
      <c r="B2610" t="s">
        <v>4195</v>
      </c>
      <c r="C2610">
        <v>523373</v>
      </c>
      <c r="D2610" t="s">
        <v>360</v>
      </c>
      <c r="E2610" t="s">
        <v>474</v>
      </c>
    </row>
    <row r="2611" spans="2:5">
      <c r="B2611" t="s">
        <v>4196</v>
      </c>
      <c r="C2611">
        <v>532164</v>
      </c>
      <c r="D2611" t="s">
        <v>360</v>
      </c>
      <c r="E2611" t="s">
        <v>377</v>
      </c>
    </row>
    <row r="2612" spans="2:5">
      <c r="B2612" t="s">
        <v>4197</v>
      </c>
      <c r="C2612">
        <v>505797</v>
      </c>
      <c r="D2612" t="s">
        <v>360</v>
      </c>
      <c r="E2612" t="s">
        <v>545</v>
      </c>
    </row>
    <row r="2613" spans="2:5">
      <c r="B2613" t="s">
        <v>4198</v>
      </c>
      <c r="C2613">
        <v>500279</v>
      </c>
      <c r="D2613" t="s">
        <v>4199</v>
      </c>
      <c r="E2613" t="s">
        <v>729</v>
      </c>
    </row>
    <row r="2614" spans="2:5">
      <c r="B2614" t="s">
        <v>4200</v>
      </c>
      <c r="C2614">
        <v>505336</v>
      </c>
      <c r="D2614" t="s">
        <v>360</v>
      </c>
      <c r="E2614" t="s">
        <v>368</v>
      </c>
    </row>
    <row r="2615" spans="2:5">
      <c r="B2615" t="s">
        <v>4201</v>
      </c>
      <c r="C2615">
        <v>505336</v>
      </c>
      <c r="D2615" t="s">
        <v>360</v>
      </c>
      <c r="E2615" t="s">
        <v>368</v>
      </c>
    </row>
    <row r="2616" spans="2:5">
      <c r="B2616" t="s">
        <v>4202</v>
      </c>
      <c r="C2616">
        <v>526642</v>
      </c>
      <c r="D2616" t="s">
        <v>4203</v>
      </c>
      <c r="E2616" t="s">
        <v>786</v>
      </c>
    </row>
    <row r="2617" spans="2:5">
      <c r="B2617" t="s">
        <v>4204</v>
      </c>
      <c r="C2617">
        <v>539220</v>
      </c>
      <c r="D2617" t="s">
        <v>360</v>
      </c>
      <c r="E2617" t="s">
        <v>474</v>
      </c>
    </row>
    <row r="2618" spans="2:5">
      <c r="B2618" t="s">
        <v>4205</v>
      </c>
      <c r="C2618">
        <v>541195</v>
      </c>
      <c r="D2618" t="s">
        <v>4206</v>
      </c>
      <c r="E2618" t="s">
        <v>683</v>
      </c>
    </row>
    <row r="2619" spans="2:5">
      <c r="B2619" t="s">
        <v>4207</v>
      </c>
      <c r="C2619">
        <v>539594</v>
      </c>
      <c r="D2619" t="s">
        <v>360</v>
      </c>
      <c r="E2619" t="s">
        <v>558</v>
      </c>
    </row>
    <row r="2620" spans="2:5">
      <c r="B2620" t="s">
        <v>4208</v>
      </c>
      <c r="C2620" t="s">
        <v>360</v>
      </c>
      <c r="D2620" t="s">
        <v>4209</v>
      </c>
      <c r="E2620" t="s">
        <v>371</v>
      </c>
    </row>
    <row r="2621" spans="2:5">
      <c r="B2621" t="s">
        <v>4210</v>
      </c>
      <c r="C2621">
        <v>523782</v>
      </c>
      <c r="D2621" t="s">
        <v>360</v>
      </c>
      <c r="E2621" t="s">
        <v>382</v>
      </c>
    </row>
    <row r="2622" spans="2:5">
      <c r="B2622" t="s">
        <v>4211</v>
      </c>
      <c r="C2622">
        <v>523782</v>
      </c>
      <c r="D2622" t="s">
        <v>360</v>
      </c>
      <c r="E2622" t="s">
        <v>382</v>
      </c>
    </row>
    <row r="2623" spans="2:5">
      <c r="B2623" t="s">
        <v>4212</v>
      </c>
      <c r="C2623">
        <v>540078</v>
      </c>
      <c r="D2623" t="s">
        <v>360</v>
      </c>
      <c r="E2623" t="s">
        <v>555</v>
      </c>
    </row>
    <row r="2624" spans="2:5">
      <c r="B2624" t="s">
        <v>4213</v>
      </c>
      <c r="C2624" t="s">
        <v>360</v>
      </c>
      <c r="D2624" t="s">
        <v>4214</v>
      </c>
      <c r="E2624" t="s">
        <v>371</v>
      </c>
    </row>
    <row r="2625" spans="2:5">
      <c r="B2625" t="s">
        <v>4215</v>
      </c>
      <c r="C2625">
        <v>522036</v>
      </c>
      <c r="D2625" t="s">
        <v>4216</v>
      </c>
      <c r="E2625" t="s">
        <v>545</v>
      </c>
    </row>
    <row r="2626" spans="2:5">
      <c r="B2626" t="s">
        <v>4217</v>
      </c>
      <c r="C2626">
        <v>522241</v>
      </c>
      <c r="D2626" t="s">
        <v>4218</v>
      </c>
      <c r="E2626" t="s">
        <v>1279</v>
      </c>
    </row>
    <row r="2627" spans="2:5">
      <c r="B2627" t="s">
        <v>4219</v>
      </c>
      <c r="C2627">
        <v>509196</v>
      </c>
      <c r="D2627" t="s">
        <v>4220</v>
      </c>
      <c r="E2627" t="s">
        <v>4221</v>
      </c>
    </row>
    <row r="2628" spans="2:5">
      <c r="B2628" t="s">
        <v>4222</v>
      </c>
      <c r="C2628" t="s">
        <v>360</v>
      </c>
      <c r="D2628" t="s">
        <v>4223</v>
      </c>
      <c r="E2628" t="s">
        <v>371</v>
      </c>
    </row>
    <row r="2629" spans="2:5">
      <c r="B2629" t="s">
        <v>4224</v>
      </c>
      <c r="C2629">
        <v>513377</v>
      </c>
      <c r="D2629" t="s">
        <v>4225</v>
      </c>
      <c r="E2629" t="s">
        <v>382</v>
      </c>
    </row>
    <row r="2630" spans="2:5">
      <c r="B2630" t="s">
        <v>4226</v>
      </c>
      <c r="C2630">
        <v>503772</v>
      </c>
      <c r="D2630" t="s">
        <v>360</v>
      </c>
      <c r="E2630" t="s">
        <v>382</v>
      </c>
    </row>
    <row r="2631" spans="2:5">
      <c r="B2631" t="s">
        <v>4227</v>
      </c>
      <c r="C2631">
        <v>503015</v>
      </c>
      <c r="D2631" t="s">
        <v>360</v>
      </c>
      <c r="E2631" t="s">
        <v>382</v>
      </c>
    </row>
    <row r="2632" spans="2:5">
      <c r="B2632" t="s">
        <v>4228</v>
      </c>
      <c r="C2632">
        <v>539762</v>
      </c>
      <c r="D2632" t="s">
        <v>360</v>
      </c>
      <c r="E2632" t="s">
        <v>558</v>
      </c>
    </row>
    <row r="2633" spans="2:5">
      <c r="B2633" t="s">
        <v>4229</v>
      </c>
      <c r="C2633">
        <v>519287</v>
      </c>
      <c r="D2633" t="s">
        <v>360</v>
      </c>
      <c r="E2633" t="s">
        <v>420</v>
      </c>
    </row>
    <row r="2634" spans="2:5">
      <c r="B2634" t="s">
        <v>4230</v>
      </c>
      <c r="C2634">
        <v>503015</v>
      </c>
      <c r="D2634" t="s">
        <v>360</v>
      </c>
      <c r="E2634" t="s">
        <v>382</v>
      </c>
    </row>
    <row r="2635" spans="2:5">
      <c r="B2635" t="s">
        <v>4231</v>
      </c>
      <c r="C2635">
        <v>509760</v>
      </c>
      <c r="D2635" t="s">
        <v>360</v>
      </c>
      <c r="E2635" t="s">
        <v>343</v>
      </c>
    </row>
    <row r="2636" spans="2:5">
      <c r="B2636" t="s">
        <v>4232</v>
      </c>
      <c r="C2636">
        <v>513303</v>
      </c>
      <c r="D2636" t="s">
        <v>4233</v>
      </c>
      <c r="E2636" t="s">
        <v>4234</v>
      </c>
    </row>
    <row r="2637" spans="2:5">
      <c r="B2637" t="s">
        <v>4235</v>
      </c>
      <c r="C2637">
        <v>537092</v>
      </c>
      <c r="D2637" t="s">
        <v>360</v>
      </c>
      <c r="E2637" t="s">
        <v>343</v>
      </c>
    </row>
    <row r="2638" spans="2:5">
      <c r="B2638" t="s">
        <v>4236</v>
      </c>
      <c r="C2638">
        <v>519003</v>
      </c>
      <c r="D2638" t="s">
        <v>360</v>
      </c>
      <c r="E2638" t="s">
        <v>558</v>
      </c>
    </row>
    <row r="2639" spans="2:5">
      <c r="B2639" t="s">
        <v>4237</v>
      </c>
      <c r="C2639">
        <v>500890</v>
      </c>
      <c r="D2639" t="s">
        <v>4238</v>
      </c>
      <c r="E2639" t="s">
        <v>840</v>
      </c>
    </row>
    <row r="2640" spans="2:5">
      <c r="B2640" t="s">
        <v>4239</v>
      </c>
      <c r="C2640">
        <v>503776</v>
      </c>
      <c r="D2640" t="s">
        <v>360</v>
      </c>
      <c r="E2640" t="s">
        <v>504</v>
      </c>
    </row>
    <row r="2641" spans="2:5">
      <c r="B2641" t="s">
        <v>4240</v>
      </c>
      <c r="C2641">
        <v>506261</v>
      </c>
      <c r="D2641" t="s">
        <v>360</v>
      </c>
      <c r="E2641" t="s">
        <v>658</v>
      </c>
    </row>
    <row r="2642" spans="2:5">
      <c r="B2642" t="s">
        <v>4241</v>
      </c>
      <c r="C2642" t="s">
        <v>360</v>
      </c>
      <c r="D2642" t="s">
        <v>4242</v>
      </c>
      <c r="E2642" t="s">
        <v>371</v>
      </c>
    </row>
    <row r="2643" spans="2:5">
      <c r="B2643" t="s">
        <v>4243</v>
      </c>
      <c r="C2643">
        <v>531453</v>
      </c>
      <c r="D2643" t="s">
        <v>4244</v>
      </c>
      <c r="E2643" t="s">
        <v>375</v>
      </c>
    </row>
    <row r="2644" spans="2:5">
      <c r="B2644" t="s">
        <v>4245</v>
      </c>
      <c r="C2644">
        <v>530169</v>
      </c>
      <c r="D2644" t="s">
        <v>360</v>
      </c>
      <c r="E2644" t="s">
        <v>354</v>
      </c>
    </row>
    <row r="2645" spans="2:5">
      <c r="B2645" t="s">
        <v>4246</v>
      </c>
      <c r="C2645">
        <v>532140</v>
      </c>
      <c r="D2645" t="s">
        <v>360</v>
      </c>
      <c r="E2645" t="s">
        <v>375</v>
      </c>
    </row>
    <row r="2646" spans="2:5">
      <c r="B2646" t="s">
        <v>4247</v>
      </c>
      <c r="C2646">
        <v>530047</v>
      </c>
      <c r="D2646" t="s">
        <v>4248</v>
      </c>
      <c r="E2646" t="s">
        <v>375</v>
      </c>
    </row>
    <row r="2647" spans="2:5">
      <c r="B2647" t="s">
        <v>4249</v>
      </c>
      <c r="C2647">
        <v>533286</v>
      </c>
      <c r="D2647" t="s">
        <v>4250</v>
      </c>
      <c r="E2647" t="s">
        <v>340</v>
      </c>
    </row>
    <row r="2648" spans="2:5">
      <c r="B2648" t="s">
        <v>4251</v>
      </c>
      <c r="C2648" t="s">
        <v>360</v>
      </c>
      <c r="D2648" t="s">
        <v>4252</v>
      </c>
      <c r="E2648" t="s">
        <v>371</v>
      </c>
    </row>
    <row r="2649" spans="2:5">
      <c r="B2649" t="s">
        <v>4253</v>
      </c>
      <c r="C2649">
        <v>533080</v>
      </c>
      <c r="D2649" t="s">
        <v>4254</v>
      </c>
      <c r="E2649" t="s">
        <v>555</v>
      </c>
    </row>
    <row r="2650" spans="2:5">
      <c r="B2650" t="s">
        <v>4255</v>
      </c>
      <c r="C2650">
        <v>526263</v>
      </c>
      <c r="D2650" t="s">
        <v>4256</v>
      </c>
      <c r="E2650" t="s">
        <v>690</v>
      </c>
    </row>
    <row r="2651" spans="2:5">
      <c r="B2651" t="s">
        <v>4257</v>
      </c>
      <c r="C2651">
        <v>511551</v>
      </c>
      <c r="D2651" t="s">
        <v>360</v>
      </c>
      <c r="E2651" t="s">
        <v>343</v>
      </c>
    </row>
    <row r="2652" spans="2:5">
      <c r="B2652" t="s">
        <v>4258</v>
      </c>
      <c r="C2652">
        <v>535910</v>
      </c>
      <c r="D2652" t="s">
        <v>360</v>
      </c>
      <c r="E2652" t="s">
        <v>377</v>
      </c>
    </row>
    <row r="2653" spans="2:5">
      <c r="B2653" t="s">
        <v>4259</v>
      </c>
      <c r="C2653">
        <v>532078</v>
      </c>
      <c r="D2653" t="s">
        <v>360</v>
      </c>
      <c r="E2653" t="s">
        <v>392</v>
      </c>
    </row>
    <row r="2654" spans="2:5">
      <c r="B2654" t="s">
        <v>4260</v>
      </c>
      <c r="C2654">
        <v>513446</v>
      </c>
      <c r="D2654" t="s">
        <v>4261</v>
      </c>
      <c r="E2654" t="s">
        <v>392</v>
      </c>
    </row>
    <row r="2655" spans="2:5">
      <c r="B2655" t="s">
        <v>4262</v>
      </c>
      <c r="C2655">
        <v>532723</v>
      </c>
      <c r="D2655" t="s">
        <v>360</v>
      </c>
      <c r="E2655" t="s">
        <v>446</v>
      </c>
    </row>
    <row r="2656" spans="2:5">
      <c r="B2656" t="s">
        <v>4263</v>
      </c>
      <c r="C2656">
        <v>505343</v>
      </c>
      <c r="D2656" t="s">
        <v>360</v>
      </c>
      <c r="E2656" t="s">
        <v>781</v>
      </c>
    </row>
    <row r="2657" spans="2:5">
      <c r="B2657" t="s">
        <v>4264</v>
      </c>
      <c r="C2657">
        <v>505343</v>
      </c>
      <c r="D2657" t="s">
        <v>360</v>
      </c>
      <c r="E2657" t="s">
        <v>781</v>
      </c>
    </row>
    <row r="2658" spans="2:5">
      <c r="B2658" t="s">
        <v>4265</v>
      </c>
      <c r="C2658">
        <v>524084</v>
      </c>
      <c r="D2658" t="s">
        <v>4266</v>
      </c>
      <c r="E2658" t="s">
        <v>504</v>
      </c>
    </row>
    <row r="2659" spans="2:5">
      <c r="B2659" t="s">
        <v>4267</v>
      </c>
      <c r="C2659">
        <v>524084</v>
      </c>
      <c r="D2659" t="s">
        <v>4266</v>
      </c>
      <c r="E2659" t="s">
        <v>504</v>
      </c>
    </row>
    <row r="2660" spans="2:5">
      <c r="B2660" t="s">
        <v>4268</v>
      </c>
      <c r="C2660">
        <v>538836</v>
      </c>
      <c r="D2660" t="s">
        <v>4269</v>
      </c>
      <c r="E2660" t="s">
        <v>474</v>
      </c>
    </row>
    <row r="2661" spans="2:5">
      <c r="B2661" t="s">
        <v>4270</v>
      </c>
      <c r="C2661">
        <v>530167</v>
      </c>
      <c r="D2661" t="s">
        <v>360</v>
      </c>
      <c r="E2661" t="s">
        <v>377</v>
      </c>
    </row>
    <row r="2662" spans="2:5">
      <c r="B2662" t="s">
        <v>4271</v>
      </c>
      <c r="C2662">
        <v>539199</v>
      </c>
      <c r="D2662" t="s">
        <v>360</v>
      </c>
      <c r="E2662" t="s">
        <v>343</v>
      </c>
    </row>
    <row r="2663" spans="2:5">
      <c r="B2663" t="s">
        <v>4272</v>
      </c>
      <c r="C2663">
        <v>532621</v>
      </c>
      <c r="D2663" t="s">
        <v>4273</v>
      </c>
      <c r="E2663" t="s">
        <v>375</v>
      </c>
    </row>
    <row r="2664" spans="2:5">
      <c r="B2664" t="s">
        <v>4274</v>
      </c>
      <c r="C2664">
        <v>511549</v>
      </c>
      <c r="D2664" t="s">
        <v>360</v>
      </c>
      <c r="E2664" t="s">
        <v>377</v>
      </c>
    </row>
    <row r="2665" spans="2:5">
      <c r="B2665" t="s">
        <v>4275</v>
      </c>
      <c r="C2665">
        <v>500288</v>
      </c>
      <c r="D2665" t="s">
        <v>4276</v>
      </c>
      <c r="E2665" t="s">
        <v>398</v>
      </c>
    </row>
    <row r="2666" spans="2:5">
      <c r="B2666" t="s">
        <v>4277</v>
      </c>
      <c r="C2666">
        <v>526237</v>
      </c>
      <c r="D2666" t="s">
        <v>360</v>
      </c>
      <c r="E2666" t="s">
        <v>377</v>
      </c>
    </row>
    <row r="2667" spans="2:5">
      <c r="B2667" t="s">
        <v>4278</v>
      </c>
      <c r="C2667">
        <v>523160</v>
      </c>
      <c r="D2667" t="s">
        <v>360</v>
      </c>
      <c r="E2667" t="s">
        <v>545</v>
      </c>
    </row>
    <row r="2668" spans="2:5">
      <c r="B2668" t="s">
        <v>4279</v>
      </c>
      <c r="C2668">
        <v>523160</v>
      </c>
      <c r="D2668" t="s">
        <v>360</v>
      </c>
      <c r="E2668" t="s">
        <v>545</v>
      </c>
    </row>
    <row r="2669" spans="2:5">
      <c r="B2669" t="s">
        <v>4280</v>
      </c>
      <c r="C2669">
        <v>513305</v>
      </c>
      <c r="D2669" t="s">
        <v>4281</v>
      </c>
      <c r="E2669" t="s">
        <v>781</v>
      </c>
    </row>
    <row r="2670" spans="2:5">
      <c r="B2670" t="s">
        <v>4282</v>
      </c>
      <c r="C2670">
        <v>532407</v>
      </c>
      <c r="D2670" t="s">
        <v>360</v>
      </c>
      <c r="E2670" t="s">
        <v>453</v>
      </c>
    </row>
    <row r="2671" spans="2:5">
      <c r="B2671" t="s">
        <v>4283</v>
      </c>
      <c r="C2671" t="s">
        <v>360</v>
      </c>
      <c r="D2671" t="s">
        <v>4284</v>
      </c>
      <c r="E2671" t="s">
        <v>451</v>
      </c>
    </row>
    <row r="2672" spans="2:5">
      <c r="B2672" t="s">
        <v>4285</v>
      </c>
      <c r="C2672">
        <v>517334</v>
      </c>
      <c r="D2672" t="s">
        <v>4286</v>
      </c>
      <c r="E2672" t="s">
        <v>715</v>
      </c>
    </row>
    <row r="2673" spans="2:5">
      <c r="B2673" t="s">
        <v>4287</v>
      </c>
      <c r="C2673">
        <v>532892</v>
      </c>
      <c r="D2673" t="s">
        <v>4288</v>
      </c>
      <c r="E2673" t="s">
        <v>377</v>
      </c>
    </row>
    <row r="2674" spans="2:5">
      <c r="B2674" t="s">
        <v>4289</v>
      </c>
      <c r="C2674">
        <v>590115</v>
      </c>
      <c r="D2674" t="s">
        <v>4290</v>
      </c>
      <c r="E2674" t="s">
        <v>343</v>
      </c>
    </row>
    <row r="2675" spans="2:5">
      <c r="B2675" t="s">
        <v>4291</v>
      </c>
      <c r="C2675">
        <v>533385</v>
      </c>
      <c r="D2675" t="s">
        <v>4292</v>
      </c>
      <c r="E2675" t="s">
        <v>343</v>
      </c>
    </row>
    <row r="2676" spans="2:5">
      <c r="B2676" t="s">
        <v>4293</v>
      </c>
      <c r="C2676">
        <v>507522</v>
      </c>
      <c r="D2676" t="s">
        <v>360</v>
      </c>
      <c r="E2676" t="s">
        <v>991</v>
      </c>
    </row>
    <row r="2677" spans="2:5">
      <c r="B2677" t="s">
        <v>4294</v>
      </c>
      <c r="C2677">
        <v>526299</v>
      </c>
      <c r="D2677" t="s">
        <v>4295</v>
      </c>
      <c r="E2677" t="s">
        <v>346</v>
      </c>
    </row>
    <row r="2678" spans="2:5">
      <c r="B2678" t="s">
        <v>4296</v>
      </c>
      <c r="C2678">
        <v>500450</v>
      </c>
      <c r="D2678" t="s">
        <v>360</v>
      </c>
      <c r="E2678" t="s">
        <v>343</v>
      </c>
    </row>
    <row r="2679" spans="2:5">
      <c r="B2679" t="s">
        <v>4297</v>
      </c>
      <c r="C2679">
        <v>526143</v>
      </c>
      <c r="D2679" t="s">
        <v>360</v>
      </c>
      <c r="E2679" t="s">
        <v>555</v>
      </c>
    </row>
    <row r="2680" spans="2:5">
      <c r="B2680" t="s">
        <v>4298</v>
      </c>
      <c r="C2680">
        <v>532440</v>
      </c>
      <c r="D2680" t="s">
        <v>4299</v>
      </c>
      <c r="E2680" t="s">
        <v>2352</v>
      </c>
    </row>
    <row r="2681" spans="2:5">
      <c r="B2681" t="s">
        <v>4300</v>
      </c>
      <c r="C2681">
        <v>540809</v>
      </c>
      <c r="D2681" t="s">
        <v>360</v>
      </c>
      <c r="E2681" t="s">
        <v>382</v>
      </c>
    </row>
    <row r="2682" spans="2:5">
      <c r="B2682" t="s">
        <v>4301</v>
      </c>
      <c r="C2682">
        <v>500290</v>
      </c>
      <c r="D2682" t="s">
        <v>4302</v>
      </c>
      <c r="E2682" t="s">
        <v>840</v>
      </c>
    </row>
    <row r="2683" spans="2:5">
      <c r="B2683" t="s">
        <v>4303</v>
      </c>
      <c r="C2683">
        <v>532376</v>
      </c>
      <c r="D2683" t="s">
        <v>4304</v>
      </c>
      <c r="E2683" t="s">
        <v>506</v>
      </c>
    </row>
    <row r="2684" spans="2:5">
      <c r="B2684" t="s">
        <v>4305</v>
      </c>
      <c r="C2684">
        <v>512065</v>
      </c>
      <c r="D2684" t="s">
        <v>360</v>
      </c>
      <c r="E2684" t="s">
        <v>377</v>
      </c>
    </row>
    <row r="2685" spans="2:5">
      <c r="B2685" t="s">
        <v>4306</v>
      </c>
      <c r="C2685">
        <v>532650</v>
      </c>
      <c r="D2685" t="s">
        <v>4307</v>
      </c>
      <c r="E2685" t="s">
        <v>683</v>
      </c>
    </row>
    <row r="2686" spans="2:5">
      <c r="B2686" t="s">
        <v>4308</v>
      </c>
      <c r="C2686">
        <v>508922</v>
      </c>
      <c r="D2686" t="s">
        <v>360</v>
      </c>
      <c r="E2686" t="s">
        <v>1405</v>
      </c>
    </row>
    <row r="2687" spans="2:5">
      <c r="B2687" t="s">
        <v>4309</v>
      </c>
      <c r="C2687">
        <v>508922</v>
      </c>
      <c r="D2687" t="s">
        <v>360</v>
      </c>
      <c r="E2687" t="s">
        <v>1405</v>
      </c>
    </row>
    <row r="2688" spans="2:5">
      <c r="B2688" t="s">
        <v>4310</v>
      </c>
      <c r="C2688" t="s">
        <v>360</v>
      </c>
      <c r="D2688" t="s">
        <v>4311</v>
      </c>
      <c r="E2688" t="s">
        <v>1405</v>
      </c>
    </row>
    <row r="2689" spans="2:5">
      <c r="B2689" t="s">
        <v>4312</v>
      </c>
      <c r="C2689">
        <v>542597</v>
      </c>
      <c r="D2689" t="s">
        <v>4313</v>
      </c>
      <c r="E2689" t="s">
        <v>726</v>
      </c>
    </row>
    <row r="2690" spans="2:5">
      <c r="B2690" t="s">
        <v>4314</v>
      </c>
      <c r="C2690">
        <v>534312</v>
      </c>
      <c r="D2690" t="s">
        <v>4315</v>
      </c>
      <c r="E2690" t="s">
        <v>465</v>
      </c>
    </row>
    <row r="2691" spans="2:5">
      <c r="B2691" t="s">
        <v>4316</v>
      </c>
      <c r="C2691">
        <v>531919</v>
      </c>
      <c r="D2691" t="s">
        <v>360</v>
      </c>
      <c r="E2691" t="s">
        <v>380</v>
      </c>
    </row>
    <row r="2692" spans="2:5">
      <c r="B2692" t="s">
        <v>4317</v>
      </c>
      <c r="C2692">
        <v>539819</v>
      </c>
      <c r="D2692" t="s">
        <v>360</v>
      </c>
      <c r="E2692" t="s">
        <v>343</v>
      </c>
    </row>
    <row r="2693" spans="2:5">
      <c r="B2693" t="s">
        <v>4318</v>
      </c>
      <c r="C2693">
        <v>538743</v>
      </c>
      <c r="D2693" t="s">
        <v>360</v>
      </c>
      <c r="E2693" t="s">
        <v>346</v>
      </c>
    </row>
    <row r="2694" spans="2:5">
      <c r="B2694" t="s">
        <v>4319</v>
      </c>
      <c r="C2694">
        <v>532097</v>
      </c>
      <c r="D2694" t="s">
        <v>4320</v>
      </c>
      <c r="E2694" t="s">
        <v>758</v>
      </c>
    </row>
    <row r="2695" spans="2:5">
      <c r="B2695" t="s">
        <v>4321</v>
      </c>
      <c r="C2695">
        <v>500460</v>
      </c>
      <c r="D2695" t="s">
        <v>4322</v>
      </c>
      <c r="E2695" t="s">
        <v>392</v>
      </c>
    </row>
    <row r="2696" spans="2:5">
      <c r="B2696" t="s">
        <v>4323</v>
      </c>
      <c r="C2696">
        <v>523832</v>
      </c>
      <c r="D2696" t="s">
        <v>4324</v>
      </c>
      <c r="E2696" t="s">
        <v>478</v>
      </c>
    </row>
    <row r="2697" spans="2:5">
      <c r="B2697" t="s">
        <v>4325</v>
      </c>
      <c r="C2697">
        <v>530341</v>
      </c>
      <c r="D2697" t="s">
        <v>360</v>
      </c>
      <c r="E2697" t="s">
        <v>343</v>
      </c>
    </row>
    <row r="2698" spans="2:5">
      <c r="B2698" t="s">
        <v>4326</v>
      </c>
      <c r="C2698">
        <v>535204</v>
      </c>
      <c r="D2698" t="s">
        <v>360</v>
      </c>
      <c r="E2698" t="s">
        <v>382</v>
      </c>
    </row>
    <row r="2699" spans="2:5">
      <c r="B2699" t="s">
        <v>4327</v>
      </c>
      <c r="C2699">
        <v>532357</v>
      </c>
      <c r="D2699" t="s">
        <v>4328</v>
      </c>
      <c r="E2699" t="s">
        <v>363</v>
      </c>
    </row>
    <row r="2700" spans="2:5">
      <c r="B2700" t="s">
        <v>4329</v>
      </c>
      <c r="C2700">
        <v>501477</v>
      </c>
      <c r="D2700" t="s">
        <v>360</v>
      </c>
      <c r="E2700" t="s">
        <v>382</v>
      </c>
    </row>
    <row r="2701" spans="2:5">
      <c r="B2701" t="s">
        <v>4330</v>
      </c>
      <c r="C2701">
        <v>501477</v>
      </c>
      <c r="D2701" t="s">
        <v>360</v>
      </c>
      <c r="E2701" t="s">
        <v>382</v>
      </c>
    </row>
    <row r="2702" spans="2:5">
      <c r="B2702" t="s">
        <v>4331</v>
      </c>
      <c r="C2702">
        <v>534091</v>
      </c>
      <c r="D2702" t="s">
        <v>4332</v>
      </c>
      <c r="E2702" t="s">
        <v>380</v>
      </c>
    </row>
    <row r="2703" spans="2:5">
      <c r="B2703" t="s">
        <v>4333</v>
      </c>
      <c r="C2703">
        <v>534091</v>
      </c>
      <c r="D2703" t="s">
        <v>4332</v>
      </c>
      <c r="E2703" t="s">
        <v>380</v>
      </c>
    </row>
    <row r="2704" spans="2:5">
      <c r="B2704" t="s">
        <v>4334</v>
      </c>
      <c r="C2704">
        <v>526169</v>
      </c>
      <c r="D2704" t="s">
        <v>360</v>
      </c>
      <c r="E2704" t="s">
        <v>840</v>
      </c>
    </row>
    <row r="2705" spans="2:5">
      <c r="B2705" t="s">
        <v>4335</v>
      </c>
      <c r="C2705">
        <v>526169</v>
      </c>
      <c r="D2705" t="s">
        <v>360</v>
      </c>
      <c r="E2705" t="s">
        <v>840</v>
      </c>
    </row>
    <row r="2706" spans="2:5">
      <c r="B2706" t="s">
        <v>4336</v>
      </c>
      <c r="C2706">
        <v>505594</v>
      </c>
      <c r="D2706" t="s">
        <v>360</v>
      </c>
      <c r="E2706" t="s">
        <v>781</v>
      </c>
    </row>
    <row r="2707" spans="2:5">
      <c r="B2707" t="s">
        <v>4337</v>
      </c>
      <c r="C2707">
        <v>504356</v>
      </c>
      <c r="D2707" t="s">
        <v>360</v>
      </c>
      <c r="E2707" t="s">
        <v>781</v>
      </c>
    </row>
    <row r="2708" spans="2:5">
      <c r="B2708" t="s">
        <v>4338</v>
      </c>
      <c r="C2708">
        <v>520059</v>
      </c>
      <c r="D2708" t="s">
        <v>4339</v>
      </c>
      <c r="E2708" t="s">
        <v>715</v>
      </c>
    </row>
    <row r="2709" spans="2:5">
      <c r="B2709" t="s">
        <v>4340</v>
      </c>
      <c r="C2709">
        <v>520043</v>
      </c>
      <c r="D2709" t="s">
        <v>4341</v>
      </c>
      <c r="E2709" t="s">
        <v>715</v>
      </c>
    </row>
    <row r="2710" spans="2:5">
      <c r="B2710" t="s">
        <v>4342</v>
      </c>
      <c r="C2710">
        <v>511200</v>
      </c>
      <c r="D2710" t="s">
        <v>360</v>
      </c>
      <c r="E2710" t="s">
        <v>781</v>
      </c>
    </row>
    <row r="2711" spans="2:5">
      <c r="B2711" t="s">
        <v>4343</v>
      </c>
      <c r="C2711">
        <v>511401</v>
      </c>
      <c r="D2711" t="s">
        <v>4344</v>
      </c>
      <c r="E2711" t="s">
        <v>343</v>
      </c>
    </row>
    <row r="2712" spans="2:5">
      <c r="B2712" t="s">
        <v>4345</v>
      </c>
      <c r="C2712">
        <v>531821</v>
      </c>
      <c r="D2712" t="s">
        <v>360</v>
      </c>
      <c r="E2712" t="s">
        <v>343</v>
      </c>
    </row>
    <row r="2713" spans="2:5">
      <c r="B2713" t="s">
        <v>4346</v>
      </c>
      <c r="C2713">
        <v>515037</v>
      </c>
      <c r="D2713" t="s">
        <v>4347</v>
      </c>
      <c r="E2713" t="s">
        <v>637</v>
      </c>
    </row>
    <row r="2714" spans="2:5">
      <c r="B2714" t="s">
        <v>4348</v>
      </c>
      <c r="C2714">
        <v>540366</v>
      </c>
      <c r="D2714" t="s">
        <v>4349</v>
      </c>
      <c r="E2714" t="s">
        <v>1098</v>
      </c>
    </row>
    <row r="2715" spans="2:5">
      <c r="B2715" t="s">
        <v>4350</v>
      </c>
      <c r="C2715">
        <v>511766</v>
      </c>
      <c r="D2715" t="s">
        <v>4351</v>
      </c>
      <c r="E2715" t="s">
        <v>377</v>
      </c>
    </row>
    <row r="2716" spans="2:5">
      <c r="B2716" t="s">
        <v>4352</v>
      </c>
      <c r="C2716">
        <v>533398</v>
      </c>
      <c r="D2716" t="s">
        <v>4353</v>
      </c>
      <c r="E2716" t="s">
        <v>377</v>
      </c>
    </row>
    <row r="2717" spans="2:5">
      <c r="B2717" t="s">
        <v>4354</v>
      </c>
      <c r="C2717">
        <v>532991</v>
      </c>
      <c r="D2717" t="s">
        <v>4355</v>
      </c>
      <c r="E2717" t="s">
        <v>446</v>
      </c>
    </row>
    <row r="2718" spans="2:5">
      <c r="B2718" t="s">
        <v>4356</v>
      </c>
      <c r="C2718">
        <v>538862</v>
      </c>
      <c r="D2718" t="s">
        <v>360</v>
      </c>
      <c r="E2718" t="s">
        <v>343</v>
      </c>
    </row>
    <row r="2719" spans="2:5">
      <c r="B2719" t="s">
        <v>4357</v>
      </c>
      <c r="C2719">
        <v>506734</v>
      </c>
      <c r="D2719" t="s">
        <v>360</v>
      </c>
      <c r="E2719" t="s">
        <v>408</v>
      </c>
    </row>
    <row r="2720" spans="2:5">
      <c r="B2720" t="s">
        <v>4358</v>
      </c>
      <c r="C2720">
        <v>535205</v>
      </c>
      <c r="D2720" t="s">
        <v>360</v>
      </c>
      <c r="E2720" t="s">
        <v>382</v>
      </c>
    </row>
    <row r="2721" spans="2:5">
      <c r="B2721" t="s">
        <v>4359</v>
      </c>
      <c r="C2721" t="s">
        <v>360</v>
      </c>
      <c r="D2721" t="s">
        <v>4360</v>
      </c>
      <c r="E2721" t="s">
        <v>451</v>
      </c>
    </row>
    <row r="2722" spans="2:5">
      <c r="B2722" t="s">
        <v>4361</v>
      </c>
      <c r="C2722">
        <v>512024</v>
      </c>
      <c r="D2722" t="s">
        <v>360</v>
      </c>
      <c r="E2722" t="s">
        <v>434</v>
      </c>
    </row>
    <row r="2723" spans="2:5">
      <c r="B2723" t="s">
        <v>4362</v>
      </c>
      <c r="C2723">
        <v>530897</v>
      </c>
      <c r="D2723" t="s">
        <v>360</v>
      </c>
      <c r="E2723" t="s">
        <v>549</v>
      </c>
    </row>
    <row r="2724" spans="2:5">
      <c r="B2724" t="s">
        <v>4363</v>
      </c>
      <c r="C2724">
        <v>516082</v>
      </c>
      <c r="D2724" t="s">
        <v>4364</v>
      </c>
      <c r="E2724" t="s">
        <v>354</v>
      </c>
    </row>
    <row r="2725" spans="2:5">
      <c r="B2725" t="s">
        <v>4365</v>
      </c>
      <c r="C2725">
        <v>532623</v>
      </c>
      <c r="D2725" t="s">
        <v>360</v>
      </c>
      <c r="E2725" t="s">
        <v>382</v>
      </c>
    </row>
    <row r="2726" spans="2:5">
      <c r="B2726" t="s">
        <v>4366</v>
      </c>
      <c r="C2726">
        <v>512279</v>
      </c>
      <c r="D2726" t="s">
        <v>360</v>
      </c>
      <c r="E2726" t="s">
        <v>781</v>
      </c>
    </row>
    <row r="2727" spans="2:5">
      <c r="B2727" t="s">
        <v>4367</v>
      </c>
      <c r="C2727">
        <v>524709</v>
      </c>
      <c r="D2727" t="s">
        <v>4368</v>
      </c>
      <c r="E2727" t="s">
        <v>504</v>
      </c>
    </row>
    <row r="2728" spans="2:5">
      <c r="B2728" t="s">
        <v>4369</v>
      </c>
      <c r="C2728" t="s">
        <v>360</v>
      </c>
      <c r="D2728" t="s">
        <v>4370</v>
      </c>
      <c r="E2728" t="s">
        <v>451</v>
      </c>
    </row>
    <row r="2729" spans="2:5">
      <c r="B2729" t="s">
        <v>4371</v>
      </c>
      <c r="C2729">
        <v>531832</v>
      </c>
      <c r="D2729" t="s">
        <v>360</v>
      </c>
      <c r="E2729" t="s">
        <v>558</v>
      </c>
    </row>
    <row r="2730" spans="2:5">
      <c r="B2730" t="s">
        <v>4372</v>
      </c>
      <c r="C2730">
        <v>539917</v>
      </c>
      <c r="D2730" t="s">
        <v>4373</v>
      </c>
      <c r="E2730" t="s">
        <v>868</v>
      </c>
    </row>
    <row r="2731" spans="2:5">
      <c r="B2731" t="s">
        <v>4374</v>
      </c>
      <c r="C2731">
        <v>534184</v>
      </c>
      <c r="D2731" t="s">
        <v>4375</v>
      </c>
      <c r="E2731" t="s">
        <v>423</v>
      </c>
    </row>
    <row r="2732" spans="2:5">
      <c r="B2732" t="s">
        <v>4376</v>
      </c>
      <c r="C2732">
        <v>532362</v>
      </c>
      <c r="D2732" t="s">
        <v>360</v>
      </c>
      <c r="E2732" t="s">
        <v>392</v>
      </c>
    </row>
    <row r="2733" spans="2:5">
      <c r="B2733" t="s">
        <v>4377</v>
      </c>
      <c r="C2733">
        <v>532895</v>
      </c>
      <c r="D2733" t="s">
        <v>4378</v>
      </c>
      <c r="E2733" t="s">
        <v>380</v>
      </c>
    </row>
    <row r="2734" spans="2:5">
      <c r="B2734" t="s">
        <v>4379</v>
      </c>
      <c r="C2734">
        <v>521109</v>
      </c>
      <c r="D2734" t="s">
        <v>4380</v>
      </c>
      <c r="E2734" t="s">
        <v>375</v>
      </c>
    </row>
    <row r="2735" spans="2:5">
      <c r="B2735" t="s">
        <v>4381</v>
      </c>
      <c r="C2735">
        <v>532952</v>
      </c>
      <c r="D2735" t="s">
        <v>4382</v>
      </c>
      <c r="E2735" t="s">
        <v>380</v>
      </c>
    </row>
    <row r="2736" spans="2:5">
      <c r="B2736" t="s">
        <v>4383</v>
      </c>
      <c r="C2736">
        <v>519136</v>
      </c>
      <c r="D2736" t="s">
        <v>4384</v>
      </c>
      <c r="E2736" t="s">
        <v>375</v>
      </c>
    </row>
    <row r="2737" spans="2:5">
      <c r="B2737" t="s">
        <v>4385</v>
      </c>
      <c r="C2737">
        <v>523391</v>
      </c>
      <c r="D2737" t="s">
        <v>4386</v>
      </c>
      <c r="E2737" t="s">
        <v>375</v>
      </c>
    </row>
    <row r="2738" spans="2:5">
      <c r="B2738" t="s">
        <v>4387</v>
      </c>
      <c r="C2738">
        <v>500296</v>
      </c>
      <c r="D2738" t="s">
        <v>4388</v>
      </c>
      <c r="E2738" t="s">
        <v>375</v>
      </c>
    </row>
    <row r="2739" spans="2:5">
      <c r="B2739" t="s">
        <v>4389</v>
      </c>
      <c r="C2739">
        <v>541418</v>
      </c>
      <c r="D2739" t="s">
        <v>360</v>
      </c>
      <c r="E2739" t="s">
        <v>420</v>
      </c>
    </row>
    <row r="2740" spans="2:5">
      <c r="B2740" t="s">
        <v>4390</v>
      </c>
      <c r="C2740">
        <v>531212</v>
      </c>
      <c r="D2740" t="s">
        <v>360</v>
      </c>
      <c r="E2740" t="s">
        <v>377</v>
      </c>
    </row>
    <row r="2741" spans="2:5">
      <c r="B2741" t="s">
        <v>4391</v>
      </c>
      <c r="C2741">
        <v>532256</v>
      </c>
      <c r="D2741" t="s">
        <v>4392</v>
      </c>
      <c r="E2741" t="s">
        <v>377</v>
      </c>
    </row>
    <row r="2742" spans="2:5">
      <c r="B2742" t="s">
        <v>4393</v>
      </c>
      <c r="C2742">
        <v>538395</v>
      </c>
      <c r="D2742" t="s">
        <v>360</v>
      </c>
      <c r="E2742" t="s">
        <v>343</v>
      </c>
    </row>
    <row r="2743" spans="2:5">
      <c r="B2743" t="s">
        <v>4394</v>
      </c>
      <c r="C2743">
        <v>532641</v>
      </c>
      <c r="D2743" t="s">
        <v>4395</v>
      </c>
      <c r="E2743" t="s">
        <v>375</v>
      </c>
    </row>
    <row r="2744" spans="2:5">
      <c r="B2744" t="s">
        <v>4396</v>
      </c>
      <c r="C2744" t="s">
        <v>360</v>
      </c>
      <c r="D2744" t="s">
        <v>4397</v>
      </c>
      <c r="E2744" t="s">
        <v>371</v>
      </c>
    </row>
    <row r="2745" spans="2:5">
      <c r="B2745" t="s">
        <v>4398</v>
      </c>
      <c r="C2745">
        <v>539551</v>
      </c>
      <c r="D2745" t="s">
        <v>4399</v>
      </c>
      <c r="E2745" t="s">
        <v>830</v>
      </c>
    </row>
    <row r="2746" spans="2:5">
      <c r="B2746" t="s">
        <v>4400</v>
      </c>
      <c r="C2746">
        <v>540080</v>
      </c>
      <c r="D2746" t="s">
        <v>360</v>
      </c>
      <c r="E2746" t="s">
        <v>392</v>
      </c>
    </row>
    <row r="2747" spans="2:5">
      <c r="B2747" t="s">
        <v>4401</v>
      </c>
      <c r="C2747">
        <v>519455</v>
      </c>
      <c r="D2747" t="s">
        <v>360</v>
      </c>
      <c r="E2747" t="s">
        <v>474</v>
      </c>
    </row>
    <row r="2748" spans="2:5">
      <c r="B2748" t="s">
        <v>4402</v>
      </c>
      <c r="C2748">
        <v>540204</v>
      </c>
      <c r="D2748" t="s">
        <v>4403</v>
      </c>
      <c r="E2748" t="s">
        <v>444</v>
      </c>
    </row>
    <row r="2749" spans="2:5">
      <c r="B2749" t="s">
        <v>4404</v>
      </c>
      <c r="C2749">
        <v>531416</v>
      </c>
      <c r="D2749" t="s">
        <v>360</v>
      </c>
      <c r="E2749" t="s">
        <v>446</v>
      </c>
    </row>
    <row r="2750" spans="2:5">
      <c r="B2750" t="s">
        <v>4405</v>
      </c>
      <c r="C2750" t="s">
        <v>360</v>
      </c>
      <c r="D2750" t="s">
        <v>4406</v>
      </c>
      <c r="E2750" t="s">
        <v>371</v>
      </c>
    </row>
    <row r="2751" spans="2:5">
      <c r="B2751" t="s">
        <v>4407</v>
      </c>
      <c r="C2751">
        <v>526739</v>
      </c>
      <c r="D2751" t="s">
        <v>360</v>
      </c>
      <c r="E2751" t="s">
        <v>520</v>
      </c>
    </row>
    <row r="2752" spans="2:5">
      <c r="B2752" t="s">
        <v>4408</v>
      </c>
      <c r="C2752">
        <v>517431</v>
      </c>
      <c r="D2752" t="s">
        <v>4409</v>
      </c>
      <c r="E2752" t="s">
        <v>480</v>
      </c>
    </row>
    <row r="2753" spans="2:5">
      <c r="B2753" t="s">
        <v>4410</v>
      </c>
      <c r="C2753">
        <v>539595</v>
      </c>
      <c r="D2753" t="s">
        <v>360</v>
      </c>
      <c r="E2753" t="s">
        <v>343</v>
      </c>
    </row>
    <row r="2754" spans="2:5">
      <c r="B2754" t="s">
        <v>4411</v>
      </c>
      <c r="C2754">
        <v>524816</v>
      </c>
      <c r="D2754" t="s">
        <v>4412</v>
      </c>
      <c r="E2754" t="s">
        <v>398</v>
      </c>
    </row>
    <row r="2755" spans="2:5">
      <c r="B2755" t="s">
        <v>4413</v>
      </c>
      <c r="C2755">
        <v>537291</v>
      </c>
      <c r="D2755" t="s">
        <v>4414</v>
      </c>
      <c r="E2755" t="s">
        <v>558</v>
      </c>
    </row>
    <row r="2756" spans="2:5">
      <c r="B2756" t="s">
        <v>4415</v>
      </c>
      <c r="C2756">
        <v>537291</v>
      </c>
      <c r="D2756" t="s">
        <v>4414</v>
      </c>
      <c r="E2756" t="s">
        <v>558</v>
      </c>
    </row>
    <row r="2757" spans="2:5">
      <c r="B2757" t="s">
        <v>4416</v>
      </c>
      <c r="C2757">
        <v>502407</v>
      </c>
      <c r="D2757" t="s">
        <v>360</v>
      </c>
      <c r="E2757" t="s">
        <v>354</v>
      </c>
    </row>
    <row r="2758" spans="2:5">
      <c r="B2758" t="s">
        <v>4417</v>
      </c>
      <c r="C2758">
        <v>532234</v>
      </c>
      <c r="D2758" t="s">
        <v>4418</v>
      </c>
      <c r="E2758" t="s">
        <v>665</v>
      </c>
    </row>
    <row r="2759" spans="2:5">
      <c r="B2759" t="s">
        <v>4419</v>
      </c>
      <c r="C2759">
        <v>523630</v>
      </c>
      <c r="D2759" t="s">
        <v>4420</v>
      </c>
      <c r="E2759" t="s">
        <v>868</v>
      </c>
    </row>
    <row r="2760" spans="2:5">
      <c r="B2760" t="s">
        <v>4421</v>
      </c>
      <c r="C2760">
        <v>531289</v>
      </c>
      <c r="D2760" t="s">
        <v>360</v>
      </c>
      <c r="E2760" t="s">
        <v>683</v>
      </c>
    </row>
    <row r="2761" spans="2:5">
      <c r="B2761" t="s">
        <v>4422</v>
      </c>
      <c r="C2761">
        <v>531651</v>
      </c>
      <c r="D2761" t="s">
        <v>360</v>
      </c>
      <c r="E2761" t="s">
        <v>392</v>
      </c>
    </row>
    <row r="2762" spans="2:5">
      <c r="B2762" t="s">
        <v>4423</v>
      </c>
      <c r="C2762">
        <v>507813</v>
      </c>
      <c r="D2762" t="s">
        <v>360</v>
      </c>
      <c r="E2762" t="s">
        <v>1395</v>
      </c>
    </row>
    <row r="2763" spans="2:5">
      <c r="B2763" t="s">
        <v>4424</v>
      </c>
      <c r="C2763">
        <v>500298</v>
      </c>
      <c r="D2763" t="s">
        <v>360</v>
      </c>
      <c r="E2763" t="s">
        <v>408</v>
      </c>
    </row>
    <row r="2764" spans="2:5">
      <c r="B2764" t="s">
        <v>4425</v>
      </c>
      <c r="C2764">
        <v>526616</v>
      </c>
      <c r="D2764" t="s">
        <v>360</v>
      </c>
      <c r="E2764" t="s">
        <v>480</v>
      </c>
    </row>
    <row r="2765" spans="2:5">
      <c r="B2765" t="s">
        <v>4426</v>
      </c>
      <c r="C2765">
        <v>531287</v>
      </c>
      <c r="D2765" t="s">
        <v>360</v>
      </c>
      <c r="E2765" t="s">
        <v>480</v>
      </c>
    </row>
    <row r="2766" spans="2:5">
      <c r="B2766" t="s">
        <v>4427</v>
      </c>
      <c r="C2766">
        <v>516062</v>
      </c>
      <c r="D2766" t="s">
        <v>360</v>
      </c>
      <c r="E2766" t="s">
        <v>855</v>
      </c>
    </row>
    <row r="2767" spans="2:5">
      <c r="B2767" t="s">
        <v>4428</v>
      </c>
      <c r="C2767">
        <v>504882</v>
      </c>
      <c r="D2767" t="s">
        <v>360</v>
      </c>
      <c r="E2767" t="s">
        <v>446</v>
      </c>
    </row>
    <row r="2768" spans="2:5">
      <c r="B2768" t="s">
        <v>4429</v>
      </c>
      <c r="C2768">
        <v>504882</v>
      </c>
      <c r="D2768" t="s">
        <v>360</v>
      </c>
      <c r="E2768" t="s">
        <v>446</v>
      </c>
    </row>
    <row r="2769" spans="2:5">
      <c r="B2769" t="s">
        <v>4430</v>
      </c>
      <c r="C2769">
        <v>513179</v>
      </c>
      <c r="D2769" t="s">
        <v>4431</v>
      </c>
      <c r="E2769" t="s">
        <v>392</v>
      </c>
    </row>
    <row r="2770" spans="2:5">
      <c r="B2770" t="s">
        <v>4432</v>
      </c>
      <c r="C2770">
        <v>530119</v>
      </c>
      <c r="D2770" t="s">
        <v>360</v>
      </c>
      <c r="E2770" t="s">
        <v>609</v>
      </c>
    </row>
    <row r="2771" spans="2:5">
      <c r="B2771" t="s">
        <v>4433</v>
      </c>
      <c r="C2771">
        <v>531834</v>
      </c>
      <c r="D2771" t="s">
        <v>360</v>
      </c>
      <c r="E2771" t="s">
        <v>558</v>
      </c>
    </row>
    <row r="2772" spans="2:5">
      <c r="B2772" t="s">
        <v>4434</v>
      </c>
      <c r="C2772">
        <v>524654</v>
      </c>
      <c r="D2772" t="s">
        <v>360</v>
      </c>
      <c r="E2772" t="s">
        <v>398</v>
      </c>
    </row>
    <row r="2773" spans="2:5">
      <c r="B2773" t="s">
        <v>4435</v>
      </c>
      <c r="C2773">
        <v>538926</v>
      </c>
      <c r="D2773" t="s">
        <v>360</v>
      </c>
      <c r="E2773" t="s">
        <v>558</v>
      </c>
    </row>
    <row r="2774" spans="2:5">
      <c r="B2774" t="s">
        <v>4436</v>
      </c>
      <c r="C2774">
        <v>513023</v>
      </c>
      <c r="D2774" t="s">
        <v>4437</v>
      </c>
      <c r="E2774" t="s">
        <v>499</v>
      </c>
    </row>
    <row r="2775" spans="2:5">
      <c r="B2775" t="s">
        <v>4438</v>
      </c>
      <c r="C2775">
        <v>539521</v>
      </c>
      <c r="D2775" t="s">
        <v>360</v>
      </c>
      <c r="E2775" t="s">
        <v>343</v>
      </c>
    </row>
    <row r="2776" spans="2:5">
      <c r="B2776" t="s">
        <v>4439</v>
      </c>
      <c r="C2776">
        <v>532504</v>
      </c>
      <c r="D2776" t="s">
        <v>4440</v>
      </c>
      <c r="E2776" t="s">
        <v>408</v>
      </c>
    </row>
    <row r="2777" spans="2:5">
      <c r="B2777" t="s">
        <v>4441</v>
      </c>
      <c r="C2777">
        <v>531494</v>
      </c>
      <c r="D2777" t="s">
        <v>360</v>
      </c>
      <c r="E2777" t="s">
        <v>446</v>
      </c>
    </row>
    <row r="2778" spans="2:5">
      <c r="B2778" t="s">
        <v>4442</v>
      </c>
      <c r="C2778">
        <v>539332</v>
      </c>
      <c r="D2778" t="s">
        <v>4443</v>
      </c>
      <c r="E2778" t="s">
        <v>483</v>
      </c>
    </row>
    <row r="2779" spans="2:5">
      <c r="B2779" t="s">
        <v>4444</v>
      </c>
      <c r="C2779">
        <v>539525</v>
      </c>
      <c r="D2779" t="s">
        <v>360</v>
      </c>
      <c r="E2779" t="s">
        <v>394</v>
      </c>
    </row>
    <row r="2780" spans="2:5">
      <c r="B2780" t="s">
        <v>4445</v>
      </c>
      <c r="C2780">
        <v>508989</v>
      </c>
      <c r="D2780" t="s">
        <v>4446</v>
      </c>
      <c r="E2780" t="s">
        <v>884</v>
      </c>
    </row>
    <row r="2781" spans="2:5">
      <c r="B2781" t="s">
        <v>4447</v>
      </c>
      <c r="C2781">
        <v>538668</v>
      </c>
      <c r="D2781" t="s">
        <v>360</v>
      </c>
      <c r="E2781" t="s">
        <v>377</v>
      </c>
    </row>
    <row r="2782" spans="2:5">
      <c r="B2782" t="s">
        <v>4448</v>
      </c>
      <c r="C2782">
        <v>523242</v>
      </c>
      <c r="D2782" t="s">
        <v>360</v>
      </c>
      <c r="E2782" t="s">
        <v>786</v>
      </c>
    </row>
    <row r="2783" spans="2:5">
      <c r="B2783" t="s">
        <v>4449</v>
      </c>
      <c r="C2783">
        <v>534309</v>
      </c>
      <c r="D2783" t="s">
        <v>4450</v>
      </c>
      <c r="E2783" t="s">
        <v>758</v>
      </c>
    </row>
    <row r="2784" spans="2:5">
      <c r="B2784" t="s">
        <v>4451</v>
      </c>
      <c r="C2784">
        <v>534309</v>
      </c>
      <c r="D2784" t="s">
        <v>4450</v>
      </c>
      <c r="E2784" t="s">
        <v>758</v>
      </c>
    </row>
    <row r="2785" spans="2:5">
      <c r="B2785" t="s">
        <v>4452</v>
      </c>
      <c r="C2785">
        <v>519506</v>
      </c>
      <c r="D2785" t="s">
        <v>360</v>
      </c>
      <c r="E2785" t="s">
        <v>420</v>
      </c>
    </row>
    <row r="2786" spans="2:5">
      <c r="B2786" t="s">
        <v>4453</v>
      </c>
      <c r="C2786">
        <v>531452</v>
      </c>
      <c r="D2786" t="s">
        <v>360</v>
      </c>
      <c r="E2786" t="s">
        <v>377</v>
      </c>
    </row>
    <row r="2787" spans="2:5">
      <c r="B2787" t="s">
        <v>4454</v>
      </c>
      <c r="C2787">
        <v>500294</v>
      </c>
      <c r="D2787" t="s">
        <v>4455</v>
      </c>
      <c r="E2787" t="s">
        <v>758</v>
      </c>
    </row>
    <row r="2788" spans="2:5">
      <c r="B2788" t="s">
        <v>4456</v>
      </c>
      <c r="C2788">
        <v>502168</v>
      </c>
      <c r="D2788" t="s">
        <v>4457</v>
      </c>
      <c r="E2788" t="s">
        <v>373</v>
      </c>
    </row>
    <row r="2789" spans="2:5">
      <c r="B2789" t="s">
        <v>4458</v>
      </c>
      <c r="C2789">
        <v>530557</v>
      </c>
      <c r="D2789" t="s">
        <v>360</v>
      </c>
      <c r="E2789" t="s">
        <v>343</v>
      </c>
    </row>
    <row r="2790" spans="2:5">
      <c r="B2790" t="s">
        <v>4459</v>
      </c>
      <c r="C2790">
        <v>511535</v>
      </c>
      <c r="D2790" t="s">
        <v>360</v>
      </c>
      <c r="E2790" t="s">
        <v>343</v>
      </c>
    </row>
    <row r="2791" spans="2:5">
      <c r="B2791" t="s">
        <v>4460</v>
      </c>
      <c r="C2791">
        <v>532649</v>
      </c>
      <c r="D2791" t="s">
        <v>4461</v>
      </c>
      <c r="E2791" t="s">
        <v>398</v>
      </c>
    </row>
    <row r="2792" spans="2:5">
      <c r="B2792" t="s">
        <v>4462</v>
      </c>
      <c r="C2792">
        <v>508670</v>
      </c>
      <c r="D2792" t="s">
        <v>360</v>
      </c>
      <c r="E2792" t="s">
        <v>767</v>
      </c>
    </row>
    <row r="2793" spans="2:5">
      <c r="B2793" t="s">
        <v>4463</v>
      </c>
      <c r="C2793">
        <v>531049</v>
      </c>
      <c r="D2793" t="s">
        <v>360</v>
      </c>
      <c r="E2793" t="s">
        <v>888</v>
      </c>
    </row>
    <row r="2794" spans="2:5">
      <c r="B2794" t="s">
        <v>4464</v>
      </c>
      <c r="C2794">
        <v>539409</v>
      </c>
      <c r="D2794" t="s">
        <v>360</v>
      </c>
      <c r="E2794" t="s">
        <v>382</v>
      </c>
    </row>
    <row r="2795" spans="2:5">
      <c r="B2795" t="s">
        <v>4465</v>
      </c>
      <c r="C2795">
        <v>537838</v>
      </c>
      <c r="D2795" t="s">
        <v>360</v>
      </c>
      <c r="E2795" t="s">
        <v>382</v>
      </c>
    </row>
    <row r="2796" spans="2:5">
      <c r="B2796" t="s">
        <v>4466</v>
      </c>
      <c r="C2796">
        <v>519560</v>
      </c>
      <c r="D2796" t="s">
        <v>360</v>
      </c>
      <c r="E2796" t="s">
        <v>558</v>
      </c>
    </row>
    <row r="2797" spans="2:5">
      <c r="B2797" t="s">
        <v>4467</v>
      </c>
      <c r="C2797">
        <v>539016</v>
      </c>
      <c r="D2797" t="s">
        <v>360</v>
      </c>
      <c r="E2797" t="s">
        <v>377</v>
      </c>
    </row>
    <row r="2798" spans="2:5">
      <c r="B2798" t="s">
        <v>4468</v>
      </c>
      <c r="C2798">
        <v>532864</v>
      </c>
      <c r="D2798" t="s">
        <v>4469</v>
      </c>
      <c r="E2798" t="s">
        <v>1279</v>
      </c>
    </row>
    <row r="2799" spans="2:5">
      <c r="B2799" t="s">
        <v>4470</v>
      </c>
      <c r="C2799">
        <v>504112</v>
      </c>
      <c r="D2799" t="s">
        <v>4471</v>
      </c>
      <c r="E2799" t="s">
        <v>1986</v>
      </c>
    </row>
    <row r="2800" spans="2:5">
      <c r="B2800" t="s">
        <v>4472</v>
      </c>
      <c r="C2800">
        <v>514332</v>
      </c>
      <c r="D2800" t="s">
        <v>360</v>
      </c>
      <c r="E2800" t="s">
        <v>446</v>
      </c>
    </row>
    <row r="2801" spans="2:5">
      <c r="B2801" t="s">
        <v>4473</v>
      </c>
      <c r="C2801">
        <v>526195</v>
      </c>
      <c r="D2801" t="s">
        <v>360</v>
      </c>
      <c r="E2801" t="s">
        <v>474</v>
      </c>
    </row>
    <row r="2802" spans="2:5">
      <c r="B2802" t="s">
        <v>4474</v>
      </c>
      <c r="C2802">
        <v>526195</v>
      </c>
      <c r="D2802" t="s">
        <v>360</v>
      </c>
      <c r="E2802" t="s">
        <v>474</v>
      </c>
    </row>
    <row r="2803" spans="2:5">
      <c r="B2803" t="s">
        <v>4475</v>
      </c>
      <c r="C2803">
        <v>542665</v>
      </c>
      <c r="D2803" t="s">
        <v>4476</v>
      </c>
      <c r="E2803" t="s">
        <v>520</v>
      </c>
    </row>
    <row r="2804" spans="2:5">
      <c r="B2804" t="s">
        <v>4477</v>
      </c>
      <c r="C2804">
        <v>512522</v>
      </c>
      <c r="D2804" t="s">
        <v>360</v>
      </c>
      <c r="E2804" t="s">
        <v>382</v>
      </c>
    </row>
    <row r="2805" spans="2:5">
      <c r="B2805" t="s">
        <v>4478</v>
      </c>
      <c r="C2805">
        <v>505355</v>
      </c>
      <c r="D2805" t="s">
        <v>4479</v>
      </c>
      <c r="E2805" t="s">
        <v>781</v>
      </c>
    </row>
    <row r="2806" spans="2:5">
      <c r="B2806" t="s">
        <v>4480</v>
      </c>
      <c r="C2806">
        <v>500790</v>
      </c>
      <c r="D2806" t="s">
        <v>4481</v>
      </c>
      <c r="E2806" t="s">
        <v>420</v>
      </c>
    </row>
    <row r="2807" spans="2:5">
      <c r="B2807" t="s">
        <v>4482</v>
      </c>
      <c r="C2807">
        <v>500790</v>
      </c>
      <c r="D2807" t="s">
        <v>4481</v>
      </c>
      <c r="E2807" t="s">
        <v>420</v>
      </c>
    </row>
    <row r="2808" spans="2:5">
      <c r="B2808" t="s">
        <v>4483</v>
      </c>
      <c r="C2808">
        <v>509040</v>
      </c>
      <c r="D2808" t="s">
        <v>360</v>
      </c>
      <c r="E2808" t="s">
        <v>453</v>
      </c>
    </row>
    <row r="2809" spans="2:5">
      <c r="B2809" t="s">
        <v>4484</v>
      </c>
      <c r="C2809">
        <v>509040</v>
      </c>
      <c r="D2809" t="s">
        <v>360</v>
      </c>
      <c r="E2809" t="s">
        <v>453</v>
      </c>
    </row>
    <row r="2810" spans="2:5">
      <c r="B2810" t="s">
        <v>4485</v>
      </c>
      <c r="C2810">
        <v>542117</v>
      </c>
      <c r="D2810" t="s">
        <v>360</v>
      </c>
      <c r="E2810" t="s">
        <v>451</v>
      </c>
    </row>
    <row r="2811" spans="2:5">
      <c r="B2811" t="s">
        <v>4486</v>
      </c>
      <c r="C2811">
        <v>511658</v>
      </c>
      <c r="D2811" t="s">
        <v>360</v>
      </c>
      <c r="E2811" t="s">
        <v>453</v>
      </c>
    </row>
    <row r="2812" spans="2:5">
      <c r="B2812" t="s">
        <v>4487</v>
      </c>
      <c r="C2812">
        <v>523558</v>
      </c>
      <c r="D2812" t="s">
        <v>360</v>
      </c>
      <c r="E2812" t="s">
        <v>902</v>
      </c>
    </row>
    <row r="2813" spans="2:5">
      <c r="B2813" t="s">
        <v>4488</v>
      </c>
      <c r="C2813">
        <v>532798</v>
      </c>
      <c r="D2813" t="s">
        <v>4489</v>
      </c>
      <c r="E2813" t="s">
        <v>526</v>
      </c>
    </row>
    <row r="2814" spans="2:5">
      <c r="B2814" t="s">
        <v>4490</v>
      </c>
      <c r="C2814">
        <v>532887</v>
      </c>
      <c r="D2814" t="s">
        <v>4491</v>
      </c>
      <c r="E2814" t="s">
        <v>403</v>
      </c>
    </row>
    <row r="2815" spans="2:5">
      <c r="B2815" t="s">
        <v>4492</v>
      </c>
      <c r="C2815">
        <v>524558</v>
      </c>
      <c r="D2815" t="s">
        <v>4493</v>
      </c>
      <c r="E2815" t="s">
        <v>398</v>
      </c>
    </row>
    <row r="2816" spans="2:5">
      <c r="B2816" t="s">
        <v>4494</v>
      </c>
      <c r="C2816">
        <v>532529</v>
      </c>
      <c r="D2816" t="s">
        <v>4495</v>
      </c>
      <c r="E2816" t="s">
        <v>1098</v>
      </c>
    </row>
    <row r="2817" spans="2:5">
      <c r="B2817" t="s">
        <v>4496</v>
      </c>
      <c r="C2817">
        <v>540243</v>
      </c>
      <c r="D2817" t="s">
        <v>360</v>
      </c>
      <c r="E2817" t="s">
        <v>382</v>
      </c>
    </row>
    <row r="2818" spans="2:5">
      <c r="B2818" t="s">
        <v>4497</v>
      </c>
      <c r="C2818">
        <v>508867</v>
      </c>
      <c r="D2818" t="s">
        <v>360</v>
      </c>
      <c r="E2818" t="s">
        <v>453</v>
      </c>
    </row>
    <row r="2819" spans="2:5">
      <c r="B2819" t="s">
        <v>4498</v>
      </c>
      <c r="C2819">
        <v>501479</v>
      </c>
      <c r="D2819" t="s">
        <v>360</v>
      </c>
      <c r="E2819" t="s">
        <v>382</v>
      </c>
    </row>
    <row r="2820" spans="2:5">
      <c r="B2820" t="s">
        <v>4499</v>
      </c>
      <c r="C2820">
        <v>536644</v>
      </c>
      <c r="D2820" t="s">
        <v>360</v>
      </c>
      <c r="E2820" t="s">
        <v>382</v>
      </c>
    </row>
    <row r="2821" spans="2:5">
      <c r="B2821" t="s">
        <v>4500</v>
      </c>
      <c r="C2821">
        <v>540900</v>
      </c>
      <c r="D2821" t="s">
        <v>4501</v>
      </c>
      <c r="E2821" t="s">
        <v>346</v>
      </c>
    </row>
    <row r="2822" spans="2:5">
      <c r="B2822" t="s">
        <v>4502</v>
      </c>
      <c r="C2822">
        <v>532416</v>
      </c>
      <c r="D2822" t="s">
        <v>4503</v>
      </c>
      <c r="E2822" t="s">
        <v>884</v>
      </c>
    </row>
    <row r="2823" spans="2:5">
      <c r="B2823" t="s">
        <v>4504</v>
      </c>
      <c r="C2823">
        <v>538874</v>
      </c>
      <c r="D2823" t="s">
        <v>360</v>
      </c>
      <c r="E2823" t="s">
        <v>343</v>
      </c>
    </row>
    <row r="2824" spans="2:5">
      <c r="B2824" t="s">
        <v>4505</v>
      </c>
      <c r="C2824">
        <v>524774</v>
      </c>
      <c r="D2824" t="s">
        <v>360</v>
      </c>
      <c r="E2824" t="s">
        <v>398</v>
      </c>
    </row>
    <row r="2825" spans="2:5">
      <c r="B2825" t="s">
        <v>4506</v>
      </c>
      <c r="C2825">
        <v>517554</v>
      </c>
      <c r="D2825" t="s">
        <v>360</v>
      </c>
      <c r="E2825" t="s">
        <v>440</v>
      </c>
    </row>
    <row r="2826" spans="2:5">
      <c r="B2826" t="s">
        <v>4507</v>
      </c>
      <c r="C2826">
        <v>533098</v>
      </c>
      <c r="D2826" t="s">
        <v>4508</v>
      </c>
      <c r="E2826" t="s">
        <v>499</v>
      </c>
    </row>
    <row r="2827" spans="2:5">
      <c r="B2827" t="s">
        <v>4509</v>
      </c>
      <c r="C2827">
        <v>526721</v>
      </c>
      <c r="D2827" t="s">
        <v>360</v>
      </c>
      <c r="E2827" t="s">
        <v>538</v>
      </c>
    </row>
    <row r="2828" spans="2:5">
      <c r="B2828" t="s">
        <v>4510</v>
      </c>
      <c r="C2828">
        <v>523209</v>
      </c>
      <c r="D2828" t="s">
        <v>360</v>
      </c>
      <c r="E2828" t="s">
        <v>377</v>
      </c>
    </row>
    <row r="2829" spans="2:5">
      <c r="B2829" t="s">
        <v>4511</v>
      </c>
      <c r="C2829">
        <v>512103</v>
      </c>
      <c r="D2829" t="s">
        <v>360</v>
      </c>
      <c r="E2829" t="s">
        <v>888</v>
      </c>
    </row>
    <row r="2830" spans="2:5">
      <c r="B2830" t="s">
        <v>4512</v>
      </c>
      <c r="C2830">
        <v>531083</v>
      </c>
      <c r="D2830" t="s">
        <v>360</v>
      </c>
      <c r="E2830" t="s">
        <v>453</v>
      </c>
    </row>
    <row r="2831" spans="2:5">
      <c r="B2831" t="s">
        <v>4513</v>
      </c>
      <c r="C2831">
        <v>500304</v>
      </c>
      <c r="D2831" t="s">
        <v>4514</v>
      </c>
      <c r="E2831" t="s">
        <v>845</v>
      </c>
    </row>
    <row r="2832" spans="2:5">
      <c r="B2832" t="s">
        <v>4515</v>
      </c>
      <c r="C2832">
        <v>532541</v>
      </c>
      <c r="D2832" t="s">
        <v>4516</v>
      </c>
      <c r="E2832" t="s">
        <v>346</v>
      </c>
    </row>
    <row r="2833" spans="2:5">
      <c r="B2833" t="s">
        <v>4517</v>
      </c>
      <c r="C2833">
        <v>526159</v>
      </c>
      <c r="D2833" t="s">
        <v>360</v>
      </c>
      <c r="E2833" t="s">
        <v>382</v>
      </c>
    </row>
    <row r="2834" spans="2:5">
      <c r="B2834" t="s">
        <v>4518</v>
      </c>
      <c r="C2834">
        <v>531272</v>
      </c>
      <c r="D2834" t="s">
        <v>360</v>
      </c>
      <c r="E2834" t="s">
        <v>377</v>
      </c>
    </row>
    <row r="2835" spans="2:5">
      <c r="B2835" t="s">
        <v>4519</v>
      </c>
      <c r="C2835">
        <v>530377</v>
      </c>
      <c r="D2835" t="s">
        <v>4520</v>
      </c>
      <c r="E2835" t="s">
        <v>446</v>
      </c>
    </row>
    <row r="2836" spans="2:5">
      <c r="B2836" t="s">
        <v>4521</v>
      </c>
      <c r="C2836">
        <v>542231</v>
      </c>
      <c r="D2836" t="s">
        <v>4522</v>
      </c>
      <c r="E2836" t="s">
        <v>446</v>
      </c>
    </row>
    <row r="2837" spans="2:5">
      <c r="B2837" t="s">
        <v>4523</v>
      </c>
      <c r="C2837">
        <v>502294</v>
      </c>
      <c r="D2837" t="s">
        <v>360</v>
      </c>
      <c r="E2837" t="s">
        <v>888</v>
      </c>
    </row>
    <row r="2838" spans="2:5">
      <c r="B2838" t="s">
        <v>4524</v>
      </c>
      <c r="C2838">
        <v>530129</v>
      </c>
      <c r="D2838" t="s">
        <v>360</v>
      </c>
      <c r="E2838" t="s">
        <v>683</v>
      </c>
    </row>
    <row r="2839" spans="2:5">
      <c r="B2839" t="s">
        <v>4525</v>
      </c>
      <c r="C2839">
        <v>523385</v>
      </c>
      <c r="D2839" t="s">
        <v>4526</v>
      </c>
      <c r="E2839" t="s">
        <v>480</v>
      </c>
    </row>
    <row r="2840" spans="2:5">
      <c r="B2840" t="s">
        <v>4527</v>
      </c>
      <c r="C2840">
        <v>512004</v>
      </c>
      <c r="D2840" t="s">
        <v>360</v>
      </c>
      <c r="E2840" t="s">
        <v>781</v>
      </c>
    </row>
    <row r="2841" spans="2:5">
      <c r="B2841" t="s">
        <v>4528</v>
      </c>
      <c r="C2841">
        <v>531598</v>
      </c>
      <c r="D2841" t="s">
        <v>360</v>
      </c>
      <c r="E2841" t="s">
        <v>420</v>
      </c>
    </row>
    <row r="2842" spans="2:5">
      <c r="B2842" t="s">
        <v>4529</v>
      </c>
      <c r="C2842">
        <v>530971</v>
      </c>
      <c r="D2842" t="s">
        <v>360</v>
      </c>
      <c r="E2842" t="s">
        <v>382</v>
      </c>
    </row>
    <row r="2843" spans="2:5">
      <c r="B2843" t="s">
        <v>4530</v>
      </c>
      <c r="C2843">
        <v>511714</v>
      </c>
      <c r="D2843" t="s">
        <v>360</v>
      </c>
      <c r="E2843" t="s">
        <v>446</v>
      </c>
    </row>
    <row r="2844" spans="2:5">
      <c r="B2844" t="s">
        <v>4531</v>
      </c>
      <c r="C2844">
        <v>539843</v>
      </c>
      <c r="D2844" t="s">
        <v>360</v>
      </c>
      <c r="E2844" t="s">
        <v>346</v>
      </c>
    </row>
    <row r="2845" spans="2:5">
      <c r="B2845" t="s">
        <v>4532</v>
      </c>
      <c r="C2845">
        <v>532986</v>
      </c>
      <c r="D2845" t="s">
        <v>360</v>
      </c>
      <c r="E2845" t="s">
        <v>758</v>
      </c>
    </row>
    <row r="2846" spans="2:5">
      <c r="B2846" t="s">
        <v>4533</v>
      </c>
      <c r="C2846" t="s">
        <v>360</v>
      </c>
      <c r="D2846" t="s">
        <v>4534</v>
      </c>
      <c r="E2846" t="s">
        <v>451</v>
      </c>
    </row>
    <row r="2847" spans="2:5">
      <c r="B2847" t="s">
        <v>4535</v>
      </c>
      <c r="C2847">
        <v>512425</v>
      </c>
      <c r="D2847" t="s">
        <v>360</v>
      </c>
      <c r="E2847" t="s">
        <v>382</v>
      </c>
    </row>
    <row r="2848" spans="2:5">
      <c r="B2848" t="s">
        <v>4536</v>
      </c>
      <c r="C2848">
        <v>500307</v>
      </c>
      <c r="D2848" t="s">
        <v>360</v>
      </c>
      <c r="E2848" t="s">
        <v>781</v>
      </c>
    </row>
    <row r="2849" spans="2:5">
      <c r="B2849" t="s">
        <v>4537</v>
      </c>
      <c r="C2849">
        <v>539311</v>
      </c>
      <c r="D2849" t="s">
        <v>360</v>
      </c>
      <c r="E2849" t="s">
        <v>343</v>
      </c>
    </row>
    <row r="2850" spans="2:5">
      <c r="B2850" t="s">
        <v>4538</v>
      </c>
      <c r="C2850">
        <v>539311</v>
      </c>
      <c r="D2850" t="s">
        <v>360</v>
      </c>
      <c r="E2850" t="s">
        <v>343</v>
      </c>
    </row>
    <row r="2851" spans="2:5">
      <c r="B2851" t="s">
        <v>4539</v>
      </c>
      <c r="C2851">
        <v>532722</v>
      </c>
      <c r="D2851" t="s">
        <v>4540</v>
      </c>
      <c r="E2851" t="s">
        <v>637</v>
      </c>
    </row>
    <row r="2852" spans="2:5">
      <c r="B2852" t="s">
        <v>4541</v>
      </c>
      <c r="C2852">
        <v>533202</v>
      </c>
      <c r="D2852" t="s">
        <v>4542</v>
      </c>
      <c r="E2852" t="s">
        <v>446</v>
      </c>
    </row>
    <row r="2853" spans="2:5">
      <c r="B2853" t="s">
        <v>4543</v>
      </c>
      <c r="C2853">
        <v>508875</v>
      </c>
      <c r="D2853" t="s">
        <v>360</v>
      </c>
      <c r="E2853" t="s">
        <v>781</v>
      </c>
    </row>
    <row r="2854" spans="2:5">
      <c r="B2854" t="s">
        <v>4544</v>
      </c>
      <c r="C2854">
        <v>532854</v>
      </c>
      <c r="D2854" t="s">
        <v>4545</v>
      </c>
      <c r="E2854" t="s">
        <v>368</v>
      </c>
    </row>
    <row r="2855" spans="2:5">
      <c r="B2855" t="s">
        <v>4546</v>
      </c>
      <c r="C2855">
        <v>532698</v>
      </c>
      <c r="D2855" t="s">
        <v>4547</v>
      </c>
      <c r="E2855" t="s">
        <v>375</v>
      </c>
    </row>
    <row r="2856" spans="2:5">
      <c r="B2856" t="s">
        <v>4548</v>
      </c>
      <c r="C2856" t="s">
        <v>360</v>
      </c>
      <c r="D2856" t="s">
        <v>4549</v>
      </c>
      <c r="E2856" t="s">
        <v>371</v>
      </c>
    </row>
    <row r="2857" spans="2:5">
      <c r="B2857" t="s">
        <v>4550</v>
      </c>
      <c r="C2857">
        <v>506532</v>
      </c>
      <c r="D2857" t="s">
        <v>360</v>
      </c>
      <c r="E2857" t="s">
        <v>520</v>
      </c>
    </row>
    <row r="2858" spans="2:5">
      <c r="B2858" t="s">
        <v>4551</v>
      </c>
      <c r="C2858">
        <v>506532</v>
      </c>
      <c r="D2858" t="s">
        <v>360</v>
      </c>
      <c r="E2858" t="s">
        <v>520</v>
      </c>
    </row>
    <row r="2859" spans="2:5">
      <c r="B2859" t="s">
        <v>4552</v>
      </c>
      <c r="C2859">
        <v>512381</v>
      </c>
      <c r="D2859" t="s">
        <v>360</v>
      </c>
      <c r="E2859" t="s">
        <v>382</v>
      </c>
    </row>
    <row r="2860" spans="2:5">
      <c r="B2860" t="s">
        <v>4553</v>
      </c>
      <c r="C2860">
        <v>512245</v>
      </c>
      <c r="D2860" t="s">
        <v>360</v>
      </c>
      <c r="E2860" t="s">
        <v>781</v>
      </c>
    </row>
    <row r="2861" spans="2:5">
      <c r="B2861" t="s">
        <v>4554</v>
      </c>
      <c r="C2861">
        <v>538772</v>
      </c>
      <c r="D2861" t="s">
        <v>360</v>
      </c>
      <c r="E2861" t="s">
        <v>377</v>
      </c>
    </row>
    <row r="2862" spans="2:5">
      <c r="B2862" t="s">
        <v>4555</v>
      </c>
      <c r="C2862">
        <v>519494</v>
      </c>
      <c r="D2862" t="s">
        <v>4556</v>
      </c>
      <c r="E2862" t="s">
        <v>609</v>
      </c>
    </row>
    <row r="2863" spans="2:5">
      <c r="B2863" t="s">
        <v>4557</v>
      </c>
      <c r="C2863">
        <v>513683</v>
      </c>
      <c r="D2863" t="s">
        <v>4558</v>
      </c>
      <c r="E2863" t="s">
        <v>499</v>
      </c>
    </row>
    <row r="2864" spans="2:5">
      <c r="B2864" t="s">
        <v>4559</v>
      </c>
      <c r="C2864">
        <v>513683</v>
      </c>
      <c r="D2864" t="s">
        <v>4560</v>
      </c>
      <c r="E2864" t="s">
        <v>499</v>
      </c>
    </row>
    <row r="2865" spans="2:5">
      <c r="B2865" t="s">
        <v>4561</v>
      </c>
      <c r="C2865">
        <v>526371</v>
      </c>
      <c r="D2865" t="s">
        <v>4562</v>
      </c>
      <c r="E2865" t="s">
        <v>340</v>
      </c>
    </row>
    <row r="2866" spans="2:5">
      <c r="B2866" t="s">
        <v>4563</v>
      </c>
      <c r="C2866">
        <v>500730</v>
      </c>
      <c r="D2866" t="s">
        <v>4564</v>
      </c>
      <c r="E2866" t="s">
        <v>520</v>
      </c>
    </row>
    <row r="2867" spans="2:5">
      <c r="B2867" t="s">
        <v>4565</v>
      </c>
      <c r="C2867">
        <v>532481</v>
      </c>
      <c r="D2867" t="s">
        <v>4566</v>
      </c>
      <c r="E2867" t="s">
        <v>955</v>
      </c>
    </row>
    <row r="2868" spans="2:5">
      <c r="B2868" t="s">
        <v>4567</v>
      </c>
      <c r="C2868" t="s">
        <v>360</v>
      </c>
      <c r="D2868" t="s">
        <v>4568</v>
      </c>
      <c r="E2868" t="s">
        <v>451</v>
      </c>
    </row>
    <row r="2869" spans="2:5">
      <c r="B2869" t="s">
        <v>4569</v>
      </c>
      <c r="C2869">
        <v>524414</v>
      </c>
      <c r="D2869" t="s">
        <v>360</v>
      </c>
      <c r="E2869" t="s">
        <v>382</v>
      </c>
    </row>
    <row r="2870" spans="2:5">
      <c r="B2870" t="s">
        <v>4570</v>
      </c>
      <c r="C2870">
        <v>534615</v>
      </c>
      <c r="D2870" t="s">
        <v>4571</v>
      </c>
      <c r="E2870" t="s">
        <v>681</v>
      </c>
    </row>
    <row r="2871" spans="2:5">
      <c r="B2871" t="s">
        <v>4572</v>
      </c>
      <c r="C2871">
        <v>542628</v>
      </c>
      <c r="D2871" t="s">
        <v>4573</v>
      </c>
      <c r="E2871" t="s">
        <v>726</v>
      </c>
    </row>
    <row r="2872" spans="2:5">
      <c r="B2872" t="s">
        <v>4574</v>
      </c>
      <c r="C2872">
        <v>539110</v>
      </c>
      <c r="D2872" t="s">
        <v>360</v>
      </c>
      <c r="E2872" t="s">
        <v>377</v>
      </c>
    </row>
    <row r="2873" spans="2:5">
      <c r="B2873" t="s">
        <v>4575</v>
      </c>
      <c r="C2873">
        <v>540698</v>
      </c>
      <c r="D2873" t="s">
        <v>360</v>
      </c>
      <c r="E2873" t="s">
        <v>382</v>
      </c>
    </row>
    <row r="2874" spans="2:5">
      <c r="B2874" t="s">
        <v>4576</v>
      </c>
      <c r="C2874">
        <v>531465</v>
      </c>
      <c r="D2874" t="s">
        <v>360</v>
      </c>
      <c r="E2874" t="s">
        <v>382</v>
      </c>
    </row>
    <row r="2875" spans="2:5">
      <c r="B2875" t="s">
        <v>4577</v>
      </c>
      <c r="C2875">
        <v>513566</v>
      </c>
      <c r="D2875" t="s">
        <v>360</v>
      </c>
      <c r="E2875" t="s">
        <v>392</v>
      </c>
    </row>
    <row r="2876" spans="2:5">
      <c r="B2876" t="s">
        <v>4578</v>
      </c>
      <c r="C2876">
        <v>530733</v>
      </c>
      <c r="D2876" t="s">
        <v>360</v>
      </c>
      <c r="E2876" t="s">
        <v>884</v>
      </c>
    </row>
    <row r="2877" spans="2:5">
      <c r="B2877" t="s">
        <v>4579</v>
      </c>
      <c r="C2877">
        <v>530733</v>
      </c>
      <c r="D2877" t="s">
        <v>360</v>
      </c>
      <c r="E2877" t="s">
        <v>884</v>
      </c>
    </row>
    <row r="2878" spans="2:5">
      <c r="B2878" t="s">
        <v>4580</v>
      </c>
      <c r="C2878">
        <v>500672</v>
      </c>
      <c r="D2878" t="s">
        <v>360</v>
      </c>
      <c r="E2878" t="s">
        <v>398</v>
      </c>
    </row>
    <row r="2879" spans="2:5">
      <c r="B2879" t="s">
        <v>4581</v>
      </c>
      <c r="C2879">
        <v>500672</v>
      </c>
      <c r="D2879" t="s">
        <v>360</v>
      </c>
      <c r="E2879" t="s">
        <v>398</v>
      </c>
    </row>
    <row r="2880" spans="2:5">
      <c r="B2880" t="s">
        <v>4582</v>
      </c>
      <c r="C2880">
        <v>530127</v>
      </c>
      <c r="D2880" t="s">
        <v>360</v>
      </c>
      <c r="E2880" t="s">
        <v>343</v>
      </c>
    </row>
    <row r="2881" spans="2:5">
      <c r="B2881" t="s">
        <v>4583</v>
      </c>
      <c r="C2881">
        <v>530367</v>
      </c>
      <c r="D2881" t="s">
        <v>4584</v>
      </c>
      <c r="E2881" t="s">
        <v>368</v>
      </c>
    </row>
    <row r="2882" spans="2:5">
      <c r="B2882" t="s">
        <v>4585</v>
      </c>
      <c r="C2882">
        <v>535458</v>
      </c>
      <c r="D2882" t="s">
        <v>4586</v>
      </c>
      <c r="E2882" t="s">
        <v>545</v>
      </c>
    </row>
    <row r="2883" spans="2:5">
      <c r="B2883" t="s">
        <v>4587</v>
      </c>
      <c r="C2883">
        <v>526723</v>
      </c>
      <c r="D2883" t="s">
        <v>360</v>
      </c>
      <c r="E2883" t="s">
        <v>2530</v>
      </c>
    </row>
    <row r="2884" spans="2:5">
      <c r="B2884" t="s">
        <v>4588</v>
      </c>
      <c r="C2884">
        <v>532555</v>
      </c>
      <c r="D2884" t="s">
        <v>4589</v>
      </c>
      <c r="E2884" t="s">
        <v>499</v>
      </c>
    </row>
    <row r="2885" spans="2:5">
      <c r="B2885" t="s">
        <v>4590</v>
      </c>
      <c r="C2885">
        <v>533015</v>
      </c>
      <c r="D2885" t="s">
        <v>4591</v>
      </c>
      <c r="E2885" t="s">
        <v>1306</v>
      </c>
    </row>
    <row r="2886" spans="2:5">
      <c r="B2886" t="s">
        <v>4592</v>
      </c>
      <c r="C2886">
        <v>533015</v>
      </c>
      <c r="D2886" t="s">
        <v>4591</v>
      </c>
      <c r="E2886" t="s">
        <v>1306</v>
      </c>
    </row>
    <row r="2887" spans="2:5">
      <c r="B2887" t="s">
        <v>4593</v>
      </c>
      <c r="C2887">
        <v>531209</v>
      </c>
      <c r="D2887" t="s">
        <v>4594</v>
      </c>
      <c r="E2887" t="s">
        <v>453</v>
      </c>
    </row>
    <row r="2888" spans="2:5">
      <c r="B2888" t="s">
        <v>4595</v>
      </c>
      <c r="C2888">
        <v>531304</v>
      </c>
      <c r="D2888" t="s">
        <v>360</v>
      </c>
      <c r="E2888" t="s">
        <v>375</v>
      </c>
    </row>
    <row r="2889" spans="2:5">
      <c r="B2889" t="s">
        <v>4596</v>
      </c>
      <c r="C2889">
        <v>524764</v>
      </c>
      <c r="D2889" t="s">
        <v>360</v>
      </c>
      <c r="E2889" t="s">
        <v>408</v>
      </c>
    </row>
    <row r="2890" spans="2:5">
      <c r="B2890" t="s">
        <v>4597</v>
      </c>
      <c r="C2890">
        <v>524764</v>
      </c>
      <c r="D2890" t="s">
        <v>360</v>
      </c>
      <c r="E2890" t="s">
        <v>408</v>
      </c>
    </row>
    <row r="2891" spans="2:5">
      <c r="B2891" t="s">
        <v>4598</v>
      </c>
      <c r="C2891">
        <v>530219</v>
      </c>
      <c r="D2891" t="s">
        <v>360</v>
      </c>
      <c r="E2891" t="s">
        <v>474</v>
      </c>
    </row>
    <row r="2892" spans="2:5">
      <c r="B2892" t="s">
        <v>4599</v>
      </c>
      <c r="C2892">
        <v>531819</v>
      </c>
      <c r="D2892" t="s">
        <v>360</v>
      </c>
      <c r="E2892" t="s">
        <v>382</v>
      </c>
    </row>
    <row r="2893" spans="2:5">
      <c r="B2893" t="s">
        <v>4600</v>
      </c>
      <c r="C2893">
        <v>531819</v>
      </c>
      <c r="D2893" t="s">
        <v>360</v>
      </c>
      <c r="E2893" t="s">
        <v>382</v>
      </c>
    </row>
    <row r="2894" spans="2:5">
      <c r="B2894" t="s">
        <v>4601</v>
      </c>
      <c r="C2894">
        <v>504378</v>
      </c>
      <c r="D2894" t="s">
        <v>360</v>
      </c>
      <c r="E2894" t="s">
        <v>382</v>
      </c>
    </row>
    <row r="2895" spans="2:5">
      <c r="B2895" t="s">
        <v>4602</v>
      </c>
      <c r="C2895">
        <v>539116</v>
      </c>
      <c r="D2895" t="s">
        <v>360</v>
      </c>
      <c r="E2895" t="s">
        <v>382</v>
      </c>
    </row>
    <row r="2896" spans="2:5">
      <c r="B2896" t="s">
        <v>4603</v>
      </c>
      <c r="C2896">
        <v>512489</v>
      </c>
      <c r="D2896" t="s">
        <v>360</v>
      </c>
      <c r="E2896" t="s">
        <v>377</v>
      </c>
    </row>
    <row r="2897" spans="2:5">
      <c r="B2897" t="s">
        <v>4604</v>
      </c>
      <c r="C2897">
        <v>538547</v>
      </c>
      <c r="D2897" t="s">
        <v>360</v>
      </c>
      <c r="E2897" t="s">
        <v>609</v>
      </c>
    </row>
    <row r="2898" spans="2:5">
      <c r="B2898" t="s">
        <v>4605</v>
      </c>
      <c r="C2898">
        <v>533273</v>
      </c>
      <c r="D2898" t="s">
        <v>4606</v>
      </c>
      <c r="E2898" t="s">
        <v>446</v>
      </c>
    </row>
    <row r="2899" spans="2:5">
      <c r="B2899" t="s">
        <v>4607</v>
      </c>
      <c r="C2899">
        <v>535657</v>
      </c>
      <c r="D2899" t="s">
        <v>360</v>
      </c>
      <c r="E2899" t="s">
        <v>346</v>
      </c>
    </row>
    <row r="2900" spans="2:5">
      <c r="B2900" t="s">
        <v>4608</v>
      </c>
      <c r="C2900">
        <v>519491</v>
      </c>
      <c r="D2900" t="s">
        <v>360</v>
      </c>
      <c r="E2900" t="s">
        <v>555</v>
      </c>
    </row>
    <row r="2901" spans="2:5">
      <c r="B2901" t="s">
        <v>4609</v>
      </c>
      <c r="C2901">
        <v>519491</v>
      </c>
      <c r="D2901" t="s">
        <v>360</v>
      </c>
      <c r="E2901" t="s">
        <v>555</v>
      </c>
    </row>
    <row r="2902" spans="2:5">
      <c r="B2902" t="s">
        <v>4610</v>
      </c>
      <c r="C2902">
        <v>538019</v>
      </c>
      <c r="D2902" t="s">
        <v>360</v>
      </c>
      <c r="E2902" t="s">
        <v>440</v>
      </c>
    </row>
    <row r="2903" spans="2:5">
      <c r="B2903" t="s">
        <v>4611</v>
      </c>
      <c r="C2903">
        <v>540405</v>
      </c>
      <c r="D2903" t="s">
        <v>360</v>
      </c>
      <c r="E2903" t="s">
        <v>440</v>
      </c>
    </row>
    <row r="2904" spans="2:5">
      <c r="B2904" t="s">
        <v>4612</v>
      </c>
      <c r="C2904">
        <v>533008</v>
      </c>
      <c r="D2904" t="s">
        <v>4613</v>
      </c>
      <c r="E2904" t="s">
        <v>392</v>
      </c>
    </row>
    <row r="2905" spans="2:5">
      <c r="B2905" t="s">
        <v>4614</v>
      </c>
      <c r="C2905">
        <v>538894</v>
      </c>
      <c r="D2905" t="s">
        <v>360</v>
      </c>
      <c r="E2905" t="s">
        <v>343</v>
      </c>
    </row>
    <row r="2906" spans="2:5">
      <c r="B2906" t="s">
        <v>4615</v>
      </c>
      <c r="C2906">
        <v>540416</v>
      </c>
      <c r="D2906" t="s">
        <v>360</v>
      </c>
      <c r="E2906" t="s">
        <v>366</v>
      </c>
    </row>
    <row r="2907" spans="2:5">
      <c r="B2907" t="s">
        <v>4616</v>
      </c>
      <c r="C2907">
        <v>531996</v>
      </c>
      <c r="D2907" t="s">
        <v>360</v>
      </c>
      <c r="E2907" t="s">
        <v>377</v>
      </c>
    </row>
    <row r="2908" spans="2:5">
      <c r="B2908" t="s">
        <v>4617</v>
      </c>
      <c r="C2908">
        <v>530175</v>
      </c>
      <c r="D2908" t="s">
        <v>360</v>
      </c>
      <c r="E2908" t="s">
        <v>453</v>
      </c>
    </row>
    <row r="2909" spans="2:5">
      <c r="B2909" t="s">
        <v>4618</v>
      </c>
      <c r="C2909">
        <v>539570</v>
      </c>
      <c r="D2909" t="s">
        <v>360</v>
      </c>
      <c r="E2909" t="s">
        <v>346</v>
      </c>
    </row>
    <row r="2910" spans="2:5">
      <c r="B2910" t="s">
        <v>4619</v>
      </c>
      <c r="C2910">
        <v>500312</v>
      </c>
      <c r="D2910" t="s">
        <v>4620</v>
      </c>
      <c r="E2910" t="s">
        <v>423</v>
      </c>
    </row>
    <row r="2911" spans="2:5">
      <c r="B2911" t="s">
        <v>4621</v>
      </c>
      <c r="C2911">
        <v>533106</v>
      </c>
      <c r="D2911" t="s">
        <v>4622</v>
      </c>
      <c r="E2911" t="s">
        <v>423</v>
      </c>
    </row>
    <row r="2912" spans="2:5">
      <c r="B2912" t="s">
        <v>4623</v>
      </c>
      <c r="C2912">
        <v>500313</v>
      </c>
      <c r="D2912" t="s">
        <v>4624</v>
      </c>
      <c r="E2912" t="s">
        <v>701</v>
      </c>
    </row>
    <row r="2913" spans="2:5">
      <c r="B2913" t="s">
        <v>4625</v>
      </c>
      <c r="C2913">
        <v>533106</v>
      </c>
      <c r="D2913" t="s">
        <v>4622</v>
      </c>
      <c r="E2913" t="s">
        <v>423</v>
      </c>
    </row>
    <row r="2914" spans="2:5">
      <c r="B2914" t="s">
        <v>4626</v>
      </c>
      <c r="C2914">
        <v>526415</v>
      </c>
      <c r="D2914" t="s">
        <v>360</v>
      </c>
      <c r="E2914" t="s">
        <v>858</v>
      </c>
    </row>
    <row r="2915" spans="2:5">
      <c r="B2915" t="s">
        <v>4627</v>
      </c>
      <c r="C2915">
        <v>526415</v>
      </c>
      <c r="D2915" t="s">
        <v>360</v>
      </c>
      <c r="E2915" t="s">
        <v>858</v>
      </c>
    </row>
    <row r="2916" spans="2:5">
      <c r="B2916" t="s">
        <v>4628</v>
      </c>
      <c r="C2916">
        <v>532439</v>
      </c>
      <c r="D2916" t="s">
        <v>4629</v>
      </c>
      <c r="E2916" t="s">
        <v>368</v>
      </c>
    </row>
    <row r="2917" spans="2:5">
      <c r="B2917" t="s">
        <v>4630</v>
      </c>
      <c r="C2917">
        <v>521105</v>
      </c>
      <c r="D2917" t="s">
        <v>360</v>
      </c>
      <c r="E2917" t="s">
        <v>3119</v>
      </c>
    </row>
    <row r="2918" spans="2:5">
      <c r="B2918" t="s">
        <v>4631</v>
      </c>
      <c r="C2918">
        <v>534190</v>
      </c>
      <c r="D2918" t="s">
        <v>360</v>
      </c>
      <c r="E2918" t="s">
        <v>858</v>
      </c>
    </row>
    <row r="2919" spans="2:5">
      <c r="B2919" t="s">
        <v>4632</v>
      </c>
      <c r="C2919">
        <v>507609</v>
      </c>
      <c r="D2919" t="s">
        <v>360</v>
      </c>
      <c r="E2919" t="s">
        <v>558</v>
      </c>
    </row>
    <row r="2920" spans="2:5">
      <c r="B2920" t="s">
        <v>4633</v>
      </c>
      <c r="C2920">
        <v>531092</v>
      </c>
      <c r="D2920" t="s">
        <v>4634</v>
      </c>
      <c r="E2920" t="s">
        <v>758</v>
      </c>
    </row>
    <row r="2921" spans="2:5">
      <c r="B2921" t="s">
        <v>4635</v>
      </c>
      <c r="C2921">
        <v>538537</v>
      </c>
      <c r="D2921" t="s">
        <v>360</v>
      </c>
      <c r="E2921" t="s">
        <v>382</v>
      </c>
    </row>
    <row r="2922" spans="2:5">
      <c r="B2922" t="s">
        <v>4636</v>
      </c>
      <c r="C2922">
        <v>520021</v>
      </c>
      <c r="D2922" t="s">
        <v>4637</v>
      </c>
      <c r="E2922" t="s">
        <v>715</v>
      </c>
    </row>
    <row r="2923" spans="2:5">
      <c r="B2923" t="s">
        <v>4638</v>
      </c>
      <c r="C2923">
        <v>532880</v>
      </c>
      <c r="D2923" t="s">
        <v>4639</v>
      </c>
      <c r="E2923" t="s">
        <v>446</v>
      </c>
    </row>
    <row r="2924" spans="2:5">
      <c r="B2924" t="s">
        <v>4640</v>
      </c>
      <c r="C2924" t="s">
        <v>360</v>
      </c>
      <c r="D2924" t="s">
        <v>4641</v>
      </c>
      <c r="E2924" t="s">
        <v>371</v>
      </c>
    </row>
    <row r="2925" spans="2:5">
      <c r="B2925" t="s">
        <v>4642</v>
      </c>
      <c r="C2925" t="s">
        <v>360</v>
      </c>
      <c r="D2925" t="s">
        <v>4641</v>
      </c>
      <c r="E2925" t="s">
        <v>371</v>
      </c>
    </row>
    <row r="2926" spans="2:5">
      <c r="B2926" t="s">
        <v>4643</v>
      </c>
      <c r="C2926">
        <v>531496</v>
      </c>
      <c r="D2926" t="s">
        <v>360</v>
      </c>
      <c r="E2926" t="s">
        <v>375</v>
      </c>
    </row>
    <row r="2927" spans="2:5">
      <c r="B2927" t="s">
        <v>4644</v>
      </c>
      <c r="C2927">
        <v>532167</v>
      </c>
      <c r="D2927" t="s">
        <v>360</v>
      </c>
      <c r="E2927" t="s">
        <v>408</v>
      </c>
    </row>
    <row r="2928" spans="2:5">
      <c r="B2928" t="s">
        <v>4645</v>
      </c>
      <c r="C2928">
        <v>533317</v>
      </c>
      <c r="D2928" t="s">
        <v>4646</v>
      </c>
      <c r="E2928" t="s">
        <v>520</v>
      </c>
    </row>
    <row r="2929" spans="2:5">
      <c r="B2929" t="s">
        <v>4647</v>
      </c>
      <c r="C2929">
        <v>532340</v>
      </c>
      <c r="D2929" t="s">
        <v>360</v>
      </c>
      <c r="E2929" t="s">
        <v>453</v>
      </c>
    </row>
    <row r="2930" spans="2:5">
      <c r="B2930" t="s">
        <v>4648</v>
      </c>
      <c r="C2930">
        <v>514324</v>
      </c>
      <c r="D2930" t="s">
        <v>360</v>
      </c>
      <c r="E2930" t="s">
        <v>375</v>
      </c>
    </row>
    <row r="2931" spans="2:5">
      <c r="B2931" t="s">
        <v>4649</v>
      </c>
      <c r="C2931">
        <v>514324</v>
      </c>
      <c r="D2931" t="s">
        <v>360</v>
      </c>
      <c r="E2931" t="s">
        <v>375</v>
      </c>
    </row>
    <row r="2932" spans="2:5">
      <c r="B2932" t="s">
        <v>4650</v>
      </c>
      <c r="C2932" t="s">
        <v>360</v>
      </c>
      <c r="D2932" t="s">
        <v>4651</v>
      </c>
      <c r="E2932" t="s">
        <v>371</v>
      </c>
    </row>
    <row r="2933" spans="2:5">
      <c r="B2933" t="s">
        <v>4652</v>
      </c>
      <c r="C2933">
        <v>533632</v>
      </c>
      <c r="D2933" t="s">
        <v>4653</v>
      </c>
      <c r="E2933" t="s">
        <v>380</v>
      </c>
    </row>
    <row r="2934" spans="2:5">
      <c r="B2934" t="s">
        <v>4654</v>
      </c>
      <c r="C2934">
        <v>530805</v>
      </c>
      <c r="D2934" t="s">
        <v>360</v>
      </c>
      <c r="E2934" t="s">
        <v>444</v>
      </c>
    </row>
    <row r="2935" spans="2:5">
      <c r="B2935" t="s">
        <v>4655</v>
      </c>
      <c r="C2935">
        <v>535647</v>
      </c>
      <c r="D2935" t="s">
        <v>360</v>
      </c>
      <c r="E2935" t="s">
        <v>363</v>
      </c>
    </row>
    <row r="2936" spans="2:5">
      <c r="B2936" t="s">
        <v>4656</v>
      </c>
      <c r="C2936">
        <v>532944</v>
      </c>
      <c r="D2936" t="s">
        <v>4657</v>
      </c>
      <c r="E2936" t="s">
        <v>1306</v>
      </c>
    </row>
    <row r="2937" spans="2:5">
      <c r="B2937" t="s">
        <v>4658</v>
      </c>
      <c r="C2937">
        <v>540386</v>
      </c>
      <c r="D2937" t="s">
        <v>360</v>
      </c>
      <c r="E2937" t="s">
        <v>343</v>
      </c>
    </row>
    <row r="2938" spans="2:5">
      <c r="B2938" t="s">
        <v>4659</v>
      </c>
      <c r="C2938">
        <v>517536</v>
      </c>
      <c r="D2938" t="s">
        <v>4660</v>
      </c>
      <c r="E2938" t="s">
        <v>346</v>
      </c>
    </row>
    <row r="2939" spans="2:5">
      <c r="B2939" t="s">
        <v>4661</v>
      </c>
      <c r="C2939" t="s">
        <v>360</v>
      </c>
      <c r="D2939" t="s">
        <v>4662</v>
      </c>
      <c r="E2939" t="s">
        <v>371</v>
      </c>
    </row>
    <row r="2940" spans="2:5">
      <c r="B2940" t="s">
        <v>4663</v>
      </c>
      <c r="C2940">
        <v>530135</v>
      </c>
      <c r="D2940" t="s">
        <v>4664</v>
      </c>
      <c r="E2940" t="s">
        <v>394</v>
      </c>
    </row>
    <row r="2941" spans="2:5">
      <c r="B2941" t="s">
        <v>4665</v>
      </c>
      <c r="C2941">
        <v>531254</v>
      </c>
      <c r="D2941" t="s">
        <v>360</v>
      </c>
      <c r="E2941" t="s">
        <v>377</v>
      </c>
    </row>
    <row r="2942" spans="2:5">
      <c r="B2942" t="s">
        <v>4666</v>
      </c>
      <c r="C2942">
        <v>532391</v>
      </c>
      <c r="D2942" t="s">
        <v>4667</v>
      </c>
      <c r="E2942" t="s">
        <v>1526</v>
      </c>
    </row>
    <row r="2943" spans="2:5">
      <c r="B2943" t="s">
        <v>4668</v>
      </c>
      <c r="C2943">
        <v>532391</v>
      </c>
      <c r="D2943" t="s">
        <v>4667</v>
      </c>
      <c r="E2943" t="s">
        <v>1526</v>
      </c>
    </row>
    <row r="2944" spans="2:5">
      <c r="B2944" t="s">
        <v>4669</v>
      </c>
      <c r="C2944">
        <v>539598</v>
      </c>
      <c r="D2944" t="s">
        <v>360</v>
      </c>
      <c r="E2944" t="s">
        <v>377</v>
      </c>
    </row>
    <row r="2945" spans="2:5">
      <c r="B2945" t="s">
        <v>4670</v>
      </c>
      <c r="C2945">
        <v>532466</v>
      </c>
      <c r="D2945" t="s">
        <v>4671</v>
      </c>
      <c r="E2945" t="s">
        <v>346</v>
      </c>
    </row>
    <row r="2946" spans="2:5">
      <c r="B2946" t="s">
        <v>4672</v>
      </c>
      <c r="C2946">
        <v>512626</v>
      </c>
      <c r="D2946" t="s">
        <v>4673</v>
      </c>
      <c r="E2946" t="s">
        <v>375</v>
      </c>
    </row>
    <row r="2947" spans="2:5">
      <c r="B2947" t="s">
        <v>4674</v>
      </c>
      <c r="C2947">
        <v>524372</v>
      </c>
      <c r="D2947" t="s">
        <v>4675</v>
      </c>
      <c r="E2947" t="s">
        <v>398</v>
      </c>
    </row>
    <row r="2948" spans="2:5">
      <c r="B2948" t="s">
        <v>4676</v>
      </c>
      <c r="C2948">
        <v>531157</v>
      </c>
      <c r="D2948" t="s">
        <v>360</v>
      </c>
      <c r="E2948" t="s">
        <v>520</v>
      </c>
    </row>
    <row r="2949" spans="2:5">
      <c r="B2949" t="s">
        <v>4677</v>
      </c>
      <c r="C2949">
        <v>513121</v>
      </c>
      <c r="D2949" t="s">
        <v>4678</v>
      </c>
      <c r="E2949" t="s">
        <v>520</v>
      </c>
    </row>
    <row r="2950" spans="2:5">
      <c r="B2950" t="s">
        <v>4679</v>
      </c>
      <c r="C2950">
        <v>504879</v>
      </c>
      <c r="D2950" t="s">
        <v>4680</v>
      </c>
      <c r="E2950" t="s">
        <v>1279</v>
      </c>
    </row>
    <row r="2951" spans="2:5">
      <c r="B2951" t="s">
        <v>4681</v>
      </c>
      <c r="C2951">
        <v>530365</v>
      </c>
      <c r="D2951" t="s">
        <v>4682</v>
      </c>
      <c r="E2951" t="s">
        <v>637</v>
      </c>
    </row>
    <row r="2952" spans="2:5">
      <c r="B2952" t="s">
        <v>4683</v>
      </c>
      <c r="C2952">
        <v>507690</v>
      </c>
      <c r="D2952" t="s">
        <v>360</v>
      </c>
      <c r="E2952" t="s">
        <v>795</v>
      </c>
    </row>
    <row r="2953" spans="2:5">
      <c r="B2953" t="s">
        <v>4684</v>
      </c>
      <c r="C2953">
        <v>535754</v>
      </c>
      <c r="D2953" t="s">
        <v>4685</v>
      </c>
      <c r="E2953" t="s">
        <v>373</v>
      </c>
    </row>
    <row r="2954" spans="2:5">
      <c r="B2954" t="s">
        <v>4686</v>
      </c>
      <c r="C2954">
        <v>541301</v>
      </c>
      <c r="D2954" t="s">
        <v>4687</v>
      </c>
      <c r="E2954" t="s">
        <v>729</v>
      </c>
    </row>
    <row r="2955" spans="2:5">
      <c r="B2955" t="s">
        <v>4688</v>
      </c>
      <c r="C2955">
        <v>533263</v>
      </c>
      <c r="D2955" t="s">
        <v>4689</v>
      </c>
      <c r="E2955" t="s">
        <v>499</v>
      </c>
    </row>
    <row r="2956" spans="2:5">
      <c r="B2956" t="s">
        <v>4690</v>
      </c>
      <c r="C2956">
        <v>502420</v>
      </c>
      <c r="D2956" t="s">
        <v>4691</v>
      </c>
      <c r="E2956" t="s">
        <v>354</v>
      </c>
    </row>
    <row r="2957" spans="2:5">
      <c r="B2957" t="s">
        <v>4692</v>
      </c>
      <c r="C2957">
        <v>526325</v>
      </c>
      <c r="D2957" t="s">
        <v>4693</v>
      </c>
      <c r="E2957" t="s">
        <v>555</v>
      </c>
    </row>
    <row r="2958" spans="2:5">
      <c r="B2958" t="s">
        <v>4694</v>
      </c>
      <c r="C2958">
        <v>534076</v>
      </c>
      <c r="D2958" t="s">
        <v>4695</v>
      </c>
      <c r="E2958" t="s">
        <v>545</v>
      </c>
    </row>
    <row r="2959" spans="2:5">
      <c r="B2959" t="s">
        <v>4696</v>
      </c>
      <c r="C2959">
        <v>531512</v>
      </c>
      <c r="D2959" t="s">
        <v>360</v>
      </c>
      <c r="E2959" t="s">
        <v>363</v>
      </c>
    </row>
    <row r="2960" spans="2:5">
      <c r="B2960" t="s">
        <v>4697</v>
      </c>
      <c r="C2960">
        <v>500078</v>
      </c>
      <c r="D2960" t="s">
        <v>360</v>
      </c>
      <c r="E2960" t="s">
        <v>408</v>
      </c>
    </row>
    <row r="2961" spans="2:5">
      <c r="B2961" t="s">
        <v>4698</v>
      </c>
      <c r="C2961">
        <v>500315</v>
      </c>
      <c r="D2961" t="s">
        <v>4699</v>
      </c>
      <c r="E2961" t="s">
        <v>678</v>
      </c>
    </row>
    <row r="2962" spans="2:5">
      <c r="B2962" t="s">
        <v>4700</v>
      </c>
      <c r="C2962">
        <v>506579</v>
      </c>
      <c r="D2962" t="s">
        <v>4701</v>
      </c>
      <c r="E2962" t="s">
        <v>408</v>
      </c>
    </row>
    <row r="2963" spans="2:5">
      <c r="B2963" t="s">
        <v>4702</v>
      </c>
      <c r="C2963">
        <v>500314</v>
      </c>
      <c r="D2963" t="s">
        <v>4703</v>
      </c>
      <c r="E2963" t="s">
        <v>561</v>
      </c>
    </row>
    <row r="2964" spans="2:5">
      <c r="B2964" t="s">
        <v>4704</v>
      </c>
      <c r="C2964">
        <v>532817</v>
      </c>
      <c r="D2964" t="s">
        <v>4705</v>
      </c>
      <c r="E2964" t="s">
        <v>888</v>
      </c>
    </row>
    <row r="2965" spans="2:5">
      <c r="B2965" t="s">
        <v>4706</v>
      </c>
      <c r="C2965">
        <v>531859</v>
      </c>
      <c r="D2965" t="s">
        <v>360</v>
      </c>
      <c r="E2965" t="s">
        <v>1279</v>
      </c>
    </row>
    <row r="2966" spans="2:5">
      <c r="B2966" t="s">
        <v>4707</v>
      </c>
      <c r="C2966">
        <v>541206</v>
      </c>
      <c r="D2966" t="s">
        <v>360</v>
      </c>
      <c r="E2966" t="s">
        <v>681</v>
      </c>
    </row>
    <row r="2967" spans="2:5">
      <c r="B2967" t="s">
        <v>4708</v>
      </c>
      <c r="C2967">
        <v>531626</v>
      </c>
      <c r="D2967" t="s">
        <v>360</v>
      </c>
      <c r="E2967" t="s">
        <v>474</v>
      </c>
    </row>
    <row r="2968" spans="2:5">
      <c r="B2968" t="s">
        <v>4709</v>
      </c>
      <c r="C2968">
        <v>531626</v>
      </c>
      <c r="D2968" t="s">
        <v>360</v>
      </c>
      <c r="E2968" t="s">
        <v>474</v>
      </c>
    </row>
    <row r="2969" spans="2:5">
      <c r="B2969" t="s">
        <v>4710</v>
      </c>
      <c r="C2969">
        <v>539015</v>
      </c>
      <c r="D2969" t="s">
        <v>4711</v>
      </c>
      <c r="E2969" t="s">
        <v>1098</v>
      </c>
    </row>
    <row r="2970" spans="2:5">
      <c r="B2970" t="s">
        <v>4712</v>
      </c>
      <c r="C2970">
        <v>539287</v>
      </c>
      <c r="D2970" t="s">
        <v>4713</v>
      </c>
      <c r="E2970" t="s">
        <v>398</v>
      </c>
    </row>
    <row r="2971" spans="2:5">
      <c r="B2971" t="s">
        <v>4714</v>
      </c>
      <c r="C2971">
        <v>530173</v>
      </c>
      <c r="D2971" t="s">
        <v>360</v>
      </c>
      <c r="E2971" t="s">
        <v>474</v>
      </c>
    </row>
    <row r="2972" spans="2:5">
      <c r="B2972" t="s">
        <v>4715</v>
      </c>
      <c r="C2972">
        <v>501179</v>
      </c>
      <c r="D2972" t="s">
        <v>360</v>
      </c>
      <c r="E2972" t="s">
        <v>380</v>
      </c>
    </row>
    <row r="2973" spans="2:5">
      <c r="B2973" t="s">
        <v>4716</v>
      </c>
      <c r="C2973">
        <v>509782</v>
      </c>
      <c r="D2973" t="s">
        <v>360</v>
      </c>
      <c r="E2973" t="s">
        <v>781</v>
      </c>
    </row>
    <row r="2974" spans="2:5">
      <c r="B2974" t="s">
        <v>4717</v>
      </c>
      <c r="C2974">
        <v>540198</v>
      </c>
      <c r="D2974" t="s">
        <v>360</v>
      </c>
      <c r="E2974" t="s">
        <v>375</v>
      </c>
    </row>
    <row r="2975" spans="2:5">
      <c r="B2975" t="s">
        <v>4718</v>
      </c>
      <c r="C2975">
        <v>500317</v>
      </c>
      <c r="D2975" t="s">
        <v>4719</v>
      </c>
      <c r="E2975" t="s">
        <v>380</v>
      </c>
    </row>
    <row r="2976" spans="2:5">
      <c r="B2976" t="s">
        <v>4720</v>
      </c>
      <c r="C2976">
        <v>539290</v>
      </c>
      <c r="D2976" t="s">
        <v>4721</v>
      </c>
      <c r="E2976" t="s">
        <v>380</v>
      </c>
    </row>
    <row r="2977" spans="2:5">
      <c r="B2977" t="s">
        <v>4722</v>
      </c>
      <c r="C2977">
        <v>509099</v>
      </c>
      <c r="D2977" t="s">
        <v>360</v>
      </c>
      <c r="E2977" t="s">
        <v>781</v>
      </c>
    </row>
    <row r="2978" spans="2:5">
      <c r="B2978" t="s">
        <v>4723</v>
      </c>
      <c r="C2978">
        <v>531065</v>
      </c>
      <c r="D2978" t="s">
        <v>360</v>
      </c>
      <c r="E2978" t="s">
        <v>1058</v>
      </c>
    </row>
    <row r="2979" spans="2:5">
      <c r="B2979" t="s">
        <v>4724</v>
      </c>
      <c r="C2979">
        <v>514460</v>
      </c>
      <c r="D2979" t="s">
        <v>360</v>
      </c>
      <c r="E2979" t="s">
        <v>382</v>
      </c>
    </row>
    <row r="2980" spans="2:5">
      <c r="B2980" t="s">
        <v>4725</v>
      </c>
      <c r="C2980">
        <v>523151</v>
      </c>
      <c r="D2980" t="s">
        <v>360</v>
      </c>
      <c r="E2980" t="s">
        <v>444</v>
      </c>
    </row>
    <row r="2981" spans="2:5">
      <c r="B2981" t="s">
        <v>4726</v>
      </c>
      <c r="C2981">
        <v>514330</v>
      </c>
      <c r="D2981" t="s">
        <v>360</v>
      </c>
      <c r="E2981" t="s">
        <v>375</v>
      </c>
    </row>
    <row r="2982" spans="2:5">
      <c r="B2982" t="s">
        <v>4727</v>
      </c>
      <c r="C2982">
        <v>530741</v>
      </c>
      <c r="D2982" t="s">
        <v>360</v>
      </c>
      <c r="E2982" t="s">
        <v>440</v>
      </c>
    </row>
    <row r="2983" spans="2:5">
      <c r="B2983" t="s">
        <v>4728</v>
      </c>
      <c r="C2983">
        <v>539291</v>
      </c>
      <c r="D2983" t="s">
        <v>360</v>
      </c>
      <c r="E2983" t="s">
        <v>558</v>
      </c>
    </row>
    <row r="2984" spans="2:5">
      <c r="B2984" t="s">
        <v>4729</v>
      </c>
      <c r="C2984">
        <v>539352</v>
      </c>
      <c r="D2984" t="s">
        <v>360</v>
      </c>
      <c r="E2984" t="s">
        <v>363</v>
      </c>
    </row>
    <row r="2985" spans="2:5">
      <c r="B2985" t="s">
        <v>4730</v>
      </c>
      <c r="C2985">
        <v>513403</v>
      </c>
      <c r="D2985" t="s">
        <v>360</v>
      </c>
      <c r="E2985" t="s">
        <v>392</v>
      </c>
    </row>
    <row r="2986" spans="2:5">
      <c r="B2986" t="s">
        <v>4731</v>
      </c>
      <c r="C2986">
        <v>523862</v>
      </c>
      <c r="D2986" t="s">
        <v>360</v>
      </c>
      <c r="E2986" t="s">
        <v>377</v>
      </c>
    </row>
    <row r="2987" spans="2:5">
      <c r="B2987" t="s">
        <v>4732</v>
      </c>
      <c r="C2987">
        <v>523483</v>
      </c>
      <c r="D2987" t="s">
        <v>360</v>
      </c>
      <c r="E2987" t="s">
        <v>888</v>
      </c>
    </row>
    <row r="2988" spans="2:5">
      <c r="B2988" t="s">
        <v>4733</v>
      </c>
      <c r="C2988">
        <v>538963</v>
      </c>
      <c r="D2988" t="s">
        <v>360</v>
      </c>
      <c r="E2988" t="s">
        <v>683</v>
      </c>
    </row>
    <row r="2989" spans="2:5">
      <c r="B2989" t="s">
        <v>4734</v>
      </c>
      <c r="C2989">
        <v>531395</v>
      </c>
      <c r="D2989" t="s">
        <v>360</v>
      </c>
      <c r="E2989" t="s">
        <v>375</v>
      </c>
    </row>
    <row r="2990" spans="2:5">
      <c r="B2990" t="s">
        <v>4735</v>
      </c>
      <c r="C2990">
        <v>532350</v>
      </c>
      <c r="D2990" t="s">
        <v>360</v>
      </c>
      <c r="E2990" t="s">
        <v>363</v>
      </c>
    </row>
    <row r="2991" spans="2:5">
      <c r="B2991" t="s">
        <v>4736</v>
      </c>
      <c r="C2991">
        <v>526905</v>
      </c>
      <c r="D2991" t="s">
        <v>360</v>
      </c>
      <c r="E2991" t="s">
        <v>408</v>
      </c>
    </row>
    <row r="2992" spans="2:5">
      <c r="B2992" t="s">
        <v>4737</v>
      </c>
      <c r="C2992">
        <v>517230</v>
      </c>
      <c r="D2992" t="s">
        <v>4738</v>
      </c>
      <c r="E2992" t="s">
        <v>382</v>
      </c>
    </row>
    <row r="2993" spans="2:5">
      <c r="B2993" t="s">
        <v>4739</v>
      </c>
      <c r="C2993">
        <v>532827</v>
      </c>
      <c r="D2993" t="s">
        <v>4740</v>
      </c>
      <c r="E2993" t="s">
        <v>474</v>
      </c>
    </row>
    <row r="2994" spans="2:5">
      <c r="B2994" t="s">
        <v>4741</v>
      </c>
      <c r="C2994">
        <v>532900</v>
      </c>
      <c r="D2994" t="s">
        <v>4742</v>
      </c>
      <c r="E2994" t="s">
        <v>377</v>
      </c>
    </row>
    <row r="2995" spans="2:5">
      <c r="B2995" t="s">
        <v>4743</v>
      </c>
      <c r="C2995">
        <v>540648</v>
      </c>
      <c r="D2995" t="s">
        <v>4744</v>
      </c>
      <c r="E2995" t="s">
        <v>380</v>
      </c>
    </row>
    <row r="2996" spans="2:5">
      <c r="B2996" t="s">
        <v>4745</v>
      </c>
      <c r="C2996">
        <v>539121</v>
      </c>
      <c r="D2996" t="s">
        <v>360</v>
      </c>
      <c r="E2996" t="s">
        <v>665</v>
      </c>
    </row>
    <row r="2997" spans="2:5">
      <c r="B2997" t="s">
        <v>4746</v>
      </c>
      <c r="C2997">
        <v>541444</v>
      </c>
      <c r="D2997" t="s">
        <v>360</v>
      </c>
      <c r="E2997" t="s">
        <v>474</v>
      </c>
    </row>
    <row r="2998" spans="2:5">
      <c r="B2998" t="s">
        <v>4747</v>
      </c>
      <c r="C2998">
        <v>532521</v>
      </c>
      <c r="D2998" t="s">
        <v>4748</v>
      </c>
      <c r="E2998" t="s">
        <v>453</v>
      </c>
    </row>
    <row r="2999" spans="2:5">
      <c r="B2999" t="s">
        <v>4749</v>
      </c>
      <c r="C2999">
        <v>511597</v>
      </c>
      <c r="D2999" t="s">
        <v>360</v>
      </c>
      <c r="E2999" t="s">
        <v>377</v>
      </c>
    </row>
    <row r="3000" spans="2:5">
      <c r="B3000" t="s">
        <v>4750</v>
      </c>
      <c r="C3000">
        <v>517397</v>
      </c>
      <c r="D3000" t="s">
        <v>360</v>
      </c>
      <c r="E3000" t="s">
        <v>902</v>
      </c>
    </row>
    <row r="3001" spans="2:5">
      <c r="B3001" t="s">
        <v>4751</v>
      </c>
      <c r="C3001">
        <v>517397</v>
      </c>
      <c r="D3001" t="s">
        <v>360</v>
      </c>
      <c r="E3001" t="s">
        <v>902</v>
      </c>
    </row>
    <row r="3002" spans="2:5">
      <c r="B3002" t="s">
        <v>4752</v>
      </c>
      <c r="C3002">
        <v>511525</v>
      </c>
      <c r="D3002" t="s">
        <v>360</v>
      </c>
      <c r="E3002" t="s">
        <v>453</v>
      </c>
    </row>
    <row r="3003" spans="2:5">
      <c r="B3003" t="s">
        <v>4753</v>
      </c>
      <c r="C3003">
        <v>531349</v>
      </c>
      <c r="D3003" t="s">
        <v>4754</v>
      </c>
      <c r="E3003" t="s">
        <v>698</v>
      </c>
    </row>
    <row r="3004" spans="2:5">
      <c r="B3004" t="s">
        <v>4755</v>
      </c>
      <c r="C3004" t="s">
        <v>360</v>
      </c>
      <c r="D3004" t="s">
        <v>4756</v>
      </c>
      <c r="E3004" t="s">
        <v>371</v>
      </c>
    </row>
    <row r="3005" spans="2:5">
      <c r="B3005" t="s">
        <v>4757</v>
      </c>
      <c r="C3005">
        <v>538742</v>
      </c>
      <c r="D3005" t="s">
        <v>360</v>
      </c>
      <c r="E3005" t="s">
        <v>382</v>
      </c>
    </row>
    <row r="3006" spans="2:5">
      <c r="B3006" t="s">
        <v>4758</v>
      </c>
      <c r="C3006">
        <v>538860</v>
      </c>
      <c r="D3006" t="s">
        <v>360</v>
      </c>
      <c r="E3006" t="s">
        <v>377</v>
      </c>
    </row>
    <row r="3007" spans="2:5">
      <c r="B3007" t="s">
        <v>4759</v>
      </c>
      <c r="C3007">
        <v>524820</v>
      </c>
      <c r="D3007" t="s">
        <v>4760</v>
      </c>
      <c r="E3007" t="s">
        <v>570</v>
      </c>
    </row>
    <row r="3008" spans="2:5">
      <c r="B3008" t="s">
        <v>4761</v>
      </c>
      <c r="C3008">
        <v>508941</v>
      </c>
      <c r="D3008" t="s">
        <v>360</v>
      </c>
      <c r="E3008" t="s">
        <v>545</v>
      </c>
    </row>
    <row r="3009" spans="2:5">
      <c r="B3009" t="s">
        <v>4762</v>
      </c>
      <c r="C3009">
        <v>504093</v>
      </c>
      <c r="D3009" t="s">
        <v>360</v>
      </c>
      <c r="E3009" t="s">
        <v>906</v>
      </c>
    </row>
    <row r="3010" spans="2:5">
      <c r="B3010" t="s">
        <v>4763</v>
      </c>
      <c r="C3010">
        <v>513511</v>
      </c>
      <c r="D3010" t="s">
        <v>360</v>
      </c>
      <c r="E3010" t="s">
        <v>392</v>
      </c>
    </row>
    <row r="3011" spans="2:5">
      <c r="B3011" t="s">
        <v>4764</v>
      </c>
      <c r="C3011">
        <v>531726</v>
      </c>
      <c r="D3011" t="s">
        <v>360</v>
      </c>
      <c r="E3011" t="s">
        <v>398</v>
      </c>
    </row>
    <row r="3012" spans="2:5">
      <c r="B3012" t="s">
        <v>4765</v>
      </c>
      <c r="C3012">
        <v>506122</v>
      </c>
      <c r="D3012" t="s">
        <v>360</v>
      </c>
      <c r="E3012" t="s">
        <v>715</v>
      </c>
    </row>
    <row r="3013" spans="2:5">
      <c r="B3013" t="s">
        <v>4766</v>
      </c>
      <c r="C3013">
        <v>531280</v>
      </c>
      <c r="D3013" t="s">
        <v>360</v>
      </c>
      <c r="E3013" t="s">
        <v>555</v>
      </c>
    </row>
    <row r="3014" spans="2:5">
      <c r="B3014" t="s">
        <v>4767</v>
      </c>
      <c r="C3014">
        <v>534796</v>
      </c>
      <c r="D3014" t="s">
        <v>360</v>
      </c>
      <c r="E3014" t="s">
        <v>480</v>
      </c>
    </row>
    <row r="3015" spans="2:5">
      <c r="B3015" t="s">
        <v>4768</v>
      </c>
      <c r="C3015" t="s">
        <v>360</v>
      </c>
      <c r="D3015" t="s">
        <v>4769</v>
      </c>
      <c r="E3015" t="s">
        <v>371</v>
      </c>
    </row>
    <row r="3016" spans="2:5">
      <c r="B3016" t="s">
        <v>4770</v>
      </c>
      <c r="C3016">
        <v>539143</v>
      </c>
      <c r="D3016" t="s">
        <v>360</v>
      </c>
      <c r="E3016" t="s">
        <v>349</v>
      </c>
    </row>
    <row r="3017" spans="2:5">
      <c r="B3017" t="s">
        <v>4771</v>
      </c>
      <c r="C3017">
        <v>500322</v>
      </c>
      <c r="D3017" t="s">
        <v>360</v>
      </c>
      <c r="E3017" t="s">
        <v>373</v>
      </c>
    </row>
    <row r="3018" spans="2:5">
      <c r="B3018" t="s">
        <v>4772</v>
      </c>
      <c r="C3018">
        <v>513359</v>
      </c>
      <c r="D3018" t="s">
        <v>4773</v>
      </c>
      <c r="E3018" t="s">
        <v>637</v>
      </c>
    </row>
    <row r="3019" spans="2:5">
      <c r="B3019" t="s">
        <v>4774</v>
      </c>
      <c r="C3019">
        <v>533211</v>
      </c>
      <c r="D3019" t="s">
        <v>4775</v>
      </c>
      <c r="E3019" t="s">
        <v>398</v>
      </c>
    </row>
    <row r="3020" spans="2:5">
      <c r="B3020" t="s">
        <v>4776</v>
      </c>
      <c r="C3020">
        <v>539889</v>
      </c>
      <c r="D3020" t="s">
        <v>4777</v>
      </c>
      <c r="E3020" t="s">
        <v>420</v>
      </c>
    </row>
    <row r="3021" spans="2:5">
      <c r="B3021" t="s">
        <v>4778</v>
      </c>
      <c r="C3021">
        <v>531255</v>
      </c>
      <c r="D3021" t="s">
        <v>360</v>
      </c>
      <c r="E3021" t="s">
        <v>377</v>
      </c>
    </row>
    <row r="3022" spans="2:5">
      <c r="B3022" t="s">
        <v>4779</v>
      </c>
      <c r="C3022">
        <v>530555</v>
      </c>
      <c r="D3022" t="s">
        <v>4780</v>
      </c>
      <c r="E3022" t="s">
        <v>658</v>
      </c>
    </row>
    <row r="3023" spans="2:5">
      <c r="B3023" t="s">
        <v>4781</v>
      </c>
      <c r="C3023">
        <v>507970</v>
      </c>
      <c r="D3023" t="s">
        <v>360</v>
      </c>
      <c r="E3023" t="s">
        <v>542</v>
      </c>
    </row>
    <row r="3024" spans="2:5">
      <c r="B3024" t="s">
        <v>4782</v>
      </c>
      <c r="C3024">
        <v>507970</v>
      </c>
      <c r="D3024" t="s">
        <v>360</v>
      </c>
      <c r="E3024" t="s">
        <v>542</v>
      </c>
    </row>
    <row r="3025" spans="2:5">
      <c r="B3025" t="s">
        <v>4783</v>
      </c>
      <c r="C3025">
        <v>524689</v>
      </c>
      <c r="D3025" t="s">
        <v>4784</v>
      </c>
      <c r="E3025" t="s">
        <v>398</v>
      </c>
    </row>
    <row r="3026" spans="2:5">
      <c r="B3026" t="s">
        <v>4785</v>
      </c>
      <c r="C3026">
        <v>524689</v>
      </c>
      <c r="D3026" t="s">
        <v>4784</v>
      </c>
      <c r="E3026" t="s">
        <v>398</v>
      </c>
    </row>
    <row r="3027" spans="2:5">
      <c r="B3027" t="s">
        <v>4786</v>
      </c>
      <c r="C3027">
        <v>539481</v>
      </c>
      <c r="D3027" t="s">
        <v>360</v>
      </c>
      <c r="E3027" t="s">
        <v>377</v>
      </c>
    </row>
    <row r="3028" spans="2:5">
      <c r="B3028" t="s">
        <v>4787</v>
      </c>
      <c r="C3028" t="s">
        <v>360</v>
      </c>
      <c r="D3028" t="s">
        <v>4788</v>
      </c>
      <c r="E3028" t="s">
        <v>371</v>
      </c>
    </row>
    <row r="3029" spans="2:5">
      <c r="B3029" t="s">
        <v>4789</v>
      </c>
      <c r="C3029">
        <v>524628</v>
      </c>
      <c r="D3029" t="s">
        <v>360</v>
      </c>
      <c r="E3029" t="s">
        <v>382</v>
      </c>
    </row>
    <row r="3030" spans="2:5">
      <c r="B3030" t="s">
        <v>4790</v>
      </c>
      <c r="C3030">
        <v>532911</v>
      </c>
      <c r="D3030" t="s">
        <v>360</v>
      </c>
      <c r="E3030" t="s">
        <v>446</v>
      </c>
    </row>
    <row r="3031" spans="2:5">
      <c r="B3031" t="s">
        <v>4791</v>
      </c>
      <c r="C3031">
        <v>540359</v>
      </c>
      <c r="D3031" t="s">
        <v>360</v>
      </c>
      <c r="E3031" t="s">
        <v>398</v>
      </c>
    </row>
    <row r="3032" spans="2:5">
      <c r="B3032" t="s">
        <v>4792</v>
      </c>
      <c r="C3032">
        <v>540467</v>
      </c>
      <c r="D3032" t="s">
        <v>360</v>
      </c>
      <c r="E3032" t="s">
        <v>474</v>
      </c>
    </row>
    <row r="3033" spans="2:5">
      <c r="B3033" t="s">
        <v>4793</v>
      </c>
      <c r="C3033">
        <v>780017</v>
      </c>
      <c r="D3033" t="s">
        <v>360</v>
      </c>
      <c r="E3033" t="s">
        <v>451</v>
      </c>
    </row>
    <row r="3034" spans="2:5">
      <c r="B3034" t="s">
        <v>4794</v>
      </c>
      <c r="C3034">
        <v>506128</v>
      </c>
      <c r="D3034" t="s">
        <v>360</v>
      </c>
      <c r="E3034" t="s">
        <v>398</v>
      </c>
    </row>
    <row r="3035" spans="2:5">
      <c r="B3035" t="s">
        <v>4795</v>
      </c>
      <c r="C3035">
        <v>511702</v>
      </c>
      <c r="D3035" t="s">
        <v>360</v>
      </c>
      <c r="E3035" t="s">
        <v>377</v>
      </c>
    </row>
    <row r="3036" spans="2:5">
      <c r="B3036" t="s">
        <v>4796</v>
      </c>
      <c r="C3036">
        <v>511176</v>
      </c>
      <c r="D3036" t="s">
        <v>360</v>
      </c>
      <c r="E3036" t="s">
        <v>446</v>
      </c>
    </row>
    <row r="3037" spans="2:5">
      <c r="B3037" t="s">
        <v>4797</v>
      </c>
      <c r="C3037">
        <v>532780</v>
      </c>
      <c r="D3037" t="s">
        <v>4798</v>
      </c>
      <c r="E3037" t="s">
        <v>446</v>
      </c>
    </row>
    <row r="3038" spans="2:5">
      <c r="B3038" t="s">
        <v>4799</v>
      </c>
      <c r="C3038">
        <v>526349</v>
      </c>
      <c r="D3038" t="s">
        <v>360</v>
      </c>
      <c r="E3038" t="s">
        <v>715</v>
      </c>
    </row>
    <row r="3039" spans="2:5">
      <c r="B3039" t="s">
        <v>4800</v>
      </c>
      <c r="C3039">
        <v>541347</v>
      </c>
      <c r="D3039" t="s">
        <v>360</v>
      </c>
      <c r="E3039" t="s">
        <v>1058</v>
      </c>
    </row>
    <row r="3040" spans="2:5">
      <c r="B3040" t="s">
        <v>4801</v>
      </c>
      <c r="C3040">
        <v>521080</v>
      </c>
      <c r="D3040" t="s">
        <v>360</v>
      </c>
      <c r="E3040" t="s">
        <v>375</v>
      </c>
    </row>
    <row r="3041" spans="2:5">
      <c r="B3041" t="s">
        <v>4802</v>
      </c>
      <c r="C3041" t="s">
        <v>360</v>
      </c>
      <c r="D3041" t="s">
        <v>4803</v>
      </c>
      <c r="E3041" t="s">
        <v>371</v>
      </c>
    </row>
    <row r="3042" spans="2:5">
      <c r="B3042" t="s">
        <v>4804</v>
      </c>
      <c r="C3042">
        <v>500456</v>
      </c>
      <c r="D3042" t="s">
        <v>360</v>
      </c>
      <c r="E3042" t="s">
        <v>737</v>
      </c>
    </row>
    <row r="3043" spans="2:5">
      <c r="B3043" t="s">
        <v>4805</v>
      </c>
      <c r="C3043">
        <v>511734</v>
      </c>
      <c r="D3043" t="s">
        <v>360</v>
      </c>
      <c r="E3043" t="s">
        <v>377</v>
      </c>
    </row>
    <row r="3044" spans="2:5">
      <c r="B3044" t="s">
        <v>4806</v>
      </c>
      <c r="C3044">
        <v>503092</v>
      </c>
      <c r="D3044" t="s">
        <v>360</v>
      </c>
      <c r="E3044" t="s">
        <v>375</v>
      </c>
    </row>
    <row r="3045" spans="2:5">
      <c r="B3045" t="s">
        <v>4807</v>
      </c>
      <c r="C3045">
        <v>539401</v>
      </c>
      <c r="D3045" t="s">
        <v>360</v>
      </c>
      <c r="E3045" t="s">
        <v>474</v>
      </c>
    </row>
    <row r="3046" spans="2:5">
      <c r="B3046" t="s">
        <v>4808</v>
      </c>
      <c r="C3046">
        <v>531120</v>
      </c>
      <c r="D3046" t="s">
        <v>4809</v>
      </c>
      <c r="E3046" t="s">
        <v>758</v>
      </c>
    </row>
    <row r="3047" spans="2:5">
      <c r="B3047" t="s">
        <v>4810</v>
      </c>
      <c r="C3047">
        <v>526381</v>
      </c>
      <c r="D3047" t="s">
        <v>4811</v>
      </c>
      <c r="E3047" t="s">
        <v>432</v>
      </c>
    </row>
    <row r="3048" spans="2:5">
      <c r="B3048" t="s">
        <v>4812</v>
      </c>
      <c r="C3048">
        <v>517417</v>
      </c>
      <c r="D3048" t="s">
        <v>360</v>
      </c>
      <c r="E3048" t="s">
        <v>368</v>
      </c>
    </row>
    <row r="3049" spans="2:5">
      <c r="B3049" t="s">
        <v>4813</v>
      </c>
      <c r="C3049">
        <v>517417</v>
      </c>
      <c r="D3049" t="s">
        <v>360</v>
      </c>
      <c r="E3049" t="s">
        <v>368</v>
      </c>
    </row>
    <row r="3050" spans="2:5">
      <c r="B3050" t="s">
        <v>4814</v>
      </c>
      <c r="C3050">
        <v>524031</v>
      </c>
      <c r="D3050" t="s">
        <v>360</v>
      </c>
      <c r="E3050" t="s">
        <v>446</v>
      </c>
    </row>
    <row r="3051" spans="2:5">
      <c r="B3051" t="s">
        <v>4815</v>
      </c>
      <c r="C3051">
        <v>514326</v>
      </c>
      <c r="D3051" t="s">
        <v>4816</v>
      </c>
      <c r="E3051" t="s">
        <v>375</v>
      </c>
    </row>
    <row r="3052" spans="2:5">
      <c r="B3052" t="s">
        <v>4817</v>
      </c>
      <c r="C3052">
        <v>514326</v>
      </c>
      <c r="D3052" t="s">
        <v>4816</v>
      </c>
      <c r="E3052" t="s">
        <v>375</v>
      </c>
    </row>
    <row r="3053" spans="2:5">
      <c r="B3053" t="s">
        <v>4818</v>
      </c>
      <c r="C3053">
        <v>539113</v>
      </c>
      <c r="D3053" t="s">
        <v>360</v>
      </c>
      <c r="E3053" t="s">
        <v>377</v>
      </c>
    </row>
    <row r="3054" spans="2:5">
      <c r="B3054" t="s">
        <v>4819</v>
      </c>
      <c r="C3054">
        <v>532742</v>
      </c>
      <c r="D3054" t="s">
        <v>360</v>
      </c>
      <c r="E3054" t="s">
        <v>520</v>
      </c>
    </row>
    <row r="3055" spans="2:5">
      <c r="B3055" t="s">
        <v>4820</v>
      </c>
      <c r="C3055">
        <v>535658</v>
      </c>
      <c r="D3055" t="s">
        <v>360</v>
      </c>
      <c r="E3055" t="s">
        <v>377</v>
      </c>
    </row>
    <row r="3056" spans="2:5">
      <c r="B3056" t="s">
        <v>4821</v>
      </c>
      <c r="C3056">
        <v>532676</v>
      </c>
      <c r="D3056" t="s">
        <v>4822</v>
      </c>
      <c r="E3056" t="s">
        <v>758</v>
      </c>
    </row>
    <row r="3057" spans="2:5">
      <c r="B3057" t="s">
        <v>4823</v>
      </c>
      <c r="C3057">
        <v>514087</v>
      </c>
      <c r="D3057" t="s">
        <v>360</v>
      </c>
      <c r="E3057" t="s">
        <v>375</v>
      </c>
    </row>
    <row r="3058" spans="2:5">
      <c r="B3058" t="s">
        <v>4824</v>
      </c>
      <c r="C3058">
        <v>534809</v>
      </c>
      <c r="D3058" t="s">
        <v>4825</v>
      </c>
      <c r="E3058" t="s">
        <v>474</v>
      </c>
    </row>
    <row r="3059" spans="2:5">
      <c r="B3059" t="s">
        <v>4826</v>
      </c>
      <c r="C3059">
        <v>517119</v>
      </c>
      <c r="D3059" t="s">
        <v>360</v>
      </c>
      <c r="E3059" t="s">
        <v>685</v>
      </c>
    </row>
    <row r="3060" spans="2:5">
      <c r="B3060" t="s">
        <v>4827</v>
      </c>
      <c r="C3060">
        <v>538730</v>
      </c>
      <c r="D3060" t="s">
        <v>4828</v>
      </c>
      <c r="E3060" t="s">
        <v>382</v>
      </c>
    </row>
    <row r="3061" spans="2:5">
      <c r="B3061" t="s">
        <v>4829</v>
      </c>
      <c r="C3061">
        <v>532808</v>
      </c>
      <c r="D3061" t="s">
        <v>4830</v>
      </c>
      <c r="E3061" t="s">
        <v>474</v>
      </c>
    </row>
    <row r="3062" spans="2:5">
      <c r="B3062" t="s">
        <v>4831</v>
      </c>
      <c r="C3062">
        <v>523260</v>
      </c>
      <c r="D3062" t="s">
        <v>4832</v>
      </c>
      <c r="E3062" t="s">
        <v>555</v>
      </c>
    </row>
    <row r="3063" spans="2:5">
      <c r="B3063" t="s">
        <v>4833</v>
      </c>
      <c r="C3063">
        <v>539273</v>
      </c>
      <c r="D3063" t="s">
        <v>360</v>
      </c>
      <c r="E3063" t="s">
        <v>849</v>
      </c>
    </row>
    <row r="3064" spans="2:5">
      <c r="B3064" t="s">
        <v>4834</v>
      </c>
      <c r="C3064">
        <v>524136</v>
      </c>
      <c r="D3064" t="s">
        <v>360</v>
      </c>
      <c r="E3064" t="s">
        <v>2178</v>
      </c>
    </row>
    <row r="3065" spans="2:5">
      <c r="B3065" t="s">
        <v>4835</v>
      </c>
      <c r="C3065">
        <v>531352</v>
      </c>
      <c r="D3065" t="s">
        <v>360</v>
      </c>
      <c r="E3065" t="s">
        <v>375</v>
      </c>
    </row>
    <row r="3066" spans="2:5">
      <c r="B3066" t="s">
        <v>4836</v>
      </c>
      <c r="C3066">
        <v>503031</v>
      </c>
      <c r="D3066" t="s">
        <v>4837</v>
      </c>
      <c r="E3066" t="s">
        <v>446</v>
      </c>
    </row>
    <row r="3067" spans="2:5">
      <c r="B3067" t="s">
        <v>4838</v>
      </c>
      <c r="C3067">
        <v>539333</v>
      </c>
      <c r="D3067" t="s">
        <v>4839</v>
      </c>
      <c r="E3067" t="s">
        <v>446</v>
      </c>
    </row>
    <row r="3068" spans="2:5">
      <c r="B3068" t="s">
        <v>4840</v>
      </c>
      <c r="C3068">
        <v>513228</v>
      </c>
      <c r="D3068" t="s">
        <v>4841</v>
      </c>
      <c r="E3068" t="s">
        <v>392</v>
      </c>
    </row>
    <row r="3069" spans="2:5">
      <c r="B3069" t="s">
        <v>4842</v>
      </c>
      <c r="C3069" t="s">
        <v>360</v>
      </c>
      <c r="D3069" t="s">
        <v>4843</v>
      </c>
      <c r="E3069" t="s">
        <v>371</v>
      </c>
    </row>
    <row r="3070" spans="2:5">
      <c r="B3070" t="s">
        <v>4844</v>
      </c>
      <c r="C3070">
        <v>500329</v>
      </c>
      <c r="D3070" t="s">
        <v>360</v>
      </c>
      <c r="E3070" t="s">
        <v>363</v>
      </c>
    </row>
    <row r="3071" spans="2:5">
      <c r="B3071" t="s">
        <v>4845</v>
      </c>
      <c r="C3071">
        <v>524210</v>
      </c>
      <c r="D3071" t="s">
        <v>360</v>
      </c>
      <c r="E3071" t="s">
        <v>408</v>
      </c>
    </row>
    <row r="3072" spans="2:5">
      <c r="B3072" t="s">
        <v>4846</v>
      </c>
      <c r="C3072">
        <v>524210</v>
      </c>
      <c r="D3072" t="s">
        <v>360</v>
      </c>
      <c r="E3072" t="s">
        <v>408</v>
      </c>
    </row>
    <row r="3073" spans="2:5">
      <c r="B3073" t="s">
        <v>4847</v>
      </c>
      <c r="C3073">
        <v>501144</v>
      </c>
      <c r="D3073" t="s">
        <v>360</v>
      </c>
      <c r="E3073" t="s">
        <v>781</v>
      </c>
    </row>
    <row r="3074" spans="2:5">
      <c r="B3074" t="s">
        <v>4848</v>
      </c>
      <c r="C3074" t="s">
        <v>360</v>
      </c>
      <c r="D3074" t="s">
        <v>4849</v>
      </c>
      <c r="E3074" t="s">
        <v>371</v>
      </c>
    </row>
    <row r="3075" spans="2:5">
      <c r="B3075" t="s">
        <v>4850</v>
      </c>
      <c r="C3075">
        <v>521062</v>
      </c>
      <c r="D3075" t="s">
        <v>360</v>
      </c>
      <c r="E3075" t="s">
        <v>1098</v>
      </c>
    </row>
    <row r="3076" spans="2:5">
      <c r="B3076" t="s">
        <v>4851</v>
      </c>
      <c r="C3076">
        <v>526435</v>
      </c>
      <c r="D3076" t="s">
        <v>360</v>
      </c>
      <c r="E3076" t="s">
        <v>354</v>
      </c>
    </row>
    <row r="3077" spans="2:5">
      <c r="B3077" t="s">
        <v>4852</v>
      </c>
      <c r="C3077">
        <v>504132</v>
      </c>
      <c r="D3077" t="s">
        <v>360</v>
      </c>
      <c r="E3077" t="s">
        <v>545</v>
      </c>
    </row>
    <row r="3078" spans="2:5">
      <c r="B3078" t="s">
        <v>4853</v>
      </c>
      <c r="C3078">
        <v>533179</v>
      </c>
      <c r="D3078" t="s">
        <v>4854</v>
      </c>
      <c r="E3078" t="s">
        <v>346</v>
      </c>
    </row>
    <row r="3079" spans="2:5">
      <c r="B3079" t="s">
        <v>4855</v>
      </c>
      <c r="C3079">
        <v>517172</v>
      </c>
      <c r="D3079" t="s">
        <v>360</v>
      </c>
      <c r="E3079" t="s">
        <v>902</v>
      </c>
    </row>
    <row r="3080" spans="2:5">
      <c r="B3080" t="s">
        <v>4856</v>
      </c>
      <c r="C3080">
        <v>530381</v>
      </c>
      <c r="D3080" t="s">
        <v>4857</v>
      </c>
      <c r="E3080" t="s">
        <v>758</v>
      </c>
    </row>
    <row r="3081" spans="2:5">
      <c r="B3081" t="s">
        <v>4858</v>
      </c>
      <c r="C3081">
        <v>532522</v>
      </c>
      <c r="D3081" t="s">
        <v>4859</v>
      </c>
      <c r="E3081" t="s">
        <v>570</v>
      </c>
    </row>
    <row r="3082" spans="2:5">
      <c r="B3082" t="s">
        <v>4860</v>
      </c>
      <c r="C3082">
        <v>500680</v>
      </c>
      <c r="D3082" t="s">
        <v>4861</v>
      </c>
      <c r="E3082" t="s">
        <v>398</v>
      </c>
    </row>
    <row r="3083" spans="2:5">
      <c r="B3083" t="s">
        <v>4862</v>
      </c>
      <c r="C3083">
        <v>531769</v>
      </c>
      <c r="D3083" t="s">
        <v>360</v>
      </c>
      <c r="E3083" t="s">
        <v>453</v>
      </c>
    </row>
    <row r="3084" spans="2:5">
      <c r="B3084" t="s">
        <v>4863</v>
      </c>
      <c r="C3084">
        <v>533581</v>
      </c>
      <c r="D3084" t="s">
        <v>4864</v>
      </c>
      <c r="E3084" t="s">
        <v>729</v>
      </c>
    </row>
    <row r="3085" spans="2:5">
      <c r="B3085" t="s">
        <v>4865</v>
      </c>
      <c r="C3085">
        <v>526747</v>
      </c>
      <c r="D3085" t="s">
        <v>360</v>
      </c>
      <c r="E3085" t="s">
        <v>665</v>
      </c>
    </row>
    <row r="3086" spans="2:5">
      <c r="B3086" t="s">
        <v>4866</v>
      </c>
      <c r="C3086">
        <v>531281</v>
      </c>
      <c r="D3086" t="s">
        <v>360</v>
      </c>
      <c r="E3086" t="s">
        <v>888</v>
      </c>
    </row>
    <row r="3087" spans="2:5">
      <c r="B3087" t="s">
        <v>4867</v>
      </c>
      <c r="C3087">
        <v>500143</v>
      </c>
      <c r="D3087" t="s">
        <v>360</v>
      </c>
      <c r="E3087" t="s">
        <v>382</v>
      </c>
    </row>
    <row r="3088" spans="2:5">
      <c r="B3088" t="s">
        <v>4868</v>
      </c>
      <c r="C3088">
        <v>512026</v>
      </c>
      <c r="D3088" t="s">
        <v>360</v>
      </c>
      <c r="E3088" t="s">
        <v>382</v>
      </c>
    </row>
    <row r="3089" spans="2:5">
      <c r="B3089" t="s">
        <v>4869</v>
      </c>
      <c r="C3089">
        <v>523620</v>
      </c>
      <c r="D3089" t="s">
        <v>360</v>
      </c>
      <c r="E3089" t="s">
        <v>398</v>
      </c>
    </row>
    <row r="3090" spans="2:5">
      <c r="B3090" t="s">
        <v>4870</v>
      </c>
      <c r="C3090">
        <v>506590</v>
      </c>
      <c r="D3090" t="s">
        <v>4871</v>
      </c>
      <c r="E3090" t="s">
        <v>4872</v>
      </c>
    </row>
    <row r="3091" spans="2:5">
      <c r="B3091" t="s">
        <v>4873</v>
      </c>
      <c r="C3091">
        <v>526481</v>
      </c>
      <c r="D3091" t="s">
        <v>360</v>
      </c>
      <c r="E3091" t="s">
        <v>474</v>
      </c>
    </row>
    <row r="3092" spans="2:5">
      <c r="B3092" t="s">
        <v>4874</v>
      </c>
      <c r="C3092">
        <v>537839</v>
      </c>
      <c r="D3092" t="s">
        <v>360</v>
      </c>
      <c r="E3092" t="s">
        <v>561</v>
      </c>
    </row>
    <row r="3093" spans="2:5">
      <c r="B3093" t="s">
        <v>4875</v>
      </c>
      <c r="C3093">
        <v>509084</v>
      </c>
      <c r="D3093" t="s">
        <v>360</v>
      </c>
      <c r="E3093" t="s">
        <v>781</v>
      </c>
    </row>
    <row r="3094" spans="2:5">
      <c r="B3094" t="s">
        <v>4876</v>
      </c>
      <c r="C3094">
        <v>526588</v>
      </c>
      <c r="D3094" t="s">
        <v>360</v>
      </c>
      <c r="E3094" t="s">
        <v>1598</v>
      </c>
    </row>
    <row r="3095" spans="2:5">
      <c r="B3095" t="s">
        <v>4877</v>
      </c>
      <c r="C3095">
        <v>526588</v>
      </c>
      <c r="D3095" t="s">
        <v>360</v>
      </c>
      <c r="E3095" t="s">
        <v>1598</v>
      </c>
    </row>
    <row r="3096" spans="2:5">
      <c r="B3096" t="s">
        <v>4878</v>
      </c>
      <c r="C3096">
        <v>524808</v>
      </c>
      <c r="D3096" t="s">
        <v>360</v>
      </c>
      <c r="E3096" t="s">
        <v>504</v>
      </c>
    </row>
    <row r="3097" spans="2:5">
      <c r="B3097" t="s">
        <v>4879</v>
      </c>
      <c r="C3097">
        <v>524808</v>
      </c>
      <c r="D3097" t="s">
        <v>360</v>
      </c>
      <c r="E3097" t="s">
        <v>504</v>
      </c>
    </row>
    <row r="3098" spans="2:5">
      <c r="B3098" t="s">
        <v>4880</v>
      </c>
      <c r="C3098">
        <v>523642</v>
      </c>
      <c r="D3098" t="s">
        <v>4881</v>
      </c>
      <c r="E3098" t="s">
        <v>504</v>
      </c>
    </row>
    <row r="3099" spans="2:5">
      <c r="B3099" t="s">
        <v>4882</v>
      </c>
      <c r="C3099">
        <v>530305</v>
      </c>
      <c r="D3099" t="s">
        <v>360</v>
      </c>
      <c r="E3099" t="s">
        <v>1058</v>
      </c>
    </row>
    <row r="3100" spans="2:5">
      <c r="B3100" t="s">
        <v>4883</v>
      </c>
      <c r="C3100">
        <v>507498</v>
      </c>
      <c r="D3100" t="s">
        <v>360</v>
      </c>
      <c r="E3100" t="s">
        <v>1058</v>
      </c>
    </row>
    <row r="3101" spans="2:5">
      <c r="B3101" t="s">
        <v>4884</v>
      </c>
      <c r="C3101">
        <v>532355</v>
      </c>
      <c r="D3101" t="s">
        <v>360</v>
      </c>
      <c r="E3101" t="s">
        <v>363</v>
      </c>
    </row>
    <row r="3102" spans="2:5">
      <c r="B3102" t="s">
        <v>4885</v>
      </c>
      <c r="C3102">
        <v>500331</v>
      </c>
      <c r="D3102" t="s">
        <v>4886</v>
      </c>
      <c r="E3102" t="s">
        <v>520</v>
      </c>
    </row>
    <row r="3103" spans="2:5">
      <c r="B3103" t="s">
        <v>4887</v>
      </c>
      <c r="C3103">
        <v>500327</v>
      </c>
      <c r="D3103" t="s">
        <v>4888</v>
      </c>
      <c r="E3103" t="s">
        <v>480</v>
      </c>
    </row>
    <row r="3104" spans="2:5">
      <c r="B3104" t="s">
        <v>4889</v>
      </c>
      <c r="C3104">
        <v>539883</v>
      </c>
      <c r="D3104" t="s">
        <v>4890</v>
      </c>
      <c r="E3104" t="s">
        <v>526</v>
      </c>
    </row>
    <row r="3105" spans="2:5">
      <c r="B3105" t="s">
        <v>4891</v>
      </c>
      <c r="C3105">
        <v>519439</v>
      </c>
      <c r="D3105" t="s">
        <v>360</v>
      </c>
      <c r="E3105" t="s">
        <v>609</v>
      </c>
    </row>
    <row r="3106" spans="2:5">
      <c r="B3106" t="s">
        <v>4892</v>
      </c>
      <c r="C3106">
        <v>531879</v>
      </c>
      <c r="D3106" t="s">
        <v>4893</v>
      </c>
      <c r="E3106" t="s">
        <v>991</v>
      </c>
    </row>
    <row r="3107" spans="2:5">
      <c r="B3107" t="s">
        <v>4894</v>
      </c>
      <c r="C3107">
        <v>514300</v>
      </c>
      <c r="D3107" t="s">
        <v>4895</v>
      </c>
      <c r="E3107" t="s">
        <v>375</v>
      </c>
    </row>
    <row r="3108" spans="2:5">
      <c r="B3108" t="s">
        <v>4896</v>
      </c>
      <c r="C3108">
        <v>507864</v>
      </c>
      <c r="D3108" t="s">
        <v>360</v>
      </c>
      <c r="E3108" t="s">
        <v>343</v>
      </c>
    </row>
    <row r="3109" spans="2:5">
      <c r="B3109" t="s">
        <v>4897</v>
      </c>
      <c r="C3109">
        <v>500302</v>
      </c>
      <c r="D3109" t="s">
        <v>4898</v>
      </c>
      <c r="E3109" t="s">
        <v>398</v>
      </c>
    </row>
    <row r="3110" spans="2:5">
      <c r="B3110" t="s">
        <v>4899</v>
      </c>
      <c r="C3110">
        <v>532979</v>
      </c>
      <c r="D3110" t="s">
        <v>4900</v>
      </c>
      <c r="E3110" t="s">
        <v>398</v>
      </c>
    </row>
    <row r="3111" spans="2:5">
      <c r="B3111" t="s">
        <v>4901</v>
      </c>
      <c r="C3111">
        <v>530683</v>
      </c>
      <c r="D3111" t="s">
        <v>360</v>
      </c>
      <c r="E3111" t="s">
        <v>555</v>
      </c>
    </row>
    <row r="3112" spans="2:5">
      <c r="B3112" t="s">
        <v>4902</v>
      </c>
      <c r="C3112">
        <v>513519</v>
      </c>
      <c r="D3112" t="s">
        <v>4903</v>
      </c>
      <c r="E3112" t="s">
        <v>658</v>
      </c>
    </row>
    <row r="3113" spans="2:5">
      <c r="B3113" t="s">
        <v>4904</v>
      </c>
      <c r="C3113">
        <v>500333</v>
      </c>
      <c r="D3113" t="s">
        <v>360</v>
      </c>
      <c r="E3113" t="s">
        <v>840</v>
      </c>
    </row>
    <row r="3114" spans="2:5">
      <c r="B3114" t="s">
        <v>4905</v>
      </c>
      <c r="C3114">
        <v>523105</v>
      </c>
      <c r="D3114" t="s">
        <v>360</v>
      </c>
      <c r="E3114" t="s">
        <v>555</v>
      </c>
    </row>
    <row r="3115" spans="2:5">
      <c r="B3115" t="s">
        <v>4906</v>
      </c>
      <c r="C3115">
        <v>523648</v>
      </c>
      <c r="D3115" t="s">
        <v>4907</v>
      </c>
      <c r="E3115" t="s">
        <v>520</v>
      </c>
    </row>
    <row r="3116" spans="2:5">
      <c r="B3116" t="s">
        <v>4908</v>
      </c>
      <c r="C3116">
        <v>523648</v>
      </c>
      <c r="D3116" t="s">
        <v>4907</v>
      </c>
      <c r="E3116" t="s">
        <v>520</v>
      </c>
    </row>
    <row r="3117" spans="2:5">
      <c r="B3117" t="s">
        <v>4909</v>
      </c>
      <c r="C3117">
        <v>534060</v>
      </c>
      <c r="D3117" t="s">
        <v>360</v>
      </c>
      <c r="E3117" t="s">
        <v>377</v>
      </c>
    </row>
    <row r="3118" spans="2:5">
      <c r="B3118" t="s">
        <v>4910</v>
      </c>
      <c r="C3118">
        <v>532366</v>
      </c>
      <c r="D3118" t="s">
        <v>4911</v>
      </c>
      <c r="E3118" t="s">
        <v>377</v>
      </c>
    </row>
    <row r="3119" spans="2:5">
      <c r="B3119" t="s">
        <v>4912</v>
      </c>
      <c r="C3119">
        <v>540173</v>
      </c>
      <c r="D3119" t="s">
        <v>4913</v>
      </c>
      <c r="E3119" t="s">
        <v>418</v>
      </c>
    </row>
    <row r="3120" spans="2:5">
      <c r="B3120" t="s">
        <v>4914</v>
      </c>
      <c r="C3120">
        <v>539150</v>
      </c>
      <c r="D3120" t="s">
        <v>4915</v>
      </c>
      <c r="E3120" t="s">
        <v>955</v>
      </c>
    </row>
    <row r="3121" spans="2:5">
      <c r="B3121" t="s">
        <v>4916</v>
      </c>
      <c r="C3121">
        <v>532803</v>
      </c>
      <c r="D3121" t="s">
        <v>4917</v>
      </c>
      <c r="E3121" t="s">
        <v>558</v>
      </c>
    </row>
    <row r="3122" spans="2:5">
      <c r="B3122" t="s">
        <v>4918</v>
      </c>
      <c r="C3122">
        <v>539195</v>
      </c>
      <c r="D3122" t="s">
        <v>360</v>
      </c>
      <c r="E3122" t="s">
        <v>408</v>
      </c>
    </row>
    <row r="3123" spans="2:5">
      <c r="B3123" t="s">
        <v>4919</v>
      </c>
      <c r="C3123">
        <v>523628</v>
      </c>
      <c r="D3123" t="s">
        <v>4920</v>
      </c>
      <c r="E3123" t="s">
        <v>446</v>
      </c>
    </row>
    <row r="3124" spans="2:5">
      <c r="B3124" t="s">
        <v>4921</v>
      </c>
      <c r="C3124">
        <v>524570</v>
      </c>
      <c r="D3124" t="s">
        <v>4922</v>
      </c>
      <c r="E3124" t="s">
        <v>520</v>
      </c>
    </row>
    <row r="3125" spans="2:5">
      <c r="B3125" t="s">
        <v>4923</v>
      </c>
      <c r="C3125">
        <v>532486</v>
      </c>
      <c r="D3125" t="s">
        <v>4924</v>
      </c>
      <c r="E3125" t="s">
        <v>888</v>
      </c>
    </row>
    <row r="3126" spans="2:5">
      <c r="B3126" t="s">
        <v>4925</v>
      </c>
      <c r="C3126">
        <v>526687</v>
      </c>
      <c r="D3126" t="s">
        <v>360</v>
      </c>
      <c r="E3126" t="s">
        <v>561</v>
      </c>
    </row>
    <row r="3127" spans="2:5">
      <c r="B3127" t="s">
        <v>4926</v>
      </c>
      <c r="C3127">
        <v>540717</v>
      </c>
      <c r="D3127" t="s">
        <v>360</v>
      </c>
      <c r="E3127" t="s">
        <v>382</v>
      </c>
    </row>
    <row r="3128" spans="2:5">
      <c r="B3128" t="s">
        <v>4927</v>
      </c>
      <c r="C3128">
        <v>507645</v>
      </c>
      <c r="D3128" t="s">
        <v>360</v>
      </c>
      <c r="E3128" t="s">
        <v>520</v>
      </c>
    </row>
    <row r="3129" spans="2:5">
      <c r="B3129" t="s">
        <v>4928</v>
      </c>
      <c r="C3129">
        <v>531768</v>
      </c>
      <c r="D3129" t="s">
        <v>4929</v>
      </c>
      <c r="E3129" t="s">
        <v>1526</v>
      </c>
    </row>
    <row r="3130" spans="2:5">
      <c r="B3130" t="s">
        <v>4930</v>
      </c>
      <c r="C3130">
        <v>542652</v>
      </c>
      <c r="D3130" t="s">
        <v>4931</v>
      </c>
      <c r="E3130" t="s">
        <v>658</v>
      </c>
    </row>
    <row r="3131" spans="2:5">
      <c r="B3131" t="s">
        <v>4932</v>
      </c>
      <c r="C3131">
        <v>506605</v>
      </c>
      <c r="D3131" t="s">
        <v>360</v>
      </c>
      <c r="E3131" t="s">
        <v>408</v>
      </c>
    </row>
    <row r="3132" spans="2:5">
      <c r="B3132" t="s">
        <v>4933</v>
      </c>
      <c r="C3132">
        <v>531397</v>
      </c>
      <c r="D3132" t="s">
        <v>360</v>
      </c>
      <c r="E3132" t="s">
        <v>555</v>
      </c>
    </row>
    <row r="3133" spans="2:5">
      <c r="B3133" t="s">
        <v>4934</v>
      </c>
      <c r="C3133">
        <v>514486</v>
      </c>
      <c r="D3133" t="s">
        <v>360</v>
      </c>
      <c r="E3133" t="s">
        <v>375</v>
      </c>
    </row>
    <row r="3134" spans="2:5">
      <c r="B3134" t="s">
        <v>4935</v>
      </c>
      <c r="C3134">
        <v>531454</v>
      </c>
      <c r="D3134" t="s">
        <v>360</v>
      </c>
      <c r="E3134" t="s">
        <v>737</v>
      </c>
    </row>
    <row r="3135" spans="2:5">
      <c r="B3135" t="s">
        <v>4936</v>
      </c>
      <c r="C3135">
        <v>531454</v>
      </c>
      <c r="D3135" t="s">
        <v>360</v>
      </c>
      <c r="E3135" t="s">
        <v>737</v>
      </c>
    </row>
    <row r="3136" spans="2:5">
      <c r="B3136" t="s">
        <v>4937</v>
      </c>
      <c r="C3136">
        <v>537573</v>
      </c>
      <c r="D3136" t="s">
        <v>360</v>
      </c>
      <c r="E3136" t="s">
        <v>480</v>
      </c>
    </row>
    <row r="3137" spans="2:5">
      <c r="B3137" t="s">
        <v>4938</v>
      </c>
      <c r="C3137">
        <v>526043</v>
      </c>
      <c r="D3137" t="s">
        <v>360</v>
      </c>
      <c r="E3137" t="s">
        <v>368</v>
      </c>
    </row>
    <row r="3138" spans="2:5">
      <c r="B3138" t="s">
        <v>4939</v>
      </c>
      <c r="C3138">
        <v>524051</v>
      </c>
      <c r="D3138" t="s">
        <v>4940</v>
      </c>
      <c r="E3138" t="s">
        <v>408</v>
      </c>
    </row>
    <row r="3139" spans="2:5">
      <c r="B3139" t="s">
        <v>4941</v>
      </c>
      <c r="C3139">
        <v>539354</v>
      </c>
      <c r="D3139" t="s">
        <v>360</v>
      </c>
      <c r="E3139" t="s">
        <v>555</v>
      </c>
    </row>
    <row r="3140" spans="2:5">
      <c r="B3140" t="s">
        <v>4942</v>
      </c>
      <c r="C3140">
        <v>512481</v>
      </c>
      <c r="D3140" t="s">
        <v>360</v>
      </c>
      <c r="E3140" t="s">
        <v>377</v>
      </c>
    </row>
    <row r="3141" spans="2:5">
      <c r="B3141" t="s">
        <v>4943</v>
      </c>
      <c r="C3141">
        <v>512481</v>
      </c>
      <c r="D3141" t="s">
        <v>360</v>
      </c>
      <c r="E3141" t="s">
        <v>377</v>
      </c>
    </row>
    <row r="3142" spans="2:5">
      <c r="B3142" t="s">
        <v>4944</v>
      </c>
      <c r="C3142">
        <v>532626</v>
      </c>
      <c r="D3142" t="s">
        <v>360</v>
      </c>
      <c r="E3142" t="s">
        <v>2607</v>
      </c>
    </row>
    <row r="3143" spans="2:5">
      <c r="B3143" t="s">
        <v>4945</v>
      </c>
      <c r="C3143">
        <v>532460</v>
      </c>
      <c r="D3143" t="s">
        <v>4946</v>
      </c>
      <c r="E3143" t="s">
        <v>1058</v>
      </c>
    </row>
    <row r="3144" spans="2:5">
      <c r="B3144" t="s">
        <v>4947</v>
      </c>
      <c r="C3144">
        <v>532011</v>
      </c>
      <c r="D3144" t="s">
        <v>360</v>
      </c>
      <c r="E3144" t="s">
        <v>363</v>
      </c>
    </row>
    <row r="3145" spans="2:5">
      <c r="B3145" t="s">
        <v>4948</v>
      </c>
      <c r="C3145">
        <v>540727</v>
      </c>
      <c r="D3145" t="s">
        <v>360</v>
      </c>
      <c r="E3145" t="s">
        <v>1279</v>
      </c>
    </row>
    <row r="3146" spans="2:5">
      <c r="B3146" t="s">
        <v>4949</v>
      </c>
      <c r="C3146">
        <v>519359</v>
      </c>
      <c r="D3146" t="s">
        <v>360</v>
      </c>
      <c r="E3146" t="s">
        <v>609</v>
      </c>
    </row>
    <row r="3147" spans="2:5">
      <c r="B3147" t="s">
        <v>4950</v>
      </c>
      <c r="C3147">
        <v>531870</v>
      </c>
      <c r="D3147" t="s">
        <v>360</v>
      </c>
      <c r="E3147" t="s">
        <v>758</v>
      </c>
    </row>
    <row r="3148" spans="2:5">
      <c r="B3148" t="s">
        <v>4951</v>
      </c>
      <c r="C3148">
        <v>532933</v>
      </c>
      <c r="D3148" t="s">
        <v>360</v>
      </c>
      <c r="E3148" t="s">
        <v>715</v>
      </c>
    </row>
    <row r="3149" spans="2:5">
      <c r="B3149" t="s">
        <v>4952</v>
      </c>
      <c r="C3149" t="s">
        <v>360</v>
      </c>
      <c r="D3149" t="s">
        <v>4953</v>
      </c>
      <c r="E3149" t="s">
        <v>371</v>
      </c>
    </row>
    <row r="3150" spans="2:5">
      <c r="B3150" t="s">
        <v>4954</v>
      </c>
      <c r="C3150">
        <v>532810</v>
      </c>
      <c r="D3150" t="s">
        <v>4955</v>
      </c>
      <c r="E3150" t="s">
        <v>377</v>
      </c>
    </row>
    <row r="3151" spans="2:5">
      <c r="B3151" t="s">
        <v>4956</v>
      </c>
      <c r="C3151">
        <v>532898</v>
      </c>
      <c r="D3151" t="s">
        <v>4957</v>
      </c>
      <c r="E3151" t="s">
        <v>499</v>
      </c>
    </row>
    <row r="3152" spans="2:5">
      <c r="B3152" t="s">
        <v>4958</v>
      </c>
      <c r="C3152">
        <v>532898</v>
      </c>
      <c r="D3152" t="s">
        <v>4957</v>
      </c>
      <c r="E3152" t="s">
        <v>499</v>
      </c>
    </row>
    <row r="3153" spans="2:5">
      <c r="B3153" t="s">
        <v>4959</v>
      </c>
      <c r="C3153">
        <v>539302</v>
      </c>
      <c r="D3153" t="s">
        <v>4960</v>
      </c>
      <c r="E3153" t="s">
        <v>758</v>
      </c>
    </row>
    <row r="3154" spans="2:5">
      <c r="B3154" t="s">
        <v>4961</v>
      </c>
      <c r="C3154" t="s">
        <v>360</v>
      </c>
      <c r="D3154" t="s">
        <v>4962</v>
      </c>
      <c r="E3154" t="s">
        <v>371</v>
      </c>
    </row>
    <row r="3155" spans="2:5">
      <c r="B3155" t="s">
        <v>4963</v>
      </c>
      <c r="C3155">
        <v>538731</v>
      </c>
      <c r="D3155" t="s">
        <v>360</v>
      </c>
      <c r="E3155" t="s">
        <v>538</v>
      </c>
    </row>
    <row r="3156" spans="2:5">
      <c r="B3156" t="s">
        <v>4964</v>
      </c>
      <c r="C3156">
        <v>532934</v>
      </c>
      <c r="D3156" t="s">
        <v>4965</v>
      </c>
      <c r="E3156" t="s">
        <v>715</v>
      </c>
    </row>
    <row r="3157" spans="2:5">
      <c r="B3157" t="s">
        <v>4966</v>
      </c>
      <c r="C3157">
        <v>539351</v>
      </c>
      <c r="D3157" t="s">
        <v>4967</v>
      </c>
      <c r="E3157" t="s">
        <v>420</v>
      </c>
    </row>
    <row r="3158" spans="2:5">
      <c r="B3158" t="s">
        <v>4968</v>
      </c>
      <c r="C3158">
        <v>540027</v>
      </c>
      <c r="D3158" t="s">
        <v>360</v>
      </c>
      <c r="E3158" t="s">
        <v>361</v>
      </c>
    </row>
    <row r="3159" spans="2:5">
      <c r="B3159" t="s">
        <v>4969</v>
      </c>
      <c r="C3159">
        <v>540027</v>
      </c>
      <c r="D3159" t="s">
        <v>360</v>
      </c>
      <c r="E3159" t="s">
        <v>361</v>
      </c>
    </row>
    <row r="3160" spans="2:5">
      <c r="B3160" t="s">
        <v>4970</v>
      </c>
      <c r="C3160">
        <v>531855</v>
      </c>
      <c r="D3160" t="s">
        <v>360</v>
      </c>
      <c r="E3160" t="s">
        <v>392</v>
      </c>
    </row>
    <row r="3161" spans="2:5">
      <c r="B3161" t="s">
        <v>4971</v>
      </c>
      <c r="C3161">
        <v>506042</v>
      </c>
      <c r="D3161" t="s">
        <v>360</v>
      </c>
      <c r="E3161" t="s">
        <v>392</v>
      </c>
    </row>
    <row r="3162" spans="2:5">
      <c r="B3162" t="s">
        <v>4972</v>
      </c>
      <c r="C3162">
        <v>513532</v>
      </c>
      <c r="D3162" t="s">
        <v>360</v>
      </c>
      <c r="E3162" t="s">
        <v>715</v>
      </c>
    </row>
    <row r="3163" spans="2:5">
      <c r="B3163" t="s">
        <v>4973</v>
      </c>
      <c r="C3163">
        <v>530095</v>
      </c>
      <c r="D3163" t="s">
        <v>360</v>
      </c>
      <c r="E3163" t="s">
        <v>392</v>
      </c>
    </row>
    <row r="3164" spans="2:5">
      <c r="B3164" t="s">
        <v>4974</v>
      </c>
      <c r="C3164">
        <v>533178</v>
      </c>
      <c r="D3164" t="s">
        <v>4975</v>
      </c>
      <c r="E3164" t="s">
        <v>375</v>
      </c>
    </row>
    <row r="3165" spans="2:5">
      <c r="B3165" t="s">
        <v>4976</v>
      </c>
      <c r="C3165">
        <v>500192</v>
      </c>
      <c r="D3165" t="s">
        <v>360</v>
      </c>
      <c r="E3165" t="s">
        <v>375</v>
      </c>
    </row>
    <row r="3166" spans="2:5">
      <c r="B3166" t="s">
        <v>4977</v>
      </c>
      <c r="C3166">
        <v>522205</v>
      </c>
      <c r="D3166" t="s">
        <v>4978</v>
      </c>
      <c r="E3166" t="s">
        <v>758</v>
      </c>
    </row>
    <row r="3167" spans="2:5">
      <c r="B3167" t="s">
        <v>4979</v>
      </c>
      <c r="C3167">
        <v>531746</v>
      </c>
      <c r="D3167" t="s">
        <v>4980</v>
      </c>
      <c r="E3167" t="s">
        <v>446</v>
      </c>
    </row>
    <row r="3168" spans="2:5">
      <c r="B3168" t="s">
        <v>4981</v>
      </c>
      <c r="C3168">
        <v>533605</v>
      </c>
      <c r="D3168" t="s">
        <v>4982</v>
      </c>
      <c r="E3168" t="s">
        <v>758</v>
      </c>
    </row>
    <row r="3169" spans="2:5">
      <c r="B3169" t="s">
        <v>4983</v>
      </c>
      <c r="C3169">
        <v>506022</v>
      </c>
      <c r="D3169" t="s">
        <v>4984</v>
      </c>
      <c r="E3169" t="s">
        <v>392</v>
      </c>
    </row>
    <row r="3170" spans="2:5">
      <c r="B3170" t="s">
        <v>4985</v>
      </c>
      <c r="C3170">
        <v>542684</v>
      </c>
      <c r="D3170" t="s">
        <v>4986</v>
      </c>
      <c r="E3170" t="s">
        <v>480</v>
      </c>
    </row>
    <row r="3171" spans="2:5">
      <c r="B3171" t="s">
        <v>4987</v>
      </c>
      <c r="C3171">
        <v>533239</v>
      </c>
      <c r="D3171" t="s">
        <v>4988</v>
      </c>
      <c r="E3171" t="s">
        <v>758</v>
      </c>
    </row>
    <row r="3172" spans="2:5">
      <c r="B3172" t="s">
        <v>4989</v>
      </c>
      <c r="C3172">
        <v>531437</v>
      </c>
      <c r="D3172" t="s">
        <v>360</v>
      </c>
      <c r="E3172" t="s">
        <v>375</v>
      </c>
    </row>
    <row r="3173" spans="2:5">
      <c r="B3173" t="s">
        <v>4990</v>
      </c>
      <c r="C3173">
        <v>531172</v>
      </c>
      <c r="D3173" t="s">
        <v>360</v>
      </c>
      <c r="E3173" t="s">
        <v>375</v>
      </c>
    </row>
    <row r="3174" spans="2:5">
      <c r="B3174" t="s">
        <v>4991</v>
      </c>
      <c r="C3174">
        <v>519014</v>
      </c>
      <c r="D3174" t="s">
        <v>360</v>
      </c>
      <c r="E3174" t="s">
        <v>375</v>
      </c>
    </row>
    <row r="3175" spans="2:5">
      <c r="B3175" t="s">
        <v>4992</v>
      </c>
      <c r="C3175">
        <v>519014</v>
      </c>
      <c r="D3175" t="s">
        <v>360</v>
      </c>
      <c r="E3175" t="s">
        <v>375</v>
      </c>
    </row>
    <row r="3176" spans="2:5">
      <c r="B3176" t="s">
        <v>4993</v>
      </c>
      <c r="C3176">
        <v>540724</v>
      </c>
      <c r="D3176" t="s">
        <v>4994</v>
      </c>
      <c r="E3176" t="s">
        <v>420</v>
      </c>
    </row>
    <row r="3177" spans="2:5">
      <c r="B3177" t="s">
        <v>4995</v>
      </c>
      <c r="C3177">
        <v>526490</v>
      </c>
      <c r="D3177" t="s">
        <v>360</v>
      </c>
      <c r="E3177" t="s">
        <v>855</v>
      </c>
    </row>
    <row r="3178" spans="2:5">
      <c r="B3178" t="s">
        <v>4996</v>
      </c>
      <c r="C3178">
        <v>531257</v>
      </c>
      <c r="D3178" t="s">
        <v>360</v>
      </c>
      <c r="E3178" t="s">
        <v>520</v>
      </c>
    </row>
    <row r="3179" spans="2:5">
      <c r="B3179" t="s">
        <v>4997</v>
      </c>
      <c r="C3179">
        <v>540901</v>
      </c>
      <c r="D3179" t="s">
        <v>4998</v>
      </c>
      <c r="E3179" t="s">
        <v>361</v>
      </c>
    </row>
    <row r="3180" spans="2:5">
      <c r="B3180" t="s">
        <v>4999</v>
      </c>
      <c r="C3180">
        <v>506107</v>
      </c>
      <c r="D3180" t="s">
        <v>360</v>
      </c>
      <c r="E3180" t="s">
        <v>781</v>
      </c>
    </row>
    <row r="3181" spans="2:5">
      <c r="B3181" t="s">
        <v>5000</v>
      </c>
      <c r="C3181">
        <v>539636</v>
      </c>
      <c r="D3181" t="s">
        <v>5001</v>
      </c>
      <c r="E3181" t="s">
        <v>715</v>
      </c>
    </row>
    <row r="3182" spans="2:5">
      <c r="B3182" t="s">
        <v>5002</v>
      </c>
      <c r="C3182">
        <v>523874</v>
      </c>
      <c r="D3182" t="s">
        <v>360</v>
      </c>
      <c r="E3182" t="s">
        <v>382</v>
      </c>
    </row>
    <row r="3183" spans="2:5">
      <c r="B3183" t="s">
        <v>5003</v>
      </c>
      <c r="C3183">
        <v>517258</v>
      </c>
      <c r="D3183" t="s">
        <v>360</v>
      </c>
      <c r="E3183" t="s">
        <v>902</v>
      </c>
    </row>
    <row r="3184" spans="2:5">
      <c r="B3184" t="s">
        <v>5004</v>
      </c>
      <c r="C3184">
        <v>523539</v>
      </c>
      <c r="D3184" t="s">
        <v>5005</v>
      </c>
      <c r="E3184" t="s">
        <v>1279</v>
      </c>
    </row>
    <row r="3185" spans="2:5">
      <c r="B3185" t="s">
        <v>5006</v>
      </c>
      <c r="C3185">
        <v>523539</v>
      </c>
      <c r="D3185" t="s">
        <v>5005</v>
      </c>
      <c r="E3185" t="s">
        <v>1279</v>
      </c>
    </row>
    <row r="3186" spans="2:5">
      <c r="B3186" t="s">
        <v>5007</v>
      </c>
      <c r="C3186" t="s">
        <v>360</v>
      </c>
      <c r="D3186" t="s">
        <v>5008</v>
      </c>
      <c r="E3186" t="s">
        <v>451</v>
      </c>
    </row>
    <row r="3187" spans="2:5">
      <c r="B3187" t="s">
        <v>5009</v>
      </c>
      <c r="C3187">
        <v>530669</v>
      </c>
      <c r="D3187" t="s">
        <v>360</v>
      </c>
      <c r="E3187" t="s">
        <v>343</v>
      </c>
    </row>
    <row r="3188" spans="2:5">
      <c r="B3188" t="s">
        <v>5010</v>
      </c>
      <c r="C3188">
        <v>530331</v>
      </c>
      <c r="D3188" t="s">
        <v>360</v>
      </c>
      <c r="E3188" t="s">
        <v>375</v>
      </c>
    </row>
    <row r="3189" spans="2:5">
      <c r="B3189" t="s">
        <v>5011</v>
      </c>
      <c r="C3189">
        <v>780007</v>
      </c>
      <c r="D3189" t="s">
        <v>360</v>
      </c>
      <c r="E3189" t="s">
        <v>451</v>
      </c>
    </row>
    <row r="3190" spans="2:5">
      <c r="B3190" t="s">
        <v>5012</v>
      </c>
      <c r="C3190">
        <v>526247</v>
      </c>
      <c r="D3190" t="s">
        <v>5013</v>
      </c>
      <c r="E3190" t="s">
        <v>520</v>
      </c>
    </row>
    <row r="3191" spans="2:5">
      <c r="B3191" t="s">
        <v>5014</v>
      </c>
      <c r="C3191">
        <v>500540</v>
      </c>
      <c r="D3191" t="s">
        <v>5015</v>
      </c>
      <c r="E3191" t="s">
        <v>368</v>
      </c>
    </row>
    <row r="3192" spans="2:5">
      <c r="B3192" t="s">
        <v>5016</v>
      </c>
      <c r="C3192">
        <v>513291</v>
      </c>
      <c r="D3192" t="s">
        <v>360</v>
      </c>
      <c r="E3192" t="s">
        <v>683</v>
      </c>
    </row>
    <row r="3193" spans="2:5">
      <c r="B3193" t="s">
        <v>5017</v>
      </c>
      <c r="C3193">
        <v>514354</v>
      </c>
      <c r="D3193" t="s">
        <v>5018</v>
      </c>
      <c r="E3193" t="s">
        <v>408</v>
      </c>
    </row>
    <row r="3194" spans="2:5">
      <c r="B3194" t="s">
        <v>5019</v>
      </c>
      <c r="C3194">
        <v>509835</v>
      </c>
      <c r="D3194" t="s">
        <v>360</v>
      </c>
      <c r="E3194" t="s">
        <v>375</v>
      </c>
    </row>
    <row r="3195" spans="2:5">
      <c r="B3195" t="s">
        <v>5020</v>
      </c>
      <c r="C3195">
        <v>531802</v>
      </c>
      <c r="D3195" t="s">
        <v>360</v>
      </c>
      <c r="E3195" t="s">
        <v>446</v>
      </c>
    </row>
    <row r="3196" spans="2:5">
      <c r="B3196" t="s">
        <v>5021</v>
      </c>
      <c r="C3196">
        <v>509077</v>
      </c>
      <c r="D3196" t="s">
        <v>5022</v>
      </c>
      <c r="E3196" t="s">
        <v>1962</v>
      </c>
    </row>
    <row r="3197" spans="2:5">
      <c r="B3197" t="s">
        <v>5023</v>
      </c>
      <c r="C3197">
        <v>533274</v>
      </c>
      <c r="D3197" t="s">
        <v>5024</v>
      </c>
      <c r="E3197" t="s">
        <v>446</v>
      </c>
    </row>
    <row r="3198" spans="2:5">
      <c r="B3198" t="s">
        <v>5025</v>
      </c>
      <c r="C3198">
        <v>540293</v>
      </c>
      <c r="D3198" t="s">
        <v>5026</v>
      </c>
      <c r="E3198" t="s">
        <v>715</v>
      </c>
    </row>
    <row r="3199" spans="2:5">
      <c r="B3199" t="s">
        <v>5027</v>
      </c>
      <c r="C3199">
        <v>519262</v>
      </c>
      <c r="D3199" t="s">
        <v>360</v>
      </c>
      <c r="E3199" t="s">
        <v>558</v>
      </c>
    </row>
    <row r="3200" spans="2:5">
      <c r="B3200" t="s">
        <v>5028</v>
      </c>
      <c r="C3200">
        <v>531246</v>
      </c>
      <c r="D3200" t="s">
        <v>360</v>
      </c>
      <c r="E3200" t="s">
        <v>609</v>
      </c>
    </row>
    <row r="3201" spans="2:5">
      <c r="B3201" t="s">
        <v>5029</v>
      </c>
      <c r="C3201">
        <v>530589</v>
      </c>
      <c r="D3201" t="s">
        <v>360</v>
      </c>
      <c r="E3201" t="s">
        <v>480</v>
      </c>
    </row>
    <row r="3202" spans="2:5">
      <c r="B3202" t="s">
        <v>5030</v>
      </c>
      <c r="C3202">
        <v>535514</v>
      </c>
      <c r="D3202" t="s">
        <v>360</v>
      </c>
      <c r="E3202" t="s">
        <v>377</v>
      </c>
    </row>
    <row r="3203" spans="2:5">
      <c r="B3203" t="s">
        <v>5031</v>
      </c>
      <c r="C3203">
        <v>540404</v>
      </c>
      <c r="D3203" t="s">
        <v>360</v>
      </c>
      <c r="E3203" t="s">
        <v>558</v>
      </c>
    </row>
    <row r="3204" spans="2:5">
      <c r="B3204" t="s">
        <v>5032</v>
      </c>
      <c r="C3204">
        <v>532748</v>
      </c>
      <c r="D3204" t="s">
        <v>5033</v>
      </c>
      <c r="E3204" t="s">
        <v>363</v>
      </c>
    </row>
    <row r="3205" spans="2:5">
      <c r="B3205" t="s">
        <v>5034</v>
      </c>
      <c r="C3205">
        <v>519299</v>
      </c>
      <c r="D3205" t="s">
        <v>360</v>
      </c>
      <c r="E3205" t="s">
        <v>609</v>
      </c>
    </row>
    <row r="3206" spans="2:5">
      <c r="B3206" t="s">
        <v>5035</v>
      </c>
      <c r="C3206">
        <v>530695</v>
      </c>
      <c r="D3206" t="s">
        <v>360</v>
      </c>
      <c r="E3206" t="s">
        <v>446</v>
      </c>
    </row>
    <row r="3207" spans="2:5">
      <c r="B3207" t="s">
        <v>5036</v>
      </c>
      <c r="C3207">
        <v>500337</v>
      </c>
      <c r="D3207" t="s">
        <v>5037</v>
      </c>
      <c r="E3207" t="s">
        <v>343</v>
      </c>
    </row>
    <row r="3208" spans="2:5">
      <c r="B3208" t="s">
        <v>5038</v>
      </c>
      <c r="C3208">
        <v>521149</v>
      </c>
      <c r="D3208" t="s">
        <v>360</v>
      </c>
      <c r="E3208" t="s">
        <v>446</v>
      </c>
    </row>
    <row r="3209" spans="2:5">
      <c r="B3209" t="s">
        <v>5039</v>
      </c>
      <c r="C3209">
        <v>521149</v>
      </c>
      <c r="D3209" t="s">
        <v>360</v>
      </c>
      <c r="E3209" t="s">
        <v>446</v>
      </c>
    </row>
    <row r="3210" spans="2:5">
      <c r="B3210" t="s">
        <v>5040</v>
      </c>
      <c r="C3210">
        <v>531735</v>
      </c>
      <c r="D3210" t="s">
        <v>360</v>
      </c>
      <c r="E3210" t="s">
        <v>377</v>
      </c>
    </row>
    <row r="3211" spans="2:5">
      <c r="B3211" t="s">
        <v>5041</v>
      </c>
      <c r="C3211">
        <v>500338</v>
      </c>
      <c r="D3211" t="s">
        <v>5042</v>
      </c>
      <c r="E3211" t="s">
        <v>373</v>
      </c>
    </row>
    <row r="3212" spans="2:5">
      <c r="B3212" t="s">
        <v>5043</v>
      </c>
      <c r="C3212">
        <v>512217</v>
      </c>
      <c r="D3212" t="s">
        <v>360</v>
      </c>
      <c r="E3212" t="s">
        <v>377</v>
      </c>
    </row>
    <row r="3213" spans="2:5">
      <c r="B3213" t="s">
        <v>5044</v>
      </c>
      <c r="C3213">
        <v>531688</v>
      </c>
      <c r="D3213" t="s">
        <v>360</v>
      </c>
      <c r="E3213" t="s">
        <v>453</v>
      </c>
    </row>
    <row r="3214" spans="2:5">
      <c r="B3214" t="s">
        <v>5045</v>
      </c>
      <c r="C3214">
        <v>531688</v>
      </c>
      <c r="D3214" t="s">
        <v>360</v>
      </c>
      <c r="E3214" t="s">
        <v>453</v>
      </c>
    </row>
    <row r="3215" spans="2:5">
      <c r="B3215" t="s">
        <v>5046</v>
      </c>
      <c r="C3215" t="s">
        <v>360</v>
      </c>
      <c r="D3215" t="s">
        <v>5047</v>
      </c>
      <c r="E3215" t="s">
        <v>371</v>
      </c>
    </row>
    <row r="3216" spans="2:5">
      <c r="B3216" t="s">
        <v>5048</v>
      </c>
      <c r="C3216">
        <v>539359</v>
      </c>
      <c r="D3216" t="s">
        <v>360</v>
      </c>
      <c r="E3216" t="s">
        <v>1279</v>
      </c>
    </row>
    <row r="3217" spans="2:5">
      <c r="B3217" t="s">
        <v>5049</v>
      </c>
      <c r="C3217">
        <v>532387</v>
      </c>
      <c r="D3217" t="s">
        <v>5050</v>
      </c>
      <c r="E3217" t="s">
        <v>363</v>
      </c>
    </row>
    <row r="3218" spans="2:5">
      <c r="B3218" t="s">
        <v>5051</v>
      </c>
      <c r="C3218">
        <v>524580</v>
      </c>
      <c r="D3218" t="s">
        <v>360</v>
      </c>
      <c r="E3218" t="s">
        <v>382</v>
      </c>
    </row>
    <row r="3219" spans="2:5">
      <c r="B3219" t="s">
        <v>5052</v>
      </c>
      <c r="C3219">
        <v>511557</v>
      </c>
      <c r="D3219" t="s">
        <v>360</v>
      </c>
      <c r="E3219" t="s">
        <v>781</v>
      </c>
    </row>
    <row r="3220" spans="2:5">
      <c r="B3220" t="s">
        <v>5053</v>
      </c>
      <c r="C3220">
        <v>512105</v>
      </c>
      <c r="D3220" t="s">
        <v>360</v>
      </c>
      <c r="E3220" t="s">
        <v>781</v>
      </c>
    </row>
    <row r="3221" spans="2:5">
      <c r="B3221" t="s">
        <v>5054</v>
      </c>
      <c r="C3221">
        <v>526009</v>
      </c>
      <c r="D3221" t="s">
        <v>360</v>
      </c>
      <c r="E3221" t="s">
        <v>382</v>
      </c>
    </row>
    <row r="3222" spans="2:5">
      <c r="B3222" t="s">
        <v>5055</v>
      </c>
      <c r="C3222">
        <v>526009</v>
      </c>
      <c r="D3222" t="s">
        <v>360</v>
      </c>
      <c r="E3222" t="s">
        <v>382</v>
      </c>
    </row>
    <row r="3223" spans="2:5">
      <c r="B3223" t="s">
        <v>5056</v>
      </c>
      <c r="C3223" t="s">
        <v>360</v>
      </c>
      <c r="D3223" t="s">
        <v>5057</v>
      </c>
      <c r="E3223" t="s">
        <v>382</v>
      </c>
    </row>
    <row r="3224" spans="2:5">
      <c r="B3224" t="s">
        <v>5058</v>
      </c>
      <c r="C3224">
        <v>500459</v>
      </c>
      <c r="D3224" t="s">
        <v>5059</v>
      </c>
      <c r="E3224" t="s">
        <v>542</v>
      </c>
    </row>
    <row r="3225" spans="2:5">
      <c r="B3225" t="s">
        <v>5060</v>
      </c>
      <c r="C3225">
        <v>531265</v>
      </c>
      <c r="D3225" t="s">
        <v>360</v>
      </c>
      <c r="E3225" t="s">
        <v>440</v>
      </c>
    </row>
    <row r="3226" spans="2:5">
      <c r="B3226" t="s">
        <v>5061</v>
      </c>
      <c r="C3226" t="s">
        <v>360</v>
      </c>
      <c r="D3226" t="s">
        <v>5062</v>
      </c>
      <c r="E3226" t="s">
        <v>371</v>
      </c>
    </row>
    <row r="3227" spans="2:5">
      <c r="B3227" t="s">
        <v>5063</v>
      </c>
      <c r="C3227">
        <v>526494</v>
      </c>
      <c r="D3227" t="s">
        <v>360</v>
      </c>
      <c r="E3227" t="s">
        <v>555</v>
      </c>
    </row>
    <row r="3228" spans="2:5">
      <c r="B3228" t="s">
        <v>5064</v>
      </c>
      <c r="C3228">
        <v>590057</v>
      </c>
      <c r="D3228" t="s">
        <v>5065</v>
      </c>
      <c r="E3228" t="s">
        <v>453</v>
      </c>
    </row>
    <row r="3229" spans="2:5">
      <c r="B3229" t="s">
        <v>5066</v>
      </c>
      <c r="C3229">
        <v>590057</v>
      </c>
      <c r="D3229" t="s">
        <v>5065</v>
      </c>
      <c r="E3229" t="s">
        <v>453</v>
      </c>
    </row>
    <row r="3230" spans="2:5">
      <c r="B3230" t="s">
        <v>5067</v>
      </c>
      <c r="C3230">
        <v>540703</v>
      </c>
      <c r="D3230" t="s">
        <v>360</v>
      </c>
      <c r="E3230" t="s">
        <v>444</v>
      </c>
    </row>
    <row r="3231" spans="2:5">
      <c r="B3231" t="s">
        <v>5068</v>
      </c>
      <c r="C3231">
        <v>532647</v>
      </c>
      <c r="D3231" t="s">
        <v>5069</v>
      </c>
      <c r="E3231" t="s">
        <v>474</v>
      </c>
    </row>
    <row r="3232" spans="2:5">
      <c r="B3232" t="s">
        <v>5070</v>
      </c>
      <c r="C3232">
        <v>532647</v>
      </c>
      <c r="D3232" t="s">
        <v>5069</v>
      </c>
      <c r="E3232" t="s">
        <v>474</v>
      </c>
    </row>
    <row r="3233" spans="2:5">
      <c r="B3233" t="s">
        <v>5071</v>
      </c>
      <c r="C3233">
        <v>534675</v>
      </c>
      <c r="D3233" t="s">
        <v>5072</v>
      </c>
      <c r="E3233" t="s">
        <v>446</v>
      </c>
    </row>
    <row r="3234" spans="2:5">
      <c r="B3234" t="s">
        <v>5073</v>
      </c>
      <c r="C3234">
        <v>505502</v>
      </c>
      <c r="D3234" t="s">
        <v>360</v>
      </c>
      <c r="E3234" t="s">
        <v>343</v>
      </c>
    </row>
    <row r="3235" spans="2:5">
      <c r="B3235" t="s">
        <v>5074</v>
      </c>
      <c r="C3235">
        <v>526801</v>
      </c>
      <c r="D3235" t="s">
        <v>5075</v>
      </c>
      <c r="E3235" t="s">
        <v>758</v>
      </c>
    </row>
    <row r="3236" spans="2:5">
      <c r="B3236" t="s">
        <v>5076</v>
      </c>
      <c r="C3236">
        <v>540544</v>
      </c>
      <c r="D3236" t="s">
        <v>5077</v>
      </c>
      <c r="E3236" t="s">
        <v>758</v>
      </c>
    </row>
    <row r="3237" spans="2:5">
      <c r="B3237" t="s">
        <v>5078</v>
      </c>
      <c r="C3237">
        <v>532524</v>
      </c>
      <c r="D3237" t="s">
        <v>5079</v>
      </c>
      <c r="E3237" t="s">
        <v>499</v>
      </c>
    </row>
    <row r="3238" spans="2:5">
      <c r="B3238" t="s">
        <v>5080</v>
      </c>
      <c r="C3238">
        <v>533344</v>
      </c>
      <c r="D3238" t="s">
        <v>5081</v>
      </c>
      <c r="E3238" t="s">
        <v>377</v>
      </c>
    </row>
    <row r="3239" spans="2:5">
      <c r="B3239" t="s">
        <v>5082</v>
      </c>
      <c r="C3239">
        <v>532524</v>
      </c>
      <c r="D3239" t="s">
        <v>5079</v>
      </c>
      <c r="E3239" t="s">
        <v>499</v>
      </c>
    </row>
    <row r="3240" spans="2:5">
      <c r="B3240" t="s">
        <v>5083</v>
      </c>
      <c r="C3240">
        <v>539006</v>
      </c>
      <c r="D3240" t="s">
        <v>360</v>
      </c>
      <c r="E3240" t="s">
        <v>1279</v>
      </c>
    </row>
    <row r="3241" spans="2:5">
      <c r="B3241" t="s">
        <v>5084</v>
      </c>
      <c r="C3241">
        <v>509220</v>
      </c>
      <c r="D3241" t="s">
        <v>5085</v>
      </c>
      <c r="E3241" t="s">
        <v>382</v>
      </c>
    </row>
    <row r="3242" spans="2:5">
      <c r="B3242" t="s">
        <v>5086</v>
      </c>
      <c r="C3242">
        <v>539785</v>
      </c>
      <c r="D3242" t="s">
        <v>5087</v>
      </c>
      <c r="E3242" t="s">
        <v>354</v>
      </c>
    </row>
    <row r="3243" spans="2:5">
      <c r="B3243" t="s">
        <v>5088</v>
      </c>
      <c r="C3243">
        <v>512591</v>
      </c>
      <c r="D3243" t="s">
        <v>360</v>
      </c>
      <c r="E3243" t="s">
        <v>382</v>
      </c>
    </row>
    <row r="3244" spans="2:5">
      <c r="B3244" t="s">
        <v>5089</v>
      </c>
      <c r="C3244" t="s">
        <v>360</v>
      </c>
      <c r="D3244" t="s">
        <v>5090</v>
      </c>
      <c r="E3244" t="s">
        <v>371</v>
      </c>
    </row>
    <row r="3245" spans="2:5">
      <c r="B3245" t="s">
        <v>5091</v>
      </c>
      <c r="C3245">
        <v>512461</v>
      </c>
      <c r="D3245" t="s">
        <v>360</v>
      </c>
      <c r="E3245" t="s">
        <v>382</v>
      </c>
    </row>
    <row r="3246" spans="2:5">
      <c r="B3246" t="s">
        <v>5092</v>
      </c>
      <c r="C3246">
        <v>512099</v>
      </c>
      <c r="D3246" t="s">
        <v>360</v>
      </c>
      <c r="E3246" t="s">
        <v>474</v>
      </c>
    </row>
    <row r="3247" spans="2:5">
      <c r="B3247" t="s">
        <v>5093</v>
      </c>
      <c r="C3247">
        <v>532693</v>
      </c>
      <c r="D3247" t="s">
        <v>5094</v>
      </c>
      <c r="E3247" t="s">
        <v>758</v>
      </c>
    </row>
    <row r="3248" spans="2:5">
      <c r="B3248" t="s">
        <v>5095</v>
      </c>
      <c r="C3248">
        <v>533295</v>
      </c>
      <c r="D3248" t="s">
        <v>5096</v>
      </c>
      <c r="E3248" t="s">
        <v>678</v>
      </c>
    </row>
    <row r="3249" spans="2:5">
      <c r="B3249" t="s">
        <v>5097</v>
      </c>
      <c r="C3249">
        <v>506852</v>
      </c>
      <c r="D3249" t="s">
        <v>360</v>
      </c>
      <c r="E3249" t="s">
        <v>408</v>
      </c>
    </row>
    <row r="3250" spans="2:5">
      <c r="B3250" t="s">
        <v>5098</v>
      </c>
      <c r="C3250">
        <v>506618</v>
      </c>
      <c r="D3250" t="s">
        <v>5099</v>
      </c>
      <c r="E3250" t="s">
        <v>504</v>
      </c>
    </row>
    <row r="3251" spans="2:5">
      <c r="B3251" t="s">
        <v>5100</v>
      </c>
      <c r="C3251">
        <v>500346</v>
      </c>
      <c r="D3251" t="s">
        <v>360</v>
      </c>
      <c r="E3251" t="s">
        <v>506</v>
      </c>
    </row>
    <row r="3252" spans="2:5">
      <c r="B3252" t="s">
        <v>5101</v>
      </c>
      <c r="C3252">
        <v>532461</v>
      </c>
      <c r="D3252" t="s">
        <v>5102</v>
      </c>
      <c r="E3252" t="s">
        <v>678</v>
      </c>
    </row>
    <row r="3253" spans="2:5">
      <c r="B3253" t="s">
        <v>5103</v>
      </c>
      <c r="C3253">
        <v>532891</v>
      </c>
      <c r="D3253" t="s">
        <v>5104</v>
      </c>
      <c r="E3253" t="s">
        <v>446</v>
      </c>
    </row>
    <row r="3254" spans="2:5">
      <c r="B3254" t="s">
        <v>5105</v>
      </c>
      <c r="C3254">
        <v>540492</v>
      </c>
      <c r="D3254" t="s">
        <v>360</v>
      </c>
      <c r="E3254" t="s">
        <v>382</v>
      </c>
    </row>
    <row r="3255" spans="2:5">
      <c r="B3255" t="s">
        <v>5106</v>
      </c>
      <c r="C3255">
        <v>523315</v>
      </c>
      <c r="D3255" t="s">
        <v>360</v>
      </c>
      <c r="E3255" t="s">
        <v>354</v>
      </c>
    </row>
    <row r="3256" spans="2:5">
      <c r="B3256" t="s">
        <v>5107</v>
      </c>
      <c r="C3256">
        <v>538993</v>
      </c>
      <c r="D3256" t="s">
        <v>360</v>
      </c>
      <c r="E3256" t="s">
        <v>446</v>
      </c>
    </row>
    <row r="3257" spans="2:5">
      <c r="B3257" t="s">
        <v>5108</v>
      </c>
      <c r="C3257">
        <v>540159</v>
      </c>
      <c r="D3257" t="s">
        <v>360</v>
      </c>
      <c r="E3257" t="s">
        <v>363</v>
      </c>
    </row>
    <row r="3258" spans="2:5">
      <c r="B3258" t="s">
        <v>5109</v>
      </c>
      <c r="C3258">
        <v>538647</v>
      </c>
      <c r="D3258" t="s">
        <v>360</v>
      </c>
      <c r="E3258" t="s">
        <v>377</v>
      </c>
    </row>
    <row r="3259" spans="2:5">
      <c r="B3259" t="s">
        <v>5110</v>
      </c>
      <c r="C3259" t="s">
        <v>360</v>
      </c>
      <c r="D3259" t="s">
        <v>5111</v>
      </c>
      <c r="E3259" t="s">
        <v>371</v>
      </c>
    </row>
    <row r="3260" spans="2:5">
      <c r="B3260" t="s">
        <v>5112</v>
      </c>
      <c r="C3260">
        <v>531562</v>
      </c>
      <c r="D3260" t="s">
        <v>360</v>
      </c>
      <c r="E3260" t="s">
        <v>375</v>
      </c>
    </row>
    <row r="3261" spans="2:5">
      <c r="B3261" t="s">
        <v>5113</v>
      </c>
      <c r="C3261">
        <v>517556</v>
      </c>
      <c r="D3261" t="s">
        <v>5114</v>
      </c>
      <c r="E3261" t="s">
        <v>446</v>
      </c>
    </row>
    <row r="3262" spans="2:5">
      <c r="B3262" t="s">
        <v>5115</v>
      </c>
      <c r="C3262">
        <v>532689</v>
      </c>
      <c r="D3262" t="s">
        <v>5116</v>
      </c>
      <c r="E3262" t="s">
        <v>361</v>
      </c>
    </row>
    <row r="3263" spans="2:5">
      <c r="B3263" t="s">
        <v>5117</v>
      </c>
      <c r="C3263">
        <v>536659</v>
      </c>
      <c r="D3263" t="s">
        <v>360</v>
      </c>
      <c r="E3263" t="s">
        <v>758</v>
      </c>
    </row>
    <row r="3264" spans="2:5">
      <c r="B3264" t="s">
        <v>5118</v>
      </c>
      <c r="C3264">
        <v>534109</v>
      </c>
      <c r="D3264" t="s">
        <v>360</v>
      </c>
      <c r="E3264" t="s">
        <v>377</v>
      </c>
    </row>
    <row r="3265" spans="2:5">
      <c r="B3265" t="s">
        <v>5119</v>
      </c>
      <c r="C3265">
        <v>511116</v>
      </c>
      <c r="D3265" t="s">
        <v>360</v>
      </c>
      <c r="E3265" t="s">
        <v>1303</v>
      </c>
    </row>
    <row r="3266" spans="2:5">
      <c r="B3266" t="s">
        <v>5120</v>
      </c>
      <c r="C3266">
        <v>538596</v>
      </c>
      <c r="D3266" t="s">
        <v>360</v>
      </c>
      <c r="E3266" t="s">
        <v>446</v>
      </c>
    </row>
    <row r="3267" spans="2:5">
      <c r="B3267" t="s">
        <v>5121</v>
      </c>
      <c r="C3267">
        <v>530281</v>
      </c>
      <c r="D3267" t="s">
        <v>360</v>
      </c>
      <c r="E3267" t="s">
        <v>555</v>
      </c>
    </row>
    <row r="3268" spans="2:5">
      <c r="B3268" t="s">
        <v>5122</v>
      </c>
      <c r="C3268">
        <v>530281</v>
      </c>
      <c r="D3268" t="s">
        <v>360</v>
      </c>
      <c r="E3268" t="s">
        <v>555</v>
      </c>
    </row>
    <row r="3269" spans="2:5">
      <c r="B3269" t="s">
        <v>5123</v>
      </c>
      <c r="C3269">
        <v>590099</v>
      </c>
      <c r="D3269" t="s">
        <v>5124</v>
      </c>
      <c r="E3269" t="s">
        <v>343</v>
      </c>
    </row>
    <row r="3270" spans="2:5">
      <c r="B3270" t="s">
        <v>5125</v>
      </c>
      <c r="C3270">
        <v>590110</v>
      </c>
      <c r="D3270" t="s">
        <v>5126</v>
      </c>
      <c r="E3270" t="s">
        <v>343</v>
      </c>
    </row>
    <row r="3271" spans="2:5">
      <c r="B3271" t="s">
        <v>5127</v>
      </c>
      <c r="C3271">
        <v>539978</v>
      </c>
      <c r="D3271" t="s">
        <v>5128</v>
      </c>
      <c r="E3271" t="s">
        <v>349</v>
      </c>
    </row>
    <row r="3272" spans="2:5">
      <c r="B3272" t="s">
        <v>5129</v>
      </c>
      <c r="C3272">
        <v>539962</v>
      </c>
      <c r="D3272" t="s">
        <v>360</v>
      </c>
      <c r="E3272" t="s">
        <v>377</v>
      </c>
    </row>
    <row r="3273" spans="2:5">
      <c r="B3273" t="s">
        <v>5130</v>
      </c>
      <c r="C3273">
        <v>535719</v>
      </c>
      <c r="D3273" t="s">
        <v>360</v>
      </c>
      <c r="E3273" t="s">
        <v>346</v>
      </c>
    </row>
    <row r="3274" spans="2:5">
      <c r="B3274" t="s">
        <v>5131</v>
      </c>
      <c r="C3274">
        <v>535719</v>
      </c>
      <c r="D3274" t="s">
        <v>360</v>
      </c>
      <c r="E3274" t="s">
        <v>346</v>
      </c>
    </row>
    <row r="3275" spans="2:5">
      <c r="B3275" t="s">
        <v>5132</v>
      </c>
      <c r="C3275">
        <v>539678</v>
      </c>
      <c r="D3275" t="s">
        <v>5133</v>
      </c>
      <c r="E3275" t="s">
        <v>453</v>
      </c>
    </row>
    <row r="3276" spans="2:5">
      <c r="B3276" t="s">
        <v>5134</v>
      </c>
      <c r="C3276">
        <v>532866</v>
      </c>
      <c r="D3276" t="s">
        <v>5135</v>
      </c>
      <c r="E3276" t="s">
        <v>346</v>
      </c>
    </row>
    <row r="3277" spans="2:5">
      <c r="B3277" t="s">
        <v>5136</v>
      </c>
      <c r="C3277">
        <v>532024</v>
      </c>
      <c r="D3277" t="s">
        <v>360</v>
      </c>
      <c r="E3277" t="s">
        <v>343</v>
      </c>
    </row>
    <row r="3278" spans="2:5">
      <c r="B3278" t="s">
        <v>5137</v>
      </c>
      <c r="C3278">
        <v>536456</v>
      </c>
      <c r="D3278" t="s">
        <v>360</v>
      </c>
      <c r="E3278" t="s">
        <v>558</v>
      </c>
    </row>
    <row r="3279" spans="2:5">
      <c r="B3279" t="s">
        <v>5138</v>
      </c>
      <c r="C3279">
        <v>509845</v>
      </c>
      <c r="D3279" t="s">
        <v>360</v>
      </c>
      <c r="E3279" t="s">
        <v>446</v>
      </c>
    </row>
    <row r="3280" spans="2:5">
      <c r="B3280" t="s">
        <v>5139</v>
      </c>
      <c r="C3280" t="s">
        <v>360</v>
      </c>
      <c r="D3280" t="s">
        <v>5140</v>
      </c>
      <c r="E3280" t="s">
        <v>371</v>
      </c>
    </row>
    <row r="3281" spans="2:5">
      <c r="B3281" t="s">
        <v>5141</v>
      </c>
      <c r="C3281">
        <v>533284</v>
      </c>
      <c r="D3281" t="s">
        <v>5142</v>
      </c>
      <c r="E3281" t="s">
        <v>758</v>
      </c>
    </row>
    <row r="3282" spans="2:5">
      <c r="B3282" t="s">
        <v>5143</v>
      </c>
      <c r="C3282">
        <v>530917</v>
      </c>
      <c r="D3282" t="s">
        <v>360</v>
      </c>
      <c r="E3282" t="s">
        <v>781</v>
      </c>
    </row>
    <row r="3283" spans="2:5">
      <c r="B3283" t="s">
        <v>5144</v>
      </c>
      <c r="C3283">
        <v>517447</v>
      </c>
      <c r="D3283" t="s">
        <v>5145</v>
      </c>
      <c r="E3283" t="s">
        <v>453</v>
      </c>
    </row>
    <row r="3284" spans="2:5">
      <c r="B3284" t="s">
        <v>5146</v>
      </c>
      <c r="C3284">
        <v>517447</v>
      </c>
      <c r="D3284" t="s">
        <v>5145</v>
      </c>
      <c r="E3284" t="s">
        <v>453</v>
      </c>
    </row>
    <row r="3285" spans="2:5">
      <c r="B3285" t="s">
        <v>5147</v>
      </c>
      <c r="C3285">
        <v>532735</v>
      </c>
      <c r="D3285" t="s">
        <v>5148</v>
      </c>
      <c r="E3285" t="s">
        <v>346</v>
      </c>
    </row>
    <row r="3286" spans="2:5">
      <c r="B3286" t="s">
        <v>5149</v>
      </c>
      <c r="C3286">
        <v>512565</v>
      </c>
      <c r="D3286" t="s">
        <v>360</v>
      </c>
      <c r="E3286" t="s">
        <v>558</v>
      </c>
    </row>
    <row r="3287" spans="2:5">
      <c r="B3287" t="s">
        <v>5150</v>
      </c>
      <c r="C3287">
        <v>538119</v>
      </c>
      <c r="D3287" t="s">
        <v>360</v>
      </c>
      <c r="E3287" t="s">
        <v>375</v>
      </c>
    </row>
    <row r="3288" spans="2:5">
      <c r="B3288" t="s">
        <v>5151</v>
      </c>
      <c r="C3288">
        <v>524502</v>
      </c>
      <c r="D3288" t="s">
        <v>360</v>
      </c>
      <c r="E3288" t="s">
        <v>1526</v>
      </c>
    </row>
    <row r="3289" spans="2:5">
      <c r="B3289" t="s">
        <v>5152</v>
      </c>
      <c r="C3289">
        <v>524502</v>
      </c>
      <c r="D3289" t="s">
        <v>360</v>
      </c>
      <c r="E3289" t="s">
        <v>1526</v>
      </c>
    </row>
    <row r="3290" spans="2:5">
      <c r="B3290" t="s">
        <v>5153</v>
      </c>
      <c r="C3290">
        <v>502271</v>
      </c>
      <c r="D3290" t="s">
        <v>360</v>
      </c>
      <c r="E3290" t="s">
        <v>545</v>
      </c>
    </row>
    <row r="3291" spans="2:5">
      <c r="B3291" t="s">
        <v>5154</v>
      </c>
      <c r="C3291">
        <v>520073</v>
      </c>
      <c r="D3291" t="s">
        <v>360</v>
      </c>
      <c r="E3291" t="s">
        <v>715</v>
      </c>
    </row>
    <row r="3292" spans="2:5">
      <c r="B3292" t="s">
        <v>5155</v>
      </c>
      <c r="C3292">
        <v>590070</v>
      </c>
      <c r="D3292" t="s">
        <v>5156</v>
      </c>
      <c r="E3292" t="s">
        <v>363</v>
      </c>
    </row>
    <row r="3293" spans="2:5">
      <c r="B3293" t="s">
        <v>5157</v>
      </c>
      <c r="C3293">
        <v>590070</v>
      </c>
      <c r="D3293" t="s">
        <v>5156</v>
      </c>
      <c r="E3293" t="s">
        <v>363</v>
      </c>
    </row>
    <row r="3294" spans="2:5">
      <c r="B3294" t="s">
        <v>5158</v>
      </c>
      <c r="C3294">
        <v>532692</v>
      </c>
      <c r="D3294" t="s">
        <v>5159</v>
      </c>
      <c r="E3294" t="s">
        <v>555</v>
      </c>
    </row>
    <row r="3295" spans="2:5">
      <c r="B3295" t="s">
        <v>5160</v>
      </c>
      <c r="C3295">
        <v>539673</v>
      </c>
      <c r="D3295" t="s">
        <v>360</v>
      </c>
      <c r="E3295" t="s">
        <v>394</v>
      </c>
    </row>
    <row r="3296" spans="2:5">
      <c r="B3296" t="s">
        <v>5161</v>
      </c>
      <c r="C3296">
        <v>531273</v>
      </c>
      <c r="D3296" t="s">
        <v>360</v>
      </c>
      <c r="E3296" t="s">
        <v>446</v>
      </c>
    </row>
    <row r="3297" spans="2:5">
      <c r="B3297" t="s">
        <v>5162</v>
      </c>
      <c r="C3297">
        <v>531273</v>
      </c>
      <c r="D3297" t="s">
        <v>360</v>
      </c>
      <c r="E3297" t="s">
        <v>446</v>
      </c>
    </row>
    <row r="3298" spans="2:5">
      <c r="B3298" t="s">
        <v>5163</v>
      </c>
      <c r="C3298">
        <v>539814</v>
      </c>
      <c r="D3298" t="s">
        <v>360</v>
      </c>
      <c r="E3298" t="s">
        <v>382</v>
      </c>
    </row>
    <row r="3299" spans="2:5">
      <c r="B3299" t="s">
        <v>5164</v>
      </c>
      <c r="C3299">
        <v>540125</v>
      </c>
      <c r="D3299" t="s">
        <v>360</v>
      </c>
      <c r="E3299" t="s">
        <v>474</v>
      </c>
    </row>
    <row r="3300" spans="2:5">
      <c r="B3300" t="s">
        <v>5165</v>
      </c>
      <c r="C3300">
        <v>532497</v>
      </c>
      <c r="D3300" t="s">
        <v>5166</v>
      </c>
      <c r="E3300" t="s">
        <v>991</v>
      </c>
    </row>
    <row r="3301" spans="2:5">
      <c r="B3301" t="s">
        <v>5167</v>
      </c>
      <c r="C3301">
        <v>531412</v>
      </c>
      <c r="D3301" t="s">
        <v>360</v>
      </c>
      <c r="E3301" t="s">
        <v>542</v>
      </c>
    </row>
    <row r="3302" spans="2:5">
      <c r="B3302" t="s">
        <v>5168</v>
      </c>
      <c r="C3302">
        <v>531412</v>
      </c>
      <c r="D3302" t="s">
        <v>360</v>
      </c>
      <c r="E3302" t="s">
        <v>542</v>
      </c>
    </row>
    <row r="3303" spans="2:5">
      <c r="B3303" t="s">
        <v>5169</v>
      </c>
      <c r="C3303">
        <v>539837</v>
      </c>
      <c r="D3303" t="s">
        <v>360</v>
      </c>
      <c r="E3303" t="s">
        <v>545</v>
      </c>
    </row>
    <row r="3304" spans="2:5">
      <c r="B3304" t="s">
        <v>5170</v>
      </c>
      <c r="C3304">
        <v>526813</v>
      </c>
      <c r="D3304" t="s">
        <v>360</v>
      </c>
      <c r="E3304" t="s">
        <v>2530</v>
      </c>
    </row>
    <row r="3305" spans="2:5">
      <c r="B3305" t="s">
        <v>5171</v>
      </c>
      <c r="C3305">
        <v>531552</v>
      </c>
      <c r="D3305" t="s">
        <v>360</v>
      </c>
      <c r="E3305" t="s">
        <v>446</v>
      </c>
    </row>
    <row r="3306" spans="2:5">
      <c r="B3306" t="s">
        <v>5172</v>
      </c>
      <c r="C3306">
        <v>538921</v>
      </c>
      <c r="D3306" t="s">
        <v>360</v>
      </c>
      <c r="E3306" t="s">
        <v>558</v>
      </c>
    </row>
    <row r="3307" spans="2:5">
      <c r="B3307" t="s">
        <v>5173</v>
      </c>
      <c r="C3307">
        <v>514316</v>
      </c>
      <c r="D3307" t="s">
        <v>360</v>
      </c>
      <c r="E3307" t="s">
        <v>375</v>
      </c>
    </row>
    <row r="3308" spans="2:5">
      <c r="B3308" t="s">
        <v>5174</v>
      </c>
      <c r="C3308">
        <v>531887</v>
      </c>
      <c r="D3308" t="s">
        <v>360</v>
      </c>
      <c r="E3308" t="s">
        <v>474</v>
      </c>
    </row>
    <row r="3309" spans="2:5">
      <c r="B3309" t="s">
        <v>5175</v>
      </c>
      <c r="C3309">
        <v>540270</v>
      </c>
      <c r="D3309" t="s">
        <v>360</v>
      </c>
      <c r="E3309" t="s">
        <v>382</v>
      </c>
    </row>
    <row r="3310" spans="2:5">
      <c r="B3310" t="s">
        <v>5176</v>
      </c>
      <c r="C3310">
        <v>542649</v>
      </c>
      <c r="D3310" t="s">
        <v>5177</v>
      </c>
      <c r="E3310" t="s">
        <v>5178</v>
      </c>
    </row>
    <row r="3311" spans="2:5">
      <c r="B3311" t="s">
        <v>5179</v>
      </c>
      <c r="C3311">
        <v>500339</v>
      </c>
      <c r="D3311" t="s">
        <v>5180</v>
      </c>
      <c r="E3311" t="s">
        <v>574</v>
      </c>
    </row>
    <row r="3312" spans="2:5">
      <c r="B3312" t="s">
        <v>5181</v>
      </c>
      <c r="C3312">
        <v>532441</v>
      </c>
      <c r="D3312" t="s">
        <v>360</v>
      </c>
      <c r="E3312" t="s">
        <v>375</v>
      </c>
    </row>
    <row r="3313" spans="2:5">
      <c r="B3313" t="s">
        <v>5182</v>
      </c>
      <c r="C3313">
        <v>531694</v>
      </c>
      <c r="D3313" t="s">
        <v>360</v>
      </c>
      <c r="E3313" t="s">
        <v>446</v>
      </c>
    </row>
    <row r="3314" spans="2:5">
      <c r="B3314" t="s">
        <v>5183</v>
      </c>
      <c r="C3314">
        <v>523523</v>
      </c>
      <c r="D3314" t="s">
        <v>5184</v>
      </c>
      <c r="E3314" t="s">
        <v>354</v>
      </c>
    </row>
    <row r="3315" spans="2:5">
      <c r="B3315" t="s">
        <v>5185</v>
      </c>
      <c r="C3315">
        <v>530111</v>
      </c>
      <c r="D3315" t="s">
        <v>360</v>
      </c>
      <c r="E3315" t="s">
        <v>555</v>
      </c>
    </row>
    <row r="3316" spans="2:5">
      <c r="B3316" t="s">
        <v>5186</v>
      </c>
      <c r="C3316">
        <v>530699</v>
      </c>
      <c r="D3316" t="s">
        <v>5187</v>
      </c>
      <c r="E3316" t="s">
        <v>375</v>
      </c>
    </row>
    <row r="3317" spans="2:5">
      <c r="B3317" t="s">
        <v>5188</v>
      </c>
      <c r="C3317">
        <v>532826</v>
      </c>
      <c r="D3317" t="s">
        <v>5189</v>
      </c>
      <c r="E3317" t="s">
        <v>1098</v>
      </c>
    </row>
    <row r="3318" spans="2:5">
      <c r="B3318" t="s">
        <v>5190</v>
      </c>
      <c r="C3318">
        <v>503127</v>
      </c>
      <c r="D3318" t="s">
        <v>360</v>
      </c>
      <c r="E3318" t="s">
        <v>349</v>
      </c>
    </row>
    <row r="3319" spans="2:5">
      <c r="B3319" t="s">
        <v>5191</v>
      </c>
      <c r="C3319">
        <v>532503</v>
      </c>
      <c r="D3319" t="s">
        <v>360</v>
      </c>
      <c r="E3319" t="s">
        <v>375</v>
      </c>
    </row>
    <row r="3320" spans="2:5">
      <c r="B3320" t="s">
        <v>5192</v>
      </c>
      <c r="C3320">
        <v>538707</v>
      </c>
      <c r="D3320" t="s">
        <v>360</v>
      </c>
      <c r="E3320" t="s">
        <v>555</v>
      </c>
    </row>
    <row r="3321" spans="2:5">
      <c r="B3321" t="s">
        <v>5193</v>
      </c>
      <c r="C3321">
        <v>526873</v>
      </c>
      <c r="D3321" t="s">
        <v>360</v>
      </c>
      <c r="E3321" t="s">
        <v>570</v>
      </c>
    </row>
    <row r="3322" spans="2:5">
      <c r="B3322" t="s">
        <v>5194</v>
      </c>
      <c r="C3322">
        <v>530253</v>
      </c>
      <c r="D3322" t="s">
        <v>360</v>
      </c>
      <c r="E3322" t="s">
        <v>683</v>
      </c>
    </row>
    <row r="3323" spans="2:5">
      <c r="B3323" t="s">
        <v>5195</v>
      </c>
      <c r="C3323">
        <v>507962</v>
      </c>
      <c r="D3323" t="s">
        <v>360</v>
      </c>
      <c r="E3323" t="s">
        <v>377</v>
      </c>
    </row>
    <row r="3324" spans="2:5">
      <c r="B3324" t="s">
        <v>5196</v>
      </c>
      <c r="C3324">
        <v>526662</v>
      </c>
      <c r="D3324" t="s">
        <v>5197</v>
      </c>
      <c r="E3324" t="s">
        <v>758</v>
      </c>
    </row>
    <row r="3325" spans="2:5">
      <c r="B3325" t="s">
        <v>5198</v>
      </c>
      <c r="C3325">
        <v>531500</v>
      </c>
      <c r="D3325" t="s">
        <v>5199</v>
      </c>
      <c r="E3325" t="s">
        <v>474</v>
      </c>
    </row>
    <row r="3326" spans="2:5">
      <c r="B3326" t="s">
        <v>5200</v>
      </c>
      <c r="C3326">
        <v>526823</v>
      </c>
      <c r="D3326" t="s">
        <v>360</v>
      </c>
      <c r="E3326" t="s">
        <v>446</v>
      </c>
    </row>
    <row r="3327" spans="2:5">
      <c r="B3327" t="s">
        <v>5201</v>
      </c>
      <c r="C3327">
        <v>514028</v>
      </c>
      <c r="D3327" t="s">
        <v>360</v>
      </c>
      <c r="E3327" t="s">
        <v>375</v>
      </c>
    </row>
    <row r="3328" spans="2:5">
      <c r="B3328" t="s">
        <v>5202</v>
      </c>
      <c r="C3328">
        <v>539495</v>
      </c>
      <c r="D3328" t="s">
        <v>360</v>
      </c>
      <c r="E3328" t="s">
        <v>377</v>
      </c>
    </row>
    <row r="3329" spans="2:5">
      <c r="B3329" t="s">
        <v>5203</v>
      </c>
      <c r="C3329">
        <v>513369</v>
      </c>
      <c r="D3329" t="s">
        <v>360</v>
      </c>
      <c r="E3329" t="s">
        <v>1279</v>
      </c>
    </row>
    <row r="3330" spans="2:5">
      <c r="B3330" t="s">
        <v>5204</v>
      </c>
      <c r="C3330" t="s">
        <v>360</v>
      </c>
      <c r="D3330" t="s">
        <v>5205</v>
      </c>
      <c r="E3330" t="s">
        <v>371</v>
      </c>
    </row>
    <row r="3331" spans="2:5">
      <c r="B3331" t="s">
        <v>5206</v>
      </c>
      <c r="C3331">
        <v>541601</v>
      </c>
      <c r="D3331" t="s">
        <v>360</v>
      </c>
      <c r="E3331" t="s">
        <v>398</v>
      </c>
    </row>
    <row r="3332" spans="2:5">
      <c r="B3332" t="s">
        <v>5207</v>
      </c>
      <c r="C3332">
        <v>522257</v>
      </c>
      <c r="D3332" t="s">
        <v>360</v>
      </c>
      <c r="E3332" t="s">
        <v>368</v>
      </c>
    </row>
    <row r="3333" spans="2:5">
      <c r="B3333" t="s">
        <v>5208</v>
      </c>
      <c r="C3333">
        <v>517522</v>
      </c>
      <c r="D3333" t="s">
        <v>360</v>
      </c>
      <c r="E3333" t="s">
        <v>715</v>
      </c>
    </row>
    <row r="3334" spans="2:5">
      <c r="B3334" t="s">
        <v>5209</v>
      </c>
      <c r="C3334">
        <v>512409</v>
      </c>
      <c r="D3334" t="s">
        <v>360</v>
      </c>
      <c r="E3334" t="s">
        <v>377</v>
      </c>
    </row>
    <row r="3335" spans="2:5">
      <c r="B3335" t="s">
        <v>5210</v>
      </c>
      <c r="C3335" t="s">
        <v>360</v>
      </c>
      <c r="D3335" t="s">
        <v>5211</v>
      </c>
      <c r="E3335" t="s">
        <v>371</v>
      </c>
    </row>
    <row r="3336" spans="2:5">
      <c r="B3336" t="s">
        <v>5212</v>
      </c>
      <c r="C3336">
        <v>500354</v>
      </c>
      <c r="D3336" t="s">
        <v>5213</v>
      </c>
      <c r="E3336" t="s">
        <v>1058</v>
      </c>
    </row>
    <row r="3337" spans="2:5">
      <c r="B3337" t="s">
        <v>5214</v>
      </c>
      <c r="C3337">
        <v>532665</v>
      </c>
      <c r="D3337" t="s">
        <v>5215</v>
      </c>
      <c r="E3337" t="s">
        <v>375</v>
      </c>
    </row>
    <row r="3338" spans="2:5">
      <c r="B3338" t="s">
        <v>5216</v>
      </c>
      <c r="C3338">
        <v>500355</v>
      </c>
      <c r="D3338" t="s">
        <v>5217</v>
      </c>
      <c r="E3338" t="s">
        <v>504</v>
      </c>
    </row>
    <row r="3339" spans="2:5">
      <c r="B3339" t="s">
        <v>5218</v>
      </c>
      <c r="C3339">
        <v>500355</v>
      </c>
      <c r="D3339" t="s">
        <v>5217</v>
      </c>
      <c r="E3339" t="s">
        <v>504</v>
      </c>
    </row>
    <row r="3340" spans="2:5">
      <c r="B3340" t="s">
        <v>5219</v>
      </c>
      <c r="C3340">
        <v>534734</v>
      </c>
      <c r="D3340" t="s">
        <v>360</v>
      </c>
      <c r="E3340" t="s">
        <v>520</v>
      </c>
    </row>
    <row r="3341" spans="2:5">
      <c r="B3341" t="s">
        <v>5220</v>
      </c>
      <c r="C3341">
        <v>522281</v>
      </c>
      <c r="D3341" t="s">
        <v>360</v>
      </c>
      <c r="E3341" t="s">
        <v>658</v>
      </c>
    </row>
    <row r="3342" spans="2:5">
      <c r="B3342" t="s">
        <v>5221</v>
      </c>
      <c r="C3342">
        <v>500357</v>
      </c>
      <c r="D3342" t="s">
        <v>360</v>
      </c>
      <c r="E3342" t="s">
        <v>354</v>
      </c>
    </row>
    <row r="3343" spans="2:5">
      <c r="B3343" t="s">
        <v>5222</v>
      </c>
      <c r="C3343">
        <v>500358</v>
      </c>
      <c r="D3343" t="s">
        <v>360</v>
      </c>
      <c r="E3343" t="s">
        <v>377</v>
      </c>
    </row>
    <row r="3344" spans="2:5">
      <c r="B3344" t="s">
        <v>5223</v>
      </c>
      <c r="C3344">
        <v>524037</v>
      </c>
      <c r="D3344" t="s">
        <v>360</v>
      </c>
      <c r="E3344" t="s">
        <v>868</v>
      </c>
    </row>
    <row r="3345" spans="2:5">
      <c r="B3345" t="s">
        <v>5224</v>
      </c>
      <c r="C3345">
        <v>502587</v>
      </c>
      <c r="D3345" t="s">
        <v>360</v>
      </c>
      <c r="E3345" t="s">
        <v>354</v>
      </c>
    </row>
    <row r="3346" spans="2:5">
      <c r="B3346" t="s">
        <v>5225</v>
      </c>
      <c r="C3346">
        <v>539309</v>
      </c>
      <c r="D3346" t="s">
        <v>5226</v>
      </c>
      <c r="E3346" t="s">
        <v>683</v>
      </c>
    </row>
    <row r="3347" spans="2:5">
      <c r="B3347" t="s">
        <v>5227</v>
      </c>
      <c r="C3347">
        <v>523289</v>
      </c>
      <c r="D3347" t="s">
        <v>360</v>
      </c>
      <c r="E3347" t="s">
        <v>382</v>
      </c>
    </row>
    <row r="3348" spans="2:5">
      <c r="B3348" t="s">
        <v>5228</v>
      </c>
      <c r="C3348">
        <v>515127</v>
      </c>
      <c r="D3348" t="s">
        <v>360</v>
      </c>
      <c r="E3348" t="s">
        <v>382</v>
      </c>
    </row>
    <row r="3349" spans="2:5">
      <c r="B3349" t="s">
        <v>5229</v>
      </c>
      <c r="C3349">
        <v>538540</v>
      </c>
      <c r="D3349" t="s">
        <v>360</v>
      </c>
      <c r="E3349" t="s">
        <v>377</v>
      </c>
    </row>
    <row r="3350" spans="2:5">
      <c r="B3350" t="s">
        <v>5230</v>
      </c>
      <c r="C3350">
        <v>532369</v>
      </c>
      <c r="D3350" t="s">
        <v>5231</v>
      </c>
      <c r="E3350" t="s">
        <v>888</v>
      </c>
    </row>
    <row r="3351" spans="2:5">
      <c r="B3351" t="s">
        <v>5232</v>
      </c>
      <c r="C3351">
        <v>532370</v>
      </c>
      <c r="D3351" t="s">
        <v>5233</v>
      </c>
      <c r="E3351" t="s">
        <v>346</v>
      </c>
    </row>
    <row r="3352" spans="2:5">
      <c r="B3352" t="s">
        <v>5234</v>
      </c>
      <c r="C3352">
        <v>514223</v>
      </c>
      <c r="D3352" t="s">
        <v>5235</v>
      </c>
      <c r="E3352" t="s">
        <v>382</v>
      </c>
    </row>
    <row r="3353" spans="2:5">
      <c r="B3353" t="s">
        <v>5236</v>
      </c>
      <c r="C3353">
        <v>530951</v>
      </c>
      <c r="D3353" t="s">
        <v>360</v>
      </c>
      <c r="E3353" t="s">
        <v>453</v>
      </c>
    </row>
    <row r="3354" spans="2:5">
      <c r="B3354" t="s">
        <v>5237</v>
      </c>
      <c r="C3354">
        <v>532527</v>
      </c>
      <c r="D3354" t="s">
        <v>5238</v>
      </c>
      <c r="E3354" t="s">
        <v>1279</v>
      </c>
    </row>
    <row r="3355" spans="2:5">
      <c r="B3355" t="s">
        <v>5239</v>
      </c>
      <c r="C3355">
        <v>533262</v>
      </c>
      <c r="D3355" t="s">
        <v>5240</v>
      </c>
      <c r="E3355" t="s">
        <v>758</v>
      </c>
    </row>
    <row r="3356" spans="2:5">
      <c r="B3356" t="s">
        <v>5241</v>
      </c>
      <c r="C3356">
        <v>532690</v>
      </c>
      <c r="D3356" t="s">
        <v>5242</v>
      </c>
      <c r="E3356" t="s">
        <v>392</v>
      </c>
    </row>
    <row r="3357" spans="2:5">
      <c r="B3357" t="s">
        <v>5243</v>
      </c>
      <c r="C3357">
        <v>530925</v>
      </c>
      <c r="D3357" t="s">
        <v>360</v>
      </c>
      <c r="E3357" t="s">
        <v>377</v>
      </c>
    </row>
    <row r="3358" spans="2:5">
      <c r="B3358" t="s">
        <v>5244</v>
      </c>
      <c r="C3358">
        <v>507490</v>
      </c>
      <c r="D3358" t="s">
        <v>5245</v>
      </c>
      <c r="E3358" t="s">
        <v>1058</v>
      </c>
    </row>
    <row r="3359" spans="2:5">
      <c r="B3359" t="s">
        <v>5246</v>
      </c>
      <c r="C3359">
        <v>531228</v>
      </c>
      <c r="D3359" t="s">
        <v>360</v>
      </c>
      <c r="E3359" t="s">
        <v>377</v>
      </c>
    </row>
    <row r="3360" spans="2:5">
      <c r="B3360" t="s">
        <v>5247</v>
      </c>
      <c r="C3360">
        <v>532987</v>
      </c>
      <c r="D3360" t="s">
        <v>5248</v>
      </c>
      <c r="E3360" t="s">
        <v>715</v>
      </c>
    </row>
    <row r="3361" spans="2:5">
      <c r="B3361" t="s">
        <v>5249</v>
      </c>
      <c r="C3361">
        <v>532988</v>
      </c>
      <c r="D3361" t="s">
        <v>5250</v>
      </c>
      <c r="E3361" t="s">
        <v>715</v>
      </c>
    </row>
    <row r="3362" spans="2:5">
      <c r="B3362" t="s">
        <v>5251</v>
      </c>
      <c r="C3362">
        <v>505800</v>
      </c>
      <c r="D3362" t="s">
        <v>5252</v>
      </c>
      <c r="E3362" t="s">
        <v>715</v>
      </c>
    </row>
    <row r="3363" spans="2:5">
      <c r="B3363" t="s">
        <v>5253</v>
      </c>
      <c r="C3363">
        <v>532661</v>
      </c>
      <c r="D3363" t="s">
        <v>5254</v>
      </c>
      <c r="E3363" t="s">
        <v>715</v>
      </c>
    </row>
    <row r="3364" spans="2:5">
      <c r="B3364" t="s">
        <v>5255</v>
      </c>
      <c r="C3364">
        <v>541945</v>
      </c>
      <c r="D3364" t="s">
        <v>360</v>
      </c>
      <c r="E3364" t="s">
        <v>758</v>
      </c>
    </row>
    <row r="3365" spans="2:5">
      <c r="B3365" t="s">
        <v>5256</v>
      </c>
      <c r="C3365">
        <v>531583</v>
      </c>
      <c r="D3365" t="s">
        <v>360</v>
      </c>
      <c r="E3365" t="s">
        <v>377</v>
      </c>
    </row>
    <row r="3366" spans="2:5">
      <c r="B3366" t="s">
        <v>5257</v>
      </c>
      <c r="C3366">
        <v>500360</v>
      </c>
      <c r="D3366" t="s">
        <v>360</v>
      </c>
      <c r="E3366" t="s">
        <v>368</v>
      </c>
    </row>
    <row r="3367" spans="2:5">
      <c r="B3367" t="s">
        <v>5258</v>
      </c>
      <c r="C3367">
        <v>501351</v>
      </c>
      <c r="D3367" t="s">
        <v>360</v>
      </c>
      <c r="E3367" t="s">
        <v>781</v>
      </c>
    </row>
    <row r="3368" spans="2:5">
      <c r="B3368" t="s">
        <v>5259</v>
      </c>
      <c r="C3368">
        <v>507966</v>
      </c>
      <c r="D3368" t="s">
        <v>360</v>
      </c>
      <c r="E3368" t="s">
        <v>561</v>
      </c>
    </row>
    <row r="3369" spans="2:5">
      <c r="B3369" t="s">
        <v>5260</v>
      </c>
      <c r="C3369">
        <v>522207</v>
      </c>
      <c r="D3369" t="s">
        <v>360</v>
      </c>
      <c r="E3369" t="s">
        <v>715</v>
      </c>
    </row>
    <row r="3370" spans="2:5">
      <c r="B3370" t="s">
        <v>5261</v>
      </c>
      <c r="C3370">
        <v>522207</v>
      </c>
      <c r="D3370" t="s">
        <v>360</v>
      </c>
      <c r="E3370" t="s">
        <v>715</v>
      </c>
    </row>
    <row r="3371" spans="2:5">
      <c r="B3371" t="s">
        <v>5262</v>
      </c>
      <c r="C3371">
        <v>524230</v>
      </c>
      <c r="D3371" t="s">
        <v>5263</v>
      </c>
      <c r="E3371" t="s">
        <v>868</v>
      </c>
    </row>
    <row r="3372" spans="2:5">
      <c r="B3372" t="s">
        <v>5264</v>
      </c>
      <c r="C3372">
        <v>531233</v>
      </c>
      <c r="D3372" t="s">
        <v>360</v>
      </c>
      <c r="E3372" t="s">
        <v>545</v>
      </c>
    </row>
    <row r="3373" spans="2:5">
      <c r="B3373" t="s">
        <v>5265</v>
      </c>
      <c r="C3373">
        <v>507649</v>
      </c>
      <c r="D3373" t="s">
        <v>360</v>
      </c>
      <c r="E3373" t="s">
        <v>609</v>
      </c>
    </row>
    <row r="3374" spans="2:5">
      <c r="B3374" t="s">
        <v>5266</v>
      </c>
      <c r="C3374">
        <v>532918</v>
      </c>
      <c r="D3374" t="s">
        <v>360</v>
      </c>
      <c r="E3374" t="s">
        <v>683</v>
      </c>
    </row>
    <row r="3375" spans="2:5">
      <c r="B3375" t="s">
        <v>5267</v>
      </c>
      <c r="C3375">
        <v>524610</v>
      </c>
      <c r="D3375" t="s">
        <v>360</v>
      </c>
      <c r="E3375" t="s">
        <v>520</v>
      </c>
    </row>
    <row r="3376" spans="2:5">
      <c r="B3376" t="s">
        <v>5268</v>
      </c>
      <c r="C3376">
        <v>540796</v>
      </c>
      <c r="D3376" t="s">
        <v>360</v>
      </c>
      <c r="E3376" t="s">
        <v>446</v>
      </c>
    </row>
    <row r="3377" spans="2:5">
      <c r="B3377" t="s">
        <v>5269</v>
      </c>
      <c r="C3377">
        <v>520111</v>
      </c>
      <c r="D3377" t="s">
        <v>5270</v>
      </c>
      <c r="E3377" t="s">
        <v>758</v>
      </c>
    </row>
    <row r="3378" spans="2:5">
      <c r="B3378" t="s">
        <v>5271</v>
      </c>
      <c r="C3378">
        <v>534597</v>
      </c>
      <c r="D3378" t="s">
        <v>5272</v>
      </c>
      <c r="E3378" t="s">
        <v>499</v>
      </c>
    </row>
    <row r="3379" spans="2:5">
      <c r="B3379" t="s">
        <v>5273</v>
      </c>
      <c r="C3379">
        <v>533122</v>
      </c>
      <c r="D3379" t="s">
        <v>5274</v>
      </c>
      <c r="E3379" t="s">
        <v>499</v>
      </c>
    </row>
    <row r="3380" spans="2:5">
      <c r="B3380" t="s">
        <v>5275</v>
      </c>
      <c r="C3380">
        <v>537840</v>
      </c>
      <c r="D3380" t="s">
        <v>360</v>
      </c>
      <c r="E3380" t="s">
        <v>758</v>
      </c>
    </row>
    <row r="3381" spans="2:5">
      <c r="B3381" t="s">
        <v>5276</v>
      </c>
      <c r="C3381">
        <v>507300</v>
      </c>
      <c r="D3381" t="s">
        <v>360</v>
      </c>
      <c r="E3381" t="s">
        <v>1058</v>
      </c>
    </row>
    <row r="3382" spans="2:5">
      <c r="B3382" t="s">
        <v>5277</v>
      </c>
      <c r="C3382">
        <v>533294</v>
      </c>
      <c r="D3382" t="s">
        <v>5278</v>
      </c>
      <c r="E3382" t="s">
        <v>991</v>
      </c>
    </row>
    <row r="3383" spans="2:5">
      <c r="B3383" t="s">
        <v>5279</v>
      </c>
      <c r="C3383">
        <v>526095</v>
      </c>
      <c r="D3383" t="s">
        <v>360</v>
      </c>
      <c r="E3383" t="s">
        <v>888</v>
      </c>
    </row>
    <row r="3384" spans="2:5">
      <c r="B3384" t="s">
        <v>5280</v>
      </c>
      <c r="C3384">
        <v>504341</v>
      </c>
      <c r="D3384" t="s">
        <v>360</v>
      </c>
      <c r="E3384" t="s">
        <v>343</v>
      </c>
    </row>
    <row r="3385" spans="2:5">
      <c r="B3385" t="s">
        <v>5281</v>
      </c>
      <c r="C3385">
        <v>541634</v>
      </c>
      <c r="D3385" t="s">
        <v>360</v>
      </c>
      <c r="E3385" t="s">
        <v>888</v>
      </c>
    </row>
    <row r="3386" spans="2:5">
      <c r="B3386" t="s">
        <v>5282</v>
      </c>
      <c r="C3386">
        <v>531207</v>
      </c>
      <c r="D3386" t="s">
        <v>360</v>
      </c>
      <c r="E3386" t="s">
        <v>398</v>
      </c>
    </row>
    <row r="3387" spans="2:5">
      <c r="B3387" t="s">
        <v>5283</v>
      </c>
      <c r="C3387">
        <v>500330</v>
      </c>
      <c r="D3387" t="s">
        <v>5284</v>
      </c>
      <c r="E3387" t="s">
        <v>375</v>
      </c>
    </row>
    <row r="3388" spans="2:5">
      <c r="B3388" t="s">
        <v>5285</v>
      </c>
      <c r="C3388">
        <v>540065</v>
      </c>
      <c r="D3388" t="s">
        <v>5286</v>
      </c>
      <c r="E3388" t="s">
        <v>678</v>
      </c>
    </row>
    <row r="3389" spans="2:5">
      <c r="B3389" t="s">
        <v>5287</v>
      </c>
      <c r="C3389">
        <v>531825</v>
      </c>
      <c r="D3389" t="s">
        <v>360</v>
      </c>
      <c r="E3389" t="s">
        <v>346</v>
      </c>
    </row>
    <row r="3390" spans="2:5">
      <c r="B3390" t="s">
        <v>5288</v>
      </c>
      <c r="C3390">
        <v>537254</v>
      </c>
      <c r="D3390" t="s">
        <v>360</v>
      </c>
      <c r="E3390" t="s">
        <v>382</v>
      </c>
    </row>
    <row r="3391" spans="2:5">
      <c r="B3391" t="s">
        <v>5289</v>
      </c>
      <c r="C3391">
        <v>534708</v>
      </c>
      <c r="D3391" t="s">
        <v>360</v>
      </c>
      <c r="E3391" t="s">
        <v>529</v>
      </c>
    </row>
    <row r="3392" spans="2:5">
      <c r="B3392" t="s">
        <v>5290</v>
      </c>
      <c r="C3392">
        <v>533608</v>
      </c>
      <c r="D3392" t="s">
        <v>360</v>
      </c>
      <c r="E3392" t="s">
        <v>480</v>
      </c>
    </row>
    <row r="3393" spans="2:5">
      <c r="B3393" t="s">
        <v>5291</v>
      </c>
      <c r="C3393">
        <v>533285</v>
      </c>
      <c r="D3393" t="s">
        <v>360</v>
      </c>
      <c r="E3393" t="s">
        <v>446</v>
      </c>
    </row>
    <row r="3394" spans="2:5">
      <c r="B3394" t="s">
        <v>5292</v>
      </c>
      <c r="C3394">
        <v>539691</v>
      </c>
      <c r="D3394" t="s">
        <v>360</v>
      </c>
      <c r="E3394" t="s">
        <v>382</v>
      </c>
    </row>
    <row r="3395" spans="2:5">
      <c r="B3395" t="s">
        <v>5293</v>
      </c>
      <c r="C3395">
        <v>530053</v>
      </c>
      <c r="D3395" t="s">
        <v>360</v>
      </c>
      <c r="E3395" t="s">
        <v>446</v>
      </c>
    </row>
    <row r="3396" spans="2:5">
      <c r="B3396" t="s">
        <v>5294</v>
      </c>
      <c r="C3396">
        <v>513558</v>
      </c>
      <c r="D3396" t="s">
        <v>360</v>
      </c>
      <c r="E3396" t="s">
        <v>392</v>
      </c>
    </row>
    <row r="3397" spans="2:5">
      <c r="B3397" t="s">
        <v>5295</v>
      </c>
      <c r="C3397">
        <v>538611</v>
      </c>
      <c r="D3397" t="s">
        <v>360</v>
      </c>
      <c r="E3397" t="s">
        <v>343</v>
      </c>
    </row>
    <row r="3398" spans="2:5">
      <c r="B3398" t="s">
        <v>5296</v>
      </c>
      <c r="C3398">
        <v>532955</v>
      </c>
      <c r="D3398" t="s">
        <v>5297</v>
      </c>
      <c r="E3398" t="s">
        <v>377</v>
      </c>
    </row>
    <row r="3399" spans="2:5">
      <c r="B3399" t="s">
        <v>5298</v>
      </c>
      <c r="C3399">
        <v>523650</v>
      </c>
      <c r="D3399" t="s">
        <v>360</v>
      </c>
      <c r="E3399" t="s">
        <v>368</v>
      </c>
    </row>
    <row r="3400" spans="2:5">
      <c r="B3400" t="s">
        <v>5299</v>
      </c>
      <c r="C3400">
        <v>532805</v>
      </c>
      <c r="D3400" t="s">
        <v>5300</v>
      </c>
      <c r="E3400" t="s">
        <v>382</v>
      </c>
    </row>
    <row r="3401" spans="2:5">
      <c r="B3401" t="s">
        <v>5301</v>
      </c>
      <c r="C3401">
        <v>532805</v>
      </c>
      <c r="D3401" t="s">
        <v>5300</v>
      </c>
      <c r="E3401" t="s">
        <v>382</v>
      </c>
    </row>
    <row r="3402" spans="2:5">
      <c r="B3402" t="s">
        <v>5302</v>
      </c>
      <c r="C3402">
        <v>532884</v>
      </c>
      <c r="D3402" t="s">
        <v>5303</v>
      </c>
      <c r="E3402" t="s">
        <v>1395</v>
      </c>
    </row>
    <row r="3403" spans="2:5">
      <c r="B3403" t="s">
        <v>5304</v>
      </c>
      <c r="C3403">
        <v>530815</v>
      </c>
      <c r="D3403" t="s">
        <v>360</v>
      </c>
      <c r="E3403" t="s">
        <v>408</v>
      </c>
    </row>
    <row r="3404" spans="2:5">
      <c r="B3404" t="s">
        <v>5305</v>
      </c>
      <c r="C3404">
        <v>531033</v>
      </c>
      <c r="D3404" t="s">
        <v>360</v>
      </c>
      <c r="E3404" t="s">
        <v>377</v>
      </c>
    </row>
    <row r="3405" spans="2:5">
      <c r="B3405" t="s">
        <v>5306</v>
      </c>
      <c r="C3405">
        <v>530807</v>
      </c>
      <c r="D3405" t="s">
        <v>360</v>
      </c>
      <c r="E3405" t="s">
        <v>446</v>
      </c>
    </row>
    <row r="3406" spans="2:5">
      <c r="B3406" t="s">
        <v>5307</v>
      </c>
      <c r="C3406">
        <v>515018</v>
      </c>
      <c r="D3406" t="s">
        <v>5308</v>
      </c>
      <c r="E3406" t="s">
        <v>637</v>
      </c>
    </row>
    <row r="3407" spans="2:5">
      <c r="B3407" t="s">
        <v>5309</v>
      </c>
      <c r="C3407">
        <v>540175</v>
      </c>
      <c r="D3407" t="s">
        <v>360</v>
      </c>
      <c r="E3407" t="s">
        <v>343</v>
      </c>
    </row>
    <row r="3408" spans="2:5">
      <c r="B3408" t="s">
        <v>5310</v>
      </c>
      <c r="C3408">
        <v>511585</v>
      </c>
      <c r="D3408" t="s">
        <v>360</v>
      </c>
      <c r="E3408" t="s">
        <v>377</v>
      </c>
    </row>
    <row r="3409" spans="2:5">
      <c r="B3409" t="s">
        <v>5311</v>
      </c>
      <c r="C3409">
        <v>512624</v>
      </c>
      <c r="D3409" t="s">
        <v>360</v>
      </c>
      <c r="E3409" t="s">
        <v>382</v>
      </c>
    </row>
    <row r="3410" spans="2:5">
      <c r="B3410" t="s">
        <v>5312</v>
      </c>
      <c r="C3410">
        <v>505817</v>
      </c>
      <c r="D3410" t="s">
        <v>360</v>
      </c>
      <c r="E3410" t="s">
        <v>715</v>
      </c>
    </row>
    <row r="3411" spans="2:5">
      <c r="B3411" t="s">
        <v>5313</v>
      </c>
      <c r="C3411">
        <v>505817</v>
      </c>
      <c r="D3411" t="s">
        <v>360</v>
      </c>
      <c r="E3411" t="s">
        <v>715</v>
      </c>
    </row>
    <row r="3412" spans="2:5">
      <c r="B3412" t="s">
        <v>5314</v>
      </c>
      <c r="C3412">
        <v>526075</v>
      </c>
      <c r="D3412" t="s">
        <v>360</v>
      </c>
      <c r="E3412" t="s">
        <v>398</v>
      </c>
    </row>
    <row r="3413" spans="2:5">
      <c r="B3413" t="s">
        <v>5315</v>
      </c>
      <c r="C3413">
        <v>530517</v>
      </c>
      <c r="D3413" t="s">
        <v>5316</v>
      </c>
      <c r="E3413" t="s">
        <v>786</v>
      </c>
    </row>
    <row r="3414" spans="2:5">
      <c r="B3414" t="s">
        <v>5317</v>
      </c>
      <c r="C3414" t="s">
        <v>360</v>
      </c>
      <c r="D3414" t="s">
        <v>5318</v>
      </c>
      <c r="E3414" t="s">
        <v>371</v>
      </c>
    </row>
    <row r="3415" spans="2:5">
      <c r="B3415" t="s">
        <v>5319</v>
      </c>
      <c r="C3415">
        <v>532124</v>
      </c>
      <c r="D3415" t="s">
        <v>360</v>
      </c>
      <c r="E3415" t="s">
        <v>561</v>
      </c>
    </row>
    <row r="3416" spans="2:5">
      <c r="B3416" t="s">
        <v>5320</v>
      </c>
      <c r="C3416">
        <v>532124</v>
      </c>
      <c r="D3416" t="s">
        <v>360</v>
      </c>
      <c r="E3416" t="s">
        <v>561</v>
      </c>
    </row>
    <row r="3417" spans="2:5">
      <c r="B3417" t="s">
        <v>5321</v>
      </c>
      <c r="C3417">
        <v>500111</v>
      </c>
      <c r="D3417" t="s">
        <v>5322</v>
      </c>
      <c r="E3417" t="s">
        <v>377</v>
      </c>
    </row>
    <row r="3418" spans="2:5">
      <c r="B3418" t="s">
        <v>5323</v>
      </c>
      <c r="C3418">
        <v>503162</v>
      </c>
      <c r="D3418" t="s">
        <v>360</v>
      </c>
      <c r="E3418" t="s">
        <v>375</v>
      </c>
    </row>
    <row r="3419" spans="2:5">
      <c r="B3419" t="s">
        <v>5324</v>
      </c>
      <c r="C3419">
        <v>532712</v>
      </c>
      <c r="D3419" t="s">
        <v>5325</v>
      </c>
      <c r="E3419" t="s">
        <v>1303</v>
      </c>
    </row>
    <row r="3420" spans="2:5">
      <c r="B3420" t="s">
        <v>5326</v>
      </c>
      <c r="C3420">
        <v>590106</v>
      </c>
      <c r="D3420" t="s">
        <v>5327</v>
      </c>
      <c r="E3420" t="s">
        <v>343</v>
      </c>
    </row>
    <row r="3421" spans="2:5">
      <c r="B3421" t="s">
        <v>5328</v>
      </c>
      <c r="C3421">
        <v>590095</v>
      </c>
      <c r="D3421" t="s">
        <v>5329</v>
      </c>
      <c r="E3421" t="s">
        <v>343</v>
      </c>
    </row>
    <row r="3422" spans="2:5">
      <c r="B3422" t="s">
        <v>5330</v>
      </c>
      <c r="C3422">
        <v>590113</v>
      </c>
      <c r="D3422" t="s">
        <v>5331</v>
      </c>
      <c r="E3422" t="s">
        <v>343</v>
      </c>
    </row>
    <row r="3423" spans="2:5">
      <c r="B3423" t="s">
        <v>5332</v>
      </c>
      <c r="C3423">
        <v>590104</v>
      </c>
      <c r="D3423" t="s">
        <v>5333</v>
      </c>
      <c r="E3423" t="s">
        <v>343</v>
      </c>
    </row>
    <row r="3424" spans="2:5">
      <c r="B3424" t="s">
        <v>5334</v>
      </c>
      <c r="C3424">
        <v>590103</v>
      </c>
      <c r="D3424" t="s">
        <v>5335</v>
      </c>
      <c r="E3424" t="s">
        <v>343</v>
      </c>
    </row>
    <row r="3425" spans="2:5">
      <c r="B3425" t="s">
        <v>5336</v>
      </c>
      <c r="C3425">
        <v>590108</v>
      </c>
      <c r="D3425" t="s">
        <v>5337</v>
      </c>
      <c r="E3425" t="s">
        <v>343</v>
      </c>
    </row>
    <row r="3426" spans="2:5">
      <c r="B3426" t="s">
        <v>5338</v>
      </c>
      <c r="C3426">
        <v>590109</v>
      </c>
      <c r="D3426" t="s">
        <v>5339</v>
      </c>
      <c r="E3426" t="s">
        <v>343</v>
      </c>
    </row>
    <row r="3427" spans="2:5">
      <c r="B3427" t="s">
        <v>5340</v>
      </c>
      <c r="C3427">
        <v>540709</v>
      </c>
      <c r="D3427" t="s">
        <v>5341</v>
      </c>
      <c r="E3427" t="s">
        <v>418</v>
      </c>
    </row>
    <row r="3428" spans="2:5">
      <c r="B3428" t="s">
        <v>5342</v>
      </c>
      <c r="C3428">
        <v>523445</v>
      </c>
      <c r="D3428" t="s">
        <v>5343</v>
      </c>
      <c r="E3428" t="s">
        <v>758</v>
      </c>
    </row>
    <row r="3429" spans="2:5">
      <c r="B3429" t="s">
        <v>5344</v>
      </c>
      <c r="C3429">
        <v>500325</v>
      </c>
      <c r="D3429" t="s">
        <v>5345</v>
      </c>
      <c r="E3429" t="s">
        <v>491</v>
      </c>
    </row>
    <row r="3430" spans="2:5">
      <c r="B3430" t="s">
        <v>5346</v>
      </c>
      <c r="C3430">
        <v>500390</v>
      </c>
      <c r="D3430" t="s">
        <v>5347</v>
      </c>
      <c r="E3430" t="s">
        <v>499</v>
      </c>
    </row>
    <row r="3431" spans="2:5">
      <c r="B3431" t="s">
        <v>5348</v>
      </c>
      <c r="C3431">
        <v>533107</v>
      </c>
      <c r="D3431" t="s">
        <v>5349</v>
      </c>
      <c r="E3431" t="s">
        <v>833</v>
      </c>
    </row>
    <row r="3432" spans="2:5">
      <c r="B3432" t="s">
        <v>5350</v>
      </c>
      <c r="C3432">
        <v>540767</v>
      </c>
      <c r="D3432" t="s">
        <v>5351</v>
      </c>
      <c r="E3432" t="s">
        <v>2765</v>
      </c>
    </row>
    <row r="3433" spans="2:5">
      <c r="B3433" t="s">
        <v>5352</v>
      </c>
      <c r="C3433">
        <v>532939</v>
      </c>
      <c r="D3433" t="s">
        <v>5353</v>
      </c>
      <c r="E3433" t="s">
        <v>499</v>
      </c>
    </row>
    <row r="3434" spans="2:5">
      <c r="B3434" t="s">
        <v>5354</v>
      </c>
      <c r="C3434">
        <v>511712</v>
      </c>
      <c r="D3434" t="s">
        <v>360</v>
      </c>
      <c r="E3434" t="s">
        <v>343</v>
      </c>
    </row>
    <row r="3435" spans="2:5">
      <c r="B3435" t="s">
        <v>5355</v>
      </c>
      <c r="C3435">
        <v>539760</v>
      </c>
      <c r="D3435" t="s">
        <v>360</v>
      </c>
      <c r="E3435" t="s">
        <v>658</v>
      </c>
    </row>
    <row r="3436" spans="2:5">
      <c r="B3436" t="s">
        <v>5356</v>
      </c>
      <c r="C3436">
        <v>532915</v>
      </c>
      <c r="D3436" t="s">
        <v>5357</v>
      </c>
      <c r="E3436" t="s">
        <v>343</v>
      </c>
    </row>
    <row r="3437" spans="2:5">
      <c r="B3437" t="s">
        <v>5358</v>
      </c>
      <c r="C3437">
        <v>540426</v>
      </c>
      <c r="D3437" t="s">
        <v>360</v>
      </c>
      <c r="E3437" t="s">
        <v>446</v>
      </c>
    </row>
    <row r="3438" spans="2:5">
      <c r="B3438" t="s">
        <v>5359</v>
      </c>
      <c r="C3438">
        <v>513043</v>
      </c>
      <c r="D3438" t="s">
        <v>360</v>
      </c>
      <c r="E3438" t="s">
        <v>683</v>
      </c>
    </row>
    <row r="3439" spans="2:5">
      <c r="B3439" t="s">
        <v>5360</v>
      </c>
      <c r="C3439">
        <v>512487</v>
      </c>
      <c r="D3439" t="s">
        <v>360</v>
      </c>
      <c r="E3439" t="s">
        <v>382</v>
      </c>
    </row>
    <row r="3440" spans="2:5">
      <c r="B3440" t="s">
        <v>5361</v>
      </c>
      <c r="C3440">
        <v>505658</v>
      </c>
      <c r="D3440" t="s">
        <v>360</v>
      </c>
      <c r="E3440" t="s">
        <v>368</v>
      </c>
    </row>
    <row r="3441" spans="2:5">
      <c r="B3441" t="s">
        <v>5362</v>
      </c>
      <c r="C3441">
        <v>504360</v>
      </c>
      <c r="D3441" t="s">
        <v>360</v>
      </c>
      <c r="E3441" t="s">
        <v>382</v>
      </c>
    </row>
    <row r="3442" spans="2:5">
      <c r="B3442" t="s">
        <v>5363</v>
      </c>
      <c r="C3442">
        <v>511149</v>
      </c>
      <c r="D3442" t="s">
        <v>360</v>
      </c>
      <c r="E3442" t="s">
        <v>781</v>
      </c>
    </row>
    <row r="3443" spans="2:5">
      <c r="B3443" t="s">
        <v>5364</v>
      </c>
      <c r="C3443">
        <v>530919</v>
      </c>
      <c r="D3443" t="s">
        <v>5365</v>
      </c>
      <c r="E3443" t="s">
        <v>3699</v>
      </c>
    </row>
    <row r="3444" spans="2:5">
      <c r="B3444" t="s">
        <v>5366</v>
      </c>
      <c r="C3444" t="s">
        <v>360</v>
      </c>
      <c r="D3444" t="s">
        <v>5367</v>
      </c>
      <c r="E3444" t="s">
        <v>3699</v>
      </c>
    </row>
    <row r="3445" spans="2:5">
      <c r="B3445" t="s">
        <v>5368</v>
      </c>
      <c r="C3445">
        <v>532923</v>
      </c>
      <c r="D3445" t="s">
        <v>5369</v>
      </c>
      <c r="E3445" t="s">
        <v>474</v>
      </c>
    </row>
    <row r="3446" spans="2:5">
      <c r="B3446" t="s">
        <v>5370</v>
      </c>
      <c r="C3446">
        <v>535322</v>
      </c>
      <c r="D3446" t="s">
        <v>5371</v>
      </c>
      <c r="E3446" t="s">
        <v>418</v>
      </c>
    </row>
    <row r="3447" spans="2:5">
      <c r="B3447" t="s">
        <v>5372</v>
      </c>
      <c r="C3447">
        <v>532687</v>
      </c>
      <c r="D3447" t="s">
        <v>5373</v>
      </c>
      <c r="E3447" t="s">
        <v>2352</v>
      </c>
    </row>
    <row r="3448" spans="2:5">
      <c r="B3448" t="s">
        <v>5374</v>
      </c>
      <c r="C3448">
        <v>532687</v>
      </c>
      <c r="D3448" t="s">
        <v>5373</v>
      </c>
      <c r="E3448" t="s">
        <v>2352</v>
      </c>
    </row>
    <row r="3449" spans="2:5">
      <c r="B3449" t="s">
        <v>5375</v>
      </c>
      <c r="C3449">
        <v>524218</v>
      </c>
      <c r="D3449" t="s">
        <v>360</v>
      </c>
      <c r="E3449" t="s">
        <v>398</v>
      </c>
    </row>
    <row r="3450" spans="2:5">
      <c r="B3450" t="s">
        <v>5376</v>
      </c>
      <c r="C3450">
        <v>505509</v>
      </c>
      <c r="D3450" t="s">
        <v>5377</v>
      </c>
      <c r="E3450" t="s">
        <v>480</v>
      </c>
    </row>
    <row r="3451" spans="2:5">
      <c r="B3451" t="s">
        <v>5378</v>
      </c>
      <c r="C3451">
        <v>515085</v>
      </c>
      <c r="D3451" t="s">
        <v>360</v>
      </c>
      <c r="E3451" t="s">
        <v>637</v>
      </c>
    </row>
    <row r="3452" spans="2:5">
      <c r="B3452" t="s">
        <v>5379</v>
      </c>
      <c r="C3452">
        <v>519191</v>
      </c>
      <c r="D3452" t="s">
        <v>5380</v>
      </c>
      <c r="E3452" t="s">
        <v>5381</v>
      </c>
    </row>
    <row r="3453" spans="2:5">
      <c r="B3453" t="s">
        <v>5382</v>
      </c>
      <c r="C3453">
        <v>505368</v>
      </c>
      <c r="D3453" t="s">
        <v>5383</v>
      </c>
      <c r="E3453" t="s">
        <v>368</v>
      </c>
    </row>
    <row r="3454" spans="2:5">
      <c r="B3454" t="s">
        <v>5384</v>
      </c>
      <c r="C3454">
        <v>531888</v>
      </c>
      <c r="D3454" t="s">
        <v>360</v>
      </c>
      <c r="E3454" t="s">
        <v>368</v>
      </c>
    </row>
    <row r="3455" spans="2:5">
      <c r="B3455" t="s">
        <v>5385</v>
      </c>
      <c r="C3455">
        <v>539669</v>
      </c>
      <c r="D3455" t="s">
        <v>360</v>
      </c>
      <c r="E3455" t="s">
        <v>377</v>
      </c>
    </row>
    <row r="3456" spans="2:5">
      <c r="B3456" t="s">
        <v>5386</v>
      </c>
      <c r="C3456">
        <v>531952</v>
      </c>
      <c r="D3456" t="s">
        <v>360</v>
      </c>
      <c r="E3456" t="s">
        <v>375</v>
      </c>
    </row>
    <row r="3457" spans="2:5">
      <c r="B3457" t="s">
        <v>5387</v>
      </c>
      <c r="C3457">
        <v>530271</v>
      </c>
      <c r="D3457" t="s">
        <v>360</v>
      </c>
      <c r="E3457" t="s">
        <v>377</v>
      </c>
    </row>
    <row r="3458" spans="2:5">
      <c r="B3458" t="s">
        <v>5388</v>
      </c>
      <c r="C3458">
        <v>532766</v>
      </c>
      <c r="D3458" t="s">
        <v>360</v>
      </c>
      <c r="E3458" t="s">
        <v>758</v>
      </c>
    </row>
    <row r="3459" spans="2:5">
      <c r="B3459" t="s">
        <v>5389</v>
      </c>
      <c r="C3459">
        <v>539435</v>
      </c>
      <c r="D3459" t="s">
        <v>360</v>
      </c>
      <c r="E3459" t="s">
        <v>343</v>
      </c>
    </row>
    <row r="3460" spans="2:5">
      <c r="B3460" t="s">
        <v>5390</v>
      </c>
      <c r="C3460">
        <v>519230</v>
      </c>
      <c r="D3460" t="s">
        <v>360</v>
      </c>
      <c r="E3460" t="s">
        <v>382</v>
      </c>
    </row>
    <row r="3461" spans="2:5">
      <c r="B3461" t="s">
        <v>5391</v>
      </c>
      <c r="C3461">
        <v>520008</v>
      </c>
      <c r="D3461" t="s">
        <v>5392</v>
      </c>
      <c r="E3461" t="s">
        <v>715</v>
      </c>
    </row>
    <row r="3462" spans="2:5">
      <c r="B3462" t="s">
        <v>5393</v>
      </c>
      <c r="C3462">
        <v>540590</v>
      </c>
      <c r="D3462" t="s">
        <v>360</v>
      </c>
      <c r="E3462" t="s">
        <v>690</v>
      </c>
    </row>
    <row r="3463" spans="2:5">
      <c r="B3463" t="s">
        <v>5394</v>
      </c>
      <c r="C3463">
        <v>524480</v>
      </c>
      <c r="D3463" t="s">
        <v>360</v>
      </c>
      <c r="E3463" t="s">
        <v>408</v>
      </c>
    </row>
    <row r="3464" spans="2:5">
      <c r="B3464" t="s">
        <v>5395</v>
      </c>
      <c r="C3464">
        <v>540082</v>
      </c>
      <c r="D3464" t="s">
        <v>360</v>
      </c>
      <c r="E3464" t="s">
        <v>683</v>
      </c>
    </row>
    <row r="3465" spans="2:5">
      <c r="B3465" t="s">
        <v>5396</v>
      </c>
      <c r="C3465">
        <v>504365</v>
      </c>
      <c r="D3465" t="s">
        <v>360</v>
      </c>
      <c r="E3465" t="s">
        <v>343</v>
      </c>
    </row>
    <row r="3466" spans="2:5">
      <c r="B3466" t="s">
        <v>5397</v>
      </c>
      <c r="C3466">
        <v>541151</v>
      </c>
      <c r="D3466" t="s">
        <v>360</v>
      </c>
      <c r="E3466" t="s">
        <v>444</v>
      </c>
    </row>
    <row r="3467" spans="2:5">
      <c r="B3467" t="s">
        <v>5398</v>
      </c>
      <c r="C3467">
        <v>541151</v>
      </c>
      <c r="D3467" t="s">
        <v>360</v>
      </c>
      <c r="E3467" t="s">
        <v>444</v>
      </c>
    </row>
    <row r="3468" spans="2:5">
      <c r="B3468" t="s">
        <v>5399</v>
      </c>
      <c r="C3468">
        <v>507508</v>
      </c>
      <c r="D3468" t="s">
        <v>360</v>
      </c>
      <c r="E3468" t="s">
        <v>1058</v>
      </c>
    </row>
    <row r="3469" spans="2:5">
      <c r="B3469" t="s">
        <v>5400</v>
      </c>
      <c r="C3469">
        <v>530251</v>
      </c>
      <c r="D3469" t="s">
        <v>360</v>
      </c>
      <c r="E3469" t="s">
        <v>382</v>
      </c>
    </row>
    <row r="3470" spans="2:5">
      <c r="B3470" t="s">
        <v>5401</v>
      </c>
      <c r="C3470">
        <v>514177</v>
      </c>
      <c r="D3470" t="s">
        <v>360</v>
      </c>
      <c r="E3470" t="s">
        <v>375</v>
      </c>
    </row>
    <row r="3471" spans="2:5">
      <c r="B3471" t="s">
        <v>5402</v>
      </c>
      <c r="C3471">
        <v>531539</v>
      </c>
      <c r="D3471" t="s">
        <v>360</v>
      </c>
      <c r="E3471" t="s">
        <v>392</v>
      </c>
    </row>
    <row r="3472" spans="2:5">
      <c r="B3472" t="s">
        <v>5403</v>
      </c>
      <c r="C3472">
        <v>526861</v>
      </c>
      <c r="D3472" t="s">
        <v>360</v>
      </c>
      <c r="E3472" t="s">
        <v>368</v>
      </c>
    </row>
    <row r="3473" spans="2:5">
      <c r="B3473" t="s">
        <v>5404</v>
      </c>
      <c r="C3473">
        <v>523021</v>
      </c>
      <c r="D3473" t="s">
        <v>360</v>
      </c>
      <c r="E3473" t="s">
        <v>555</v>
      </c>
    </row>
    <row r="3474" spans="2:5">
      <c r="B3474" t="s">
        <v>5405</v>
      </c>
      <c r="C3474">
        <v>526492</v>
      </c>
      <c r="D3474" t="s">
        <v>360</v>
      </c>
      <c r="E3474" t="s">
        <v>1279</v>
      </c>
    </row>
    <row r="3475" spans="2:5">
      <c r="B3475" t="s">
        <v>5406</v>
      </c>
      <c r="C3475">
        <v>542383</v>
      </c>
      <c r="D3475" t="s">
        <v>5407</v>
      </c>
      <c r="E3475" t="s">
        <v>681</v>
      </c>
    </row>
    <row r="3476" spans="2:5">
      <c r="B3476" t="s">
        <v>5408</v>
      </c>
      <c r="C3476">
        <v>541556</v>
      </c>
      <c r="D3476" t="s">
        <v>5409</v>
      </c>
      <c r="E3476" t="s">
        <v>758</v>
      </c>
    </row>
    <row r="3477" spans="2:5">
      <c r="B3477" t="s">
        <v>5410</v>
      </c>
      <c r="C3477">
        <v>519097</v>
      </c>
      <c r="D3477" t="s">
        <v>360</v>
      </c>
      <c r="E3477" t="s">
        <v>408</v>
      </c>
    </row>
    <row r="3478" spans="2:5">
      <c r="B3478" t="s">
        <v>5411</v>
      </c>
      <c r="C3478">
        <v>526407</v>
      </c>
      <c r="D3478" t="s">
        <v>360</v>
      </c>
      <c r="E3478" t="s">
        <v>474</v>
      </c>
    </row>
    <row r="3479" spans="2:5">
      <c r="B3479" t="s">
        <v>5412</v>
      </c>
      <c r="C3479">
        <v>540843</v>
      </c>
      <c r="D3479" t="s">
        <v>360</v>
      </c>
      <c r="E3479" t="s">
        <v>3140</v>
      </c>
    </row>
    <row r="3480" spans="2:5">
      <c r="B3480" t="s">
        <v>5413</v>
      </c>
      <c r="C3480" t="s">
        <v>360</v>
      </c>
      <c r="D3480" t="s">
        <v>5414</v>
      </c>
      <c r="E3480" t="s">
        <v>371</v>
      </c>
    </row>
    <row r="3481" spans="2:5">
      <c r="B3481" t="s">
        <v>5415</v>
      </c>
      <c r="C3481">
        <v>512618</v>
      </c>
      <c r="D3481" t="s">
        <v>360</v>
      </c>
      <c r="E3481" t="s">
        <v>375</v>
      </c>
    </row>
    <row r="3482" spans="2:5">
      <c r="B3482" t="s">
        <v>5416</v>
      </c>
      <c r="C3482">
        <v>540358</v>
      </c>
      <c r="D3482" t="s">
        <v>360</v>
      </c>
      <c r="E3482" t="s">
        <v>658</v>
      </c>
    </row>
    <row r="3483" spans="2:5">
      <c r="B3483" t="s">
        <v>5417</v>
      </c>
      <c r="C3483">
        <v>500365</v>
      </c>
      <c r="D3483" t="s">
        <v>360</v>
      </c>
      <c r="E3483" t="s">
        <v>392</v>
      </c>
    </row>
    <row r="3484" spans="2:5">
      <c r="B3484" t="s">
        <v>5418</v>
      </c>
      <c r="C3484">
        <v>531447</v>
      </c>
      <c r="D3484" t="s">
        <v>360</v>
      </c>
      <c r="E3484" t="s">
        <v>382</v>
      </c>
    </row>
    <row r="3485" spans="2:5">
      <c r="B3485" t="s">
        <v>5419</v>
      </c>
      <c r="C3485">
        <v>531822</v>
      </c>
      <c r="D3485" t="s">
        <v>360</v>
      </c>
      <c r="E3485" t="s">
        <v>446</v>
      </c>
    </row>
    <row r="3486" spans="2:5">
      <c r="B3486" t="s">
        <v>5420</v>
      </c>
      <c r="C3486">
        <v>532731</v>
      </c>
      <c r="D3486" t="s">
        <v>5421</v>
      </c>
      <c r="E3486" t="s">
        <v>392</v>
      </c>
    </row>
    <row r="3487" spans="2:5">
      <c r="B3487" t="s">
        <v>5422</v>
      </c>
      <c r="C3487">
        <v>505807</v>
      </c>
      <c r="D3487" t="s">
        <v>360</v>
      </c>
      <c r="E3487" t="s">
        <v>1279</v>
      </c>
    </row>
    <row r="3488" spans="2:5">
      <c r="B3488" t="s">
        <v>5423</v>
      </c>
      <c r="C3488">
        <v>502448</v>
      </c>
      <c r="D3488" t="s">
        <v>5424</v>
      </c>
      <c r="E3488" t="s">
        <v>555</v>
      </c>
    </row>
    <row r="3489" spans="2:5">
      <c r="B3489" t="s">
        <v>5425</v>
      </c>
      <c r="C3489">
        <v>500366</v>
      </c>
      <c r="D3489" t="s">
        <v>5426</v>
      </c>
      <c r="E3489" t="s">
        <v>366</v>
      </c>
    </row>
    <row r="3490" spans="2:5">
      <c r="B3490" t="s">
        <v>5427</v>
      </c>
      <c r="C3490">
        <v>500366</v>
      </c>
      <c r="D3490" t="s">
        <v>5426</v>
      </c>
      <c r="E3490" t="s">
        <v>366</v>
      </c>
    </row>
    <row r="3491" spans="2:5">
      <c r="B3491" t="s">
        <v>5428</v>
      </c>
      <c r="C3491">
        <v>542145</v>
      </c>
      <c r="D3491" t="s">
        <v>360</v>
      </c>
      <c r="E3491" t="s">
        <v>382</v>
      </c>
    </row>
    <row r="3492" spans="2:5">
      <c r="B3492" t="s">
        <v>5429</v>
      </c>
      <c r="C3492">
        <v>530991</v>
      </c>
      <c r="D3492" t="s">
        <v>360</v>
      </c>
      <c r="E3492" t="s">
        <v>398</v>
      </c>
    </row>
    <row r="3493" spans="2:5">
      <c r="B3493" t="s">
        <v>5430</v>
      </c>
      <c r="C3493">
        <v>542599</v>
      </c>
      <c r="D3493" t="s">
        <v>5431</v>
      </c>
      <c r="E3493" t="s">
        <v>561</v>
      </c>
    </row>
    <row r="3494" spans="2:5">
      <c r="B3494" t="s">
        <v>5432</v>
      </c>
      <c r="C3494">
        <v>531324</v>
      </c>
      <c r="D3494" t="s">
        <v>360</v>
      </c>
      <c r="E3494" t="s">
        <v>343</v>
      </c>
    </row>
    <row r="3495" spans="2:5">
      <c r="B3495" t="s">
        <v>5433</v>
      </c>
      <c r="C3495">
        <v>533168</v>
      </c>
      <c r="D3495" t="s">
        <v>5434</v>
      </c>
      <c r="E3495" t="s">
        <v>767</v>
      </c>
    </row>
    <row r="3496" spans="2:5">
      <c r="B3496" t="s">
        <v>5435</v>
      </c>
      <c r="C3496">
        <v>533168</v>
      </c>
      <c r="D3496" t="s">
        <v>5434</v>
      </c>
      <c r="E3496" t="s">
        <v>767</v>
      </c>
    </row>
    <row r="3497" spans="2:5">
      <c r="B3497" t="s">
        <v>5436</v>
      </c>
      <c r="C3497">
        <v>517500</v>
      </c>
      <c r="D3497" t="s">
        <v>360</v>
      </c>
      <c r="E3497" t="s">
        <v>368</v>
      </c>
    </row>
    <row r="3498" spans="2:5">
      <c r="B3498" t="s">
        <v>5437</v>
      </c>
      <c r="C3498">
        <v>539922</v>
      </c>
      <c r="D3498" t="s">
        <v>360</v>
      </c>
      <c r="E3498" t="s">
        <v>382</v>
      </c>
    </row>
    <row r="3499" spans="2:5">
      <c r="B3499" t="s">
        <v>5438</v>
      </c>
      <c r="C3499">
        <v>539922</v>
      </c>
      <c r="D3499" t="s">
        <v>360</v>
      </c>
      <c r="E3499" t="s">
        <v>382</v>
      </c>
    </row>
    <row r="3500" spans="2:5">
      <c r="B3500" t="s">
        <v>5439</v>
      </c>
      <c r="C3500">
        <v>526193</v>
      </c>
      <c r="D3500" t="s">
        <v>360</v>
      </c>
      <c r="E3500" t="s">
        <v>637</v>
      </c>
    </row>
    <row r="3501" spans="2:5">
      <c r="B3501" t="s">
        <v>5440</v>
      </c>
      <c r="C3501">
        <v>512047</v>
      </c>
      <c r="D3501" t="s">
        <v>360</v>
      </c>
      <c r="E3501" t="s">
        <v>474</v>
      </c>
    </row>
    <row r="3502" spans="2:5">
      <c r="B3502" t="s">
        <v>5441</v>
      </c>
      <c r="C3502">
        <v>532699</v>
      </c>
      <c r="D3502" t="s">
        <v>5442</v>
      </c>
      <c r="E3502" t="s">
        <v>561</v>
      </c>
    </row>
    <row r="3503" spans="2:5">
      <c r="B3503" t="s">
        <v>5443</v>
      </c>
      <c r="C3503">
        <v>526640</v>
      </c>
      <c r="D3503" t="s">
        <v>360</v>
      </c>
      <c r="E3503" t="s">
        <v>561</v>
      </c>
    </row>
    <row r="3504" spans="2:5">
      <c r="B3504" t="s">
        <v>5444</v>
      </c>
      <c r="C3504">
        <v>532983</v>
      </c>
      <c r="D3504" t="s">
        <v>5445</v>
      </c>
      <c r="E3504" t="s">
        <v>398</v>
      </c>
    </row>
    <row r="3505" spans="2:5">
      <c r="B3505" t="s">
        <v>5446</v>
      </c>
      <c r="C3505">
        <v>511626</v>
      </c>
      <c r="D3505" t="s">
        <v>360</v>
      </c>
      <c r="E3505" t="s">
        <v>377</v>
      </c>
    </row>
    <row r="3506" spans="2:5">
      <c r="B3506" t="s">
        <v>5447</v>
      </c>
      <c r="C3506">
        <v>530179</v>
      </c>
      <c r="D3506" t="s">
        <v>360</v>
      </c>
      <c r="E3506" t="s">
        <v>375</v>
      </c>
    </row>
    <row r="3507" spans="2:5">
      <c r="B3507" t="s">
        <v>5448</v>
      </c>
      <c r="C3507">
        <v>539875</v>
      </c>
      <c r="D3507" t="s">
        <v>360</v>
      </c>
      <c r="E3507" t="s">
        <v>380</v>
      </c>
    </row>
    <row r="3508" spans="2:5">
      <c r="B3508" t="s">
        <v>5449</v>
      </c>
      <c r="C3508">
        <v>500350</v>
      </c>
      <c r="D3508" t="s">
        <v>5450</v>
      </c>
      <c r="E3508" t="s">
        <v>375</v>
      </c>
    </row>
    <row r="3509" spans="2:5">
      <c r="B3509" t="s">
        <v>5451</v>
      </c>
      <c r="C3509">
        <v>531215</v>
      </c>
      <c r="D3509" t="s">
        <v>360</v>
      </c>
      <c r="E3509" t="s">
        <v>658</v>
      </c>
    </row>
    <row r="3510" spans="2:5">
      <c r="B3510" t="s">
        <v>5452</v>
      </c>
      <c r="C3510">
        <v>500367</v>
      </c>
      <c r="D3510" t="s">
        <v>360</v>
      </c>
      <c r="E3510" t="s">
        <v>840</v>
      </c>
    </row>
    <row r="3511" spans="2:5">
      <c r="B3511" t="s">
        <v>5453</v>
      </c>
      <c r="C3511">
        <v>531099</v>
      </c>
      <c r="D3511" t="s">
        <v>360</v>
      </c>
      <c r="E3511" t="s">
        <v>398</v>
      </c>
    </row>
    <row r="3512" spans="2:5">
      <c r="B3512" t="s">
        <v>5454</v>
      </c>
      <c r="C3512">
        <v>509020</v>
      </c>
      <c r="D3512" t="s">
        <v>5455</v>
      </c>
      <c r="E3512" t="s">
        <v>609</v>
      </c>
    </row>
    <row r="3513" spans="2:5">
      <c r="B3513" t="s">
        <v>5456</v>
      </c>
      <c r="C3513">
        <v>500368</v>
      </c>
      <c r="D3513" t="s">
        <v>5457</v>
      </c>
      <c r="E3513" t="s">
        <v>609</v>
      </c>
    </row>
    <row r="3514" spans="2:5">
      <c r="B3514" t="s">
        <v>5458</v>
      </c>
      <c r="C3514">
        <v>540696</v>
      </c>
      <c r="D3514" t="s">
        <v>360</v>
      </c>
      <c r="E3514" t="s">
        <v>382</v>
      </c>
    </row>
    <row r="3515" spans="2:5">
      <c r="B3515" t="s">
        <v>5459</v>
      </c>
      <c r="C3515">
        <v>540696</v>
      </c>
      <c r="D3515" t="s">
        <v>360</v>
      </c>
      <c r="E3515" t="s">
        <v>382</v>
      </c>
    </row>
    <row r="3516" spans="2:5">
      <c r="B3516" t="s">
        <v>5460</v>
      </c>
      <c r="C3516">
        <v>532785</v>
      </c>
      <c r="D3516" t="s">
        <v>5461</v>
      </c>
      <c r="E3516" t="s">
        <v>354</v>
      </c>
    </row>
    <row r="3517" spans="2:5">
      <c r="B3517" t="s">
        <v>5462</v>
      </c>
      <c r="C3517">
        <v>539226</v>
      </c>
      <c r="D3517" t="s">
        <v>360</v>
      </c>
      <c r="E3517" t="s">
        <v>392</v>
      </c>
    </row>
    <row r="3518" spans="2:5">
      <c r="B3518" t="s">
        <v>5463</v>
      </c>
      <c r="C3518" t="s">
        <v>360</v>
      </c>
      <c r="D3518" t="s">
        <v>5464</v>
      </c>
      <c r="E3518" t="s">
        <v>371</v>
      </c>
    </row>
    <row r="3519" spans="2:5">
      <c r="B3519" t="s">
        <v>5465</v>
      </c>
      <c r="C3519">
        <v>519413</v>
      </c>
      <c r="D3519" t="s">
        <v>360</v>
      </c>
      <c r="E3519" t="s">
        <v>382</v>
      </c>
    </row>
    <row r="3520" spans="2:5">
      <c r="B3520" t="s">
        <v>5466</v>
      </c>
      <c r="C3520">
        <v>530449</v>
      </c>
      <c r="D3520" t="s">
        <v>360</v>
      </c>
      <c r="E3520" t="s">
        <v>480</v>
      </c>
    </row>
    <row r="3521" spans="2:5">
      <c r="B3521" t="s">
        <v>5467</v>
      </c>
      <c r="C3521">
        <v>533552</v>
      </c>
      <c r="D3521" t="s">
        <v>5468</v>
      </c>
      <c r="E3521" t="s">
        <v>474</v>
      </c>
    </row>
    <row r="3522" spans="2:5">
      <c r="B3522" t="s">
        <v>5469</v>
      </c>
      <c r="C3522">
        <v>533470</v>
      </c>
      <c r="D3522" t="s">
        <v>5470</v>
      </c>
      <c r="E3522" t="s">
        <v>855</v>
      </c>
    </row>
    <row r="3523" spans="2:5">
      <c r="B3523" t="s">
        <v>5471</v>
      </c>
      <c r="C3523">
        <v>504335</v>
      </c>
      <c r="D3523" t="s">
        <v>360</v>
      </c>
      <c r="E3523" t="s">
        <v>382</v>
      </c>
    </row>
    <row r="3524" spans="2:5">
      <c r="B3524" t="s">
        <v>5472</v>
      </c>
      <c r="C3524">
        <v>517035</v>
      </c>
      <c r="D3524" t="s">
        <v>360</v>
      </c>
      <c r="E3524" t="s">
        <v>902</v>
      </c>
    </row>
    <row r="3525" spans="2:5">
      <c r="B3525" t="s">
        <v>5473</v>
      </c>
      <c r="C3525">
        <v>542034</v>
      </c>
      <c r="D3525" t="s">
        <v>360</v>
      </c>
      <c r="E3525" t="s">
        <v>474</v>
      </c>
    </row>
    <row r="3526" spans="2:5">
      <c r="B3526" t="s">
        <v>5474</v>
      </c>
      <c r="C3526">
        <v>532604</v>
      </c>
      <c r="D3526" t="s">
        <v>5475</v>
      </c>
      <c r="E3526" t="s">
        <v>392</v>
      </c>
    </row>
    <row r="3527" spans="2:5">
      <c r="B3527" t="s">
        <v>5476</v>
      </c>
      <c r="C3527">
        <v>540497</v>
      </c>
      <c r="D3527" t="s">
        <v>5477</v>
      </c>
      <c r="E3527" t="s">
        <v>884</v>
      </c>
    </row>
    <row r="3528" spans="2:5">
      <c r="B3528" t="s">
        <v>5478</v>
      </c>
      <c r="C3528">
        <v>534598</v>
      </c>
      <c r="D3528" t="s">
        <v>5479</v>
      </c>
      <c r="E3528" t="s">
        <v>499</v>
      </c>
    </row>
    <row r="3529" spans="2:5">
      <c r="B3529" t="s">
        <v>5480</v>
      </c>
      <c r="C3529">
        <v>539450</v>
      </c>
      <c r="D3529" t="s">
        <v>5481</v>
      </c>
      <c r="E3529" t="s">
        <v>542</v>
      </c>
    </row>
    <row r="3530" spans="2:5">
      <c r="B3530" t="s">
        <v>5482</v>
      </c>
      <c r="C3530">
        <v>532316</v>
      </c>
      <c r="D3530" t="s">
        <v>5483</v>
      </c>
      <c r="E3530" t="s">
        <v>5484</v>
      </c>
    </row>
    <row r="3531" spans="2:5">
      <c r="B3531" t="s">
        <v>5485</v>
      </c>
      <c r="C3531">
        <v>540048</v>
      </c>
      <c r="D3531" t="s">
        <v>5486</v>
      </c>
      <c r="E3531" t="s">
        <v>474</v>
      </c>
    </row>
    <row r="3532" spans="2:5">
      <c r="B3532" t="s">
        <v>5487</v>
      </c>
      <c r="C3532">
        <v>536710</v>
      </c>
      <c r="D3532" t="s">
        <v>360</v>
      </c>
      <c r="E3532" t="s">
        <v>377</v>
      </c>
    </row>
    <row r="3533" spans="2:5">
      <c r="B3533" t="s">
        <v>5488</v>
      </c>
      <c r="C3533">
        <v>513515</v>
      </c>
      <c r="D3533" t="s">
        <v>360</v>
      </c>
      <c r="E3533" t="s">
        <v>375</v>
      </c>
    </row>
    <row r="3534" spans="2:5">
      <c r="B3534" t="s">
        <v>5489</v>
      </c>
      <c r="C3534">
        <v>531307</v>
      </c>
      <c r="D3534" t="s">
        <v>360</v>
      </c>
      <c r="E3534" t="s">
        <v>375</v>
      </c>
    </row>
    <row r="3535" spans="2:5">
      <c r="B3535" t="s">
        <v>5490</v>
      </c>
      <c r="C3535" t="s">
        <v>360</v>
      </c>
      <c r="D3535" t="s">
        <v>5491</v>
      </c>
      <c r="E3535" t="s">
        <v>371</v>
      </c>
    </row>
    <row r="3536" spans="2:5">
      <c r="B3536" t="s">
        <v>5492</v>
      </c>
      <c r="C3536">
        <v>538876</v>
      </c>
      <c r="D3536" t="s">
        <v>360</v>
      </c>
      <c r="E3536" t="s">
        <v>377</v>
      </c>
    </row>
    <row r="3537" spans="2:5">
      <c r="B3537" t="s">
        <v>5493</v>
      </c>
      <c r="C3537">
        <v>535621</v>
      </c>
      <c r="D3537" t="s">
        <v>360</v>
      </c>
      <c r="E3537" t="s">
        <v>446</v>
      </c>
    </row>
    <row r="3538" spans="2:5">
      <c r="B3538" t="s">
        <v>5494</v>
      </c>
      <c r="C3538">
        <v>503622</v>
      </c>
      <c r="D3538" t="s">
        <v>360</v>
      </c>
      <c r="E3538" t="s">
        <v>343</v>
      </c>
    </row>
    <row r="3539" spans="2:5">
      <c r="B3539" t="s">
        <v>5495</v>
      </c>
      <c r="C3539">
        <v>514197</v>
      </c>
      <c r="D3539" t="s">
        <v>360</v>
      </c>
      <c r="E3539" t="s">
        <v>375</v>
      </c>
    </row>
    <row r="3540" spans="2:5">
      <c r="B3540" t="s">
        <v>5496</v>
      </c>
      <c r="C3540">
        <v>540081</v>
      </c>
      <c r="D3540" t="s">
        <v>5497</v>
      </c>
      <c r="E3540" t="s">
        <v>884</v>
      </c>
    </row>
    <row r="3541" spans="2:5">
      <c r="B3541" t="s">
        <v>5498</v>
      </c>
      <c r="C3541">
        <v>539112</v>
      </c>
      <c r="D3541" t="s">
        <v>360</v>
      </c>
      <c r="E3541" t="s">
        <v>446</v>
      </c>
    </row>
    <row r="3542" spans="2:5">
      <c r="B3542" t="s">
        <v>5499</v>
      </c>
      <c r="C3542">
        <v>530267</v>
      </c>
      <c r="D3542" t="s">
        <v>360</v>
      </c>
      <c r="E3542" t="s">
        <v>368</v>
      </c>
    </row>
    <row r="3543" spans="2:5">
      <c r="B3543" t="s">
        <v>5500</v>
      </c>
      <c r="C3543">
        <v>530461</v>
      </c>
      <c r="D3543" t="s">
        <v>360</v>
      </c>
      <c r="E3543" t="s">
        <v>440</v>
      </c>
    </row>
    <row r="3544" spans="2:5">
      <c r="B3544" t="s">
        <v>5501</v>
      </c>
      <c r="C3544">
        <v>540132</v>
      </c>
      <c r="D3544" t="s">
        <v>360</v>
      </c>
      <c r="E3544" t="s">
        <v>382</v>
      </c>
    </row>
    <row r="3545" spans="2:5">
      <c r="B3545" t="s">
        <v>5502</v>
      </c>
      <c r="C3545">
        <v>540132</v>
      </c>
      <c r="D3545" t="s">
        <v>360</v>
      </c>
      <c r="E3545" t="s">
        <v>382</v>
      </c>
    </row>
    <row r="3546" spans="2:5">
      <c r="B3546" t="s">
        <v>5503</v>
      </c>
      <c r="C3546">
        <v>531869</v>
      </c>
      <c r="D3546" t="s">
        <v>360</v>
      </c>
      <c r="E3546" t="s">
        <v>665</v>
      </c>
    </row>
    <row r="3547" spans="2:5">
      <c r="B3547" t="s">
        <v>5504</v>
      </c>
      <c r="C3547">
        <v>532710</v>
      </c>
      <c r="D3547" t="s">
        <v>5505</v>
      </c>
      <c r="E3547" t="s">
        <v>758</v>
      </c>
    </row>
    <row r="3548" spans="2:5">
      <c r="B3548" t="s">
        <v>5506</v>
      </c>
      <c r="C3548">
        <v>539346</v>
      </c>
      <c r="D3548" t="s">
        <v>5507</v>
      </c>
      <c r="E3548" t="s">
        <v>955</v>
      </c>
    </row>
    <row r="3549" spans="2:5">
      <c r="B3549" t="s">
        <v>5508</v>
      </c>
      <c r="C3549">
        <v>506642</v>
      </c>
      <c r="D3549" t="s">
        <v>360</v>
      </c>
      <c r="E3549" t="s">
        <v>408</v>
      </c>
    </row>
    <row r="3550" spans="2:5">
      <c r="B3550" t="s">
        <v>5509</v>
      </c>
      <c r="C3550">
        <v>540821</v>
      </c>
      <c r="D3550" t="s">
        <v>360</v>
      </c>
      <c r="E3550" t="s">
        <v>1098</v>
      </c>
    </row>
    <row r="3551" spans="2:5">
      <c r="B3551" t="s">
        <v>5510</v>
      </c>
      <c r="C3551">
        <v>532034</v>
      </c>
      <c r="D3551" t="s">
        <v>360</v>
      </c>
      <c r="E3551" t="s">
        <v>542</v>
      </c>
    </row>
    <row r="3552" spans="2:5">
      <c r="B3552" t="s">
        <v>5511</v>
      </c>
      <c r="C3552">
        <v>531448</v>
      </c>
      <c r="D3552" t="s">
        <v>360</v>
      </c>
      <c r="E3552" t="s">
        <v>781</v>
      </c>
    </row>
    <row r="3553" spans="2:5">
      <c r="B3553" t="s">
        <v>5512</v>
      </c>
      <c r="C3553">
        <v>523025</v>
      </c>
      <c r="D3553" t="s">
        <v>360</v>
      </c>
      <c r="E3553" t="s">
        <v>474</v>
      </c>
    </row>
    <row r="3554" spans="2:5">
      <c r="B3554" t="s">
        <v>5513</v>
      </c>
      <c r="C3554">
        <v>523025</v>
      </c>
      <c r="D3554" t="s">
        <v>360</v>
      </c>
      <c r="E3554" t="s">
        <v>474</v>
      </c>
    </row>
    <row r="3555" spans="2:5">
      <c r="B3555" t="s">
        <v>5514</v>
      </c>
      <c r="C3555">
        <v>502090</v>
      </c>
      <c r="D3555" t="s">
        <v>5515</v>
      </c>
      <c r="E3555" t="s">
        <v>373</v>
      </c>
    </row>
    <row r="3556" spans="2:5">
      <c r="B3556" t="s">
        <v>5516</v>
      </c>
      <c r="C3556">
        <v>540715</v>
      </c>
      <c r="D3556" t="s">
        <v>360</v>
      </c>
      <c r="E3556" t="s">
        <v>474</v>
      </c>
    </row>
    <row r="3557" spans="2:5">
      <c r="B3557" t="s">
        <v>5517</v>
      </c>
      <c r="C3557">
        <v>532092</v>
      </c>
      <c r="D3557" t="s">
        <v>360</v>
      </c>
      <c r="E3557" t="s">
        <v>377</v>
      </c>
    </row>
    <row r="3558" spans="2:5">
      <c r="B3558" t="s">
        <v>5518</v>
      </c>
      <c r="C3558">
        <v>507663</v>
      </c>
      <c r="D3558" t="s">
        <v>360</v>
      </c>
      <c r="E3558" t="s">
        <v>609</v>
      </c>
    </row>
    <row r="3559" spans="2:5">
      <c r="B3559" t="s">
        <v>5519</v>
      </c>
      <c r="C3559">
        <v>511254</v>
      </c>
      <c r="D3559" t="s">
        <v>360</v>
      </c>
      <c r="E3559" t="s">
        <v>377</v>
      </c>
    </row>
    <row r="3560" spans="2:5">
      <c r="B3560" t="s">
        <v>5520</v>
      </c>
      <c r="C3560">
        <v>526085</v>
      </c>
      <c r="D3560" t="s">
        <v>360</v>
      </c>
      <c r="E3560" t="s">
        <v>561</v>
      </c>
    </row>
    <row r="3561" spans="2:5">
      <c r="B3561" t="s">
        <v>5521</v>
      </c>
      <c r="C3561" t="s">
        <v>360</v>
      </c>
      <c r="D3561" t="s">
        <v>5522</v>
      </c>
      <c r="E3561" t="s">
        <v>371</v>
      </c>
    </row>
    <row r="3562" spans="2:5">
      <c r="B3562" t="s">
        <v>5523</v>
      </c>
      <c r="C3562">
        <v>540143</v>
      </c>
      <c r="D3562" t="s">
        <v>360</v>
      </c>
      <c r="E3562" t="s">
        <v>346</v>
      </c>
    </row>
    <row r="3563" spans="2:5">
      <c r="B3563" t="s">
        <v>5524</v>
      </c>
      <c r="C3563">
        <v>540143</v>
      </c>
      <c r="D3563" t="s">
        <v>360</v>
      </c>
      <c r="E3563" t="s">
        <v>346</v>
      </c>
    </row>
    <row r="3564" spans="2:5">
      <c r="B3564" t="s">
        <v>5525</v>
      </c>
      <c r="C3564">
        <v>511533</v>
      </c>
      <c r="D3564" t="s">
        <v>360</v>
      </c>
      <c r="E3564" t="s">
        <v>418</v>
      </c>
    </row>
    <row r="3565" spans="2:5">
      <c r="B3565" t="s">
        <v>5526</v>
      </c>
      <c r="C3565">
        <v>503691</v>
      </c>
      <c r="D3565" t="s">
        <v>360</v>
      </c>
      <c r="E3565" t="s">
        <v>1098</v>
      </c>
    </row>
    <row r="3566" spans="2:5">
      <c r="B3566" t="s">
        <v>5527</v>
      </c>
      <c r="C3566">
        <v>532841</v>
      </c>
      <c r="D3566" t="s">
        <v>360</v>
      </c>
      <c r="E3566" t="s">
        <v>373</v>
      </c>
    </row>
    <row r="3567" spans="2:5">
      <c r="B3567" t="s">
        <v>5528</v>
      </c>
      <c r="C3567">
        <v>539660</v>
      </c>
      <c r="D3567" t="s">
        <v>360</v>
      </c>
      <c r="E3567" t="s">
        <v>343</v>
      </c>
    </row>
    <row r="3568" spans="2:5">
      <c r="B3568" t="s">
        <v>5529</v>
      </c>
      <c r="C3568">
        <v>538557</v>
      </c>
      <c r="D3568" t="s">
        <v>360</v>
      </c>
      <c r="E3568" t="s">
        <v>382</v>
      </c>
    </row>
    <row r="3569" spans="2:5">
      <c r="B3569" t="s">
        <v>5530</v>
      </c>
      <c r="C3569">
        <v>531931</v>
      </c>
      <c r="D3569" t="s">
        <v>360</v>
      </c>
      <c r="E3569" t="s">
        <v>781</v>
      </c>
    </row>
    <row r="3570" spans="2:5">
      <c r="B3570" t="s">
        <v>5531</v>
      </c>
      <c r="C3570">
        <v>530905</v>
      </c>
      <c r="D3570" t="s">
        <v>360</v>
      </c>
      <c r="E3570" t="s">
        <v>377</v>
      </c>
    </row>
    <row r="3571" spans="2:5">
      <c r="B3571" t="s">
        <v>5532</v>
      </c>
      <c r="C3571">
        <v>540066</v>
      </c>
      <c r="D3571" t="s">
        <v>360</v>
      </c>
      <c r="E3571" t="s">
        <v>715</v>
      </c>
    </row>
    <row r="3572" spans="2:5">
      <c r="B3572" t="s">
        <v>5533</v>
      </c>
      <c r="C3572">
        <v>530265</v>
      </c>
      <c r="D3572" t="s">
        <v>360</v>
      </c>
      <c r="E3572" t="s">
        <v>373</v>
      </c>
    </row>
    <row r="3573" spans="2:5">
      <c r="B3573" t="s">
        <v>5534</v>
      </c>
      <c r="C3573">
        <v>515043</v>
      </c>
      <c r="D3573" t="s">
        <v>360</v>
      </c>
      <c r="E3573" t="s">
        <v>637</v>
      </c>
    </row>
    <row r="3574" spans="2:5">
      <c r="B3574" t="s">
        <v>5535</v>
      </c>
      <c r="C3574">
        <v>515043</v>
      </c>
      <c r="D3574" t="s">
        <v>360</v>
      </c>
      <c r="E3574" t="s">
        <v>637</v>
      </c>
    </row>
    <row r="3575" spans="2:5">
      <c r="B3575" t="s">
        <v>5536</v>
      </c>
      <c r="C3575" t="s">
        <v>360</v>
      </c>
      <c r="D3575" t="s">
        <v>5537</v>
      </c>
      <c r="E3575" t="s">
        <v>371</v>
      </c>
    </row>
    <row r="3576" spans="2:5">
      <c r="B3576" t="s">
        <v>5538</v>
      </c>
      <c r="C3576" t="s">
        <v>360</v>
      </c>
      <c r="D3576" t="s">
        <v>5539</v>
      </c>
      <c r="E3576" t="s">
        <v>371</v>
      </c>
    </row>
    <row r="3577" spans="2:5">
      <c r="B3577" t="s">
        <v>5540</v>
      </c>
      <c r="C3577">
        <v>590051</v>
      </c>
      <c r="D3577" t="s">
        <v>5541</v>
      </c>
      <c r="E3577" t="s">
        <v>453</v>
      </c>
    </row>
    <row r="3578" spans="2:5">
      <c r="B3578" t="s">
        <v>5542</v>
      </c>
      <c r="C3578">
        <v>511066</v>
      </c>
      <c r="D3578" t="s">
        <v>360</v>
      </c>
      <c r="E3578" t="s">
        <v>377</v>
      </c>
    </row>
    <row r="3579" spans="2:5">
      <c r="B3579" t="s">
        <v>5543</v>
      </c>
      <c r="C3579">
        <v>507315</v>
      </c>
      <c r="D3579" t="s">
        <v>5544</v>
      </c>
      <c r="E3579" t="s">
        <v>1058</v>
      </c>
    </row>
    <row r="3580" spans="2:5">
      <c r="B3580" t="s">
        <v>5545</v>
      </c>
      <c r="C3580">
        <v>532713</v>
      </c>
      <c r="D3580" t="s">
        <v>5546</v>
      </c>
      <c r="E3580" t="s">
        <v>382</v>
      </c>
    </row>
    <row r="3581" spans="2:5">
      <c r="B3581" t="s">
        <v>5547</v>
      </c>
      <c r="C3581">
        <v>540642</v>
      </c>
      <c r="D3581" t="s">
        <v>5548</v>
      </c>
      <c r="E3581" t="s">
        <v>758</v>
      </c>
    </row>
    <row r="3582" spans="2:5">
      <c r="B3582" t="s">
        <v>5549</v>
      </c>
      <c r="C3582">
        <v>540181</v>
      </c>
      <c r="D3582" t="s">
        <v>360</v>
      </c>
      <c r="E3582" t="s">
        <v>377</v>
      </c>
    </row>
    <row r="3583" spans="2:5">
      <c r="B3583" t="s">
        <v>5550</v>
      </c>
      <c r="C3583">
        <v>526554</v>
      </c>
      <c r="D3583" t="s">
        <v>360</v>
      </c>
      <c r="E3583" t="s">
        <v>555</v>
      </c>
    </row>
    <row r="3584" spans="2:5">
      <c r="B3584" t="s">
        <v>5551</v>
      </c>
      <c r="C3584">
        <v>590056</v>
      </c>
      <c r="D3584" t="s">
        <v>5552</v>
      </c>
      <c r="E3584" t="s">
        <v>375</v>
      </c>
    </row>
    <row r="3585" spans="2:5">
      <c r="B3585" t="s">
        <v>5553</v>
      </c>
      <c r="C3585">
        <v>500370</v>
      </c>
      <c r="D3585" t="s">
        <v>5554</v>
      </c>
      <c r="E3585" t="s">
        <v>382</v>
      </c>
    </row>
    <row r="3586" spans="2:5">
      <c r="B3586" t="s">
        <v>5555</v>
      </c>
      <c r="C3586">
        <v>517059</v>
      </c>
      <c r="D3586" t="s">
        <v>5556</v>
      </c>
      <c r="E3586" t="s">
        <v>658</v>
      </c>
    </row>
    <row r="3587" spans="2:5">
      <c r="B3587" t="s">
        <v>5557</v>
      </c>
      <c r="C3587">
        <v>532005</v>
      </c>
      <c r="D3587" t="s">
        <v>360</v>
      </c>
      <c r="E3587" t="s">
        <v>545</v>
      </c>
    </row>
    <row r="3588" spans="2:5">
      <c r="B3588" t="s">
        <v>5558</v>
      </c>
      <c r="C3588">
        <v>521240</v>
      </c>
      <c r="D3588" t="s">
        <v>360</v>
      </c>
      <c r="E3588" t="s">
        <v>375</v>
      </c>
    </row>
    <row r="3589" spans="2:5">
      <c r="B3589" t="s">
        <v>5559</v>
      </c>
      <c r="C3589">
        <v>511630</v>
      </c>
      <c r="D3589" t="s">
        <v>5560</v>
      </c>
      <c r="E3589" t="s">
        <v>884</v>
      </c>
    </row>
    <row r="3590" spans="2:5">
      <c r="B3590" t="s">
        <v>5561</v>
      </c>
      <c r="C3590">
        <v>520075</v>
      </c>
      <c r="D3590" t="s">
        <v>360</v>
      </c>
      <c r="E3590" t="s">
        <v>715</v>
      </c>
    </row>
    <row r="3591" spans="2:5">
      <c r="B3591" t="s">
        <v>5562</v>
      </c>
      <c r="C3591">
        <v>530617</v>
      </c>
      <c r="D3591" t="s">
        <v>360</v>
      </c>
      <c r="E3591" t="s">
        <v>420</v>
      </c>
    </row>
    <row r="3592" spans="2:5">
      <c r="B3592" t="s">
        <v>5563</v>
      </c>
      <c r="C3592">
        <v>530125</v>
      </c>
      <c r="D3592" t="s">
        <v>360</v>
      </c>
      <c r="E3592" t="s">
        <v>398</v>
      </c>
    </row>
    <row r="3593" spans="2:5">
      <c r="B3593" t="s">
        <v>5564</v>
      </c>
      <c r="C3593">
        <v>500371</v>
      </c>
      <c r="D3593" t="s">
        <v>360</v>
      </c>
      <c r="E3593" t="s">
        <v>729</v>
      </c>
    </row>
    <row r="3594" spans="2:5">
      <c r="B3594" t="s">
        <v>5565</v>
      </c>
      <c r="C3594">
        <v>500371</v>
      </c>
      <c r="D3594" t="s">
        <v>360</v>
      </c>
      <c r="E3594" t="s">
        <v>729</v>
      </c>
    </row>
    <row r="3595" spans="2:5">
      <c r="B3595" t="s">
        <v>5566</v>
      </c>
      <c r="C3595">
        <v>521206</v>
      </c>
      <c r="D3595" t="s">
        <v>360</v>
      </c>
      <c r="E3595" t="s">
        <v>474</v>
      </c>
    </row>
    <row r="3596" spans="2:5">
      <c r="B3596" t="s">
        <v>5567</v>
      </c>
      <c r="C3596">
        <v>530025</v>
      </c>
      <c r="D3596" t="s">
        <v>360</v>
      </c>
      <c r="E3596" t="s">
        <v>781</v>
      </c>
    </row>
    <row r="3597" spans="2:5">
      <c r="B3597" t="s">
        <v>5568</v>
      </c>
      <c r="C3597">
        <v>780015</v>
      </c>
      <c r="D3597" t="s">
        <v>360</v>
      </c>
      <c r="E3597" t="s">
        <v>451</v>
      </c>
    </row>
    <row r="3598" spans="2:5">
      <c r="B3598" t="s">
        <v>5569</v>
      </c>
      <c r="C3598">
        <v>509423</v>
      </c>
      <c r="D3598" t="s">
        <v>360</v>
      </c>
      <c r="E3598" t="s">
        <v>408</v>
      </c>
    </row>
    <row r="3599" spans="2:5">
      <c r="B3599" t="s">
        <v>5570</v>
      </c>
      <c r="C3599">
        <v>521222</v>
      </c>
      <c r="D3599" t="s">
        <v>360</v>
      </c>
      <c r="E3599" t="s">
        <v>474</v>
      </c>
    </row>
    <row r="3600" spans="2:5">
      <c r="B3600" t="s">
        <v>5571</v>
      </c>
      <c r="C3600" t="s">
        <v>360</v>
      </c>
      <c r="D3600" t="s">
        <v>5572</v>
      </c>
      <c r="E3600" t="s">
        <v>451</v>
      </c>
    </row>
    <row r="3601" spans="2:5">
      <c r="B3601" t="s">
        <v>5573</v>
      </c>
      <c r="C3601">
        <v>523116</v>
      </c>
      <c r="D3601" t="s">
        <v>360</v>
      </c>
      <c r="E3601" t="s">
        <v>483</v>
      </c>
    </row>
    <row r="3602" spans="2:5">
      <c r="B3602" t="s">
        <v>5574</v>
      </c>
      <c r="C3602">
        <v>541163</v>
      </c>
      <c r="D3602" t="s">
        <v>5575</v>
      </c>
      <c r="E3602" t="s">
        <v>715</v>
      </c>
    </row>
    <row r="3603" spans="2:5">
      <c r="B3603" t="s">
        <v>5576</v>
      </c>
      <c r="C3603">
        <v>524703</v>
      </c>
      <c r="D3603" t="s">
        <v>360</v>
      </c>
      <c r="E3603" t="s">
        <v>398</v>
      </c>
    </row>
    <row r="3604" spans="2:5">
      <c r="B3604" t="s">
        <v>5577</v>
      </c>
      <c r="C3604">
        <v>504918</v>
      </c>
      <c r="D3604" t="s">
        <v>360</v>
      </c>
      <c r="E3604" t="s">
        <v>340</v>
      </c>
    </row>
    <row r="3605" spans="2:5">
      <c r="B3605" t="s">
        <v>5578</v>
      </c>
      <c r="C3605">
        <v>539392</v>
      </c>
      <c r="D3605" t="s">
        <v>360</v>
      </c>
      <c r="E3605" t="s">
        <v>382</v>
      </c>
    </row>
    <row r="3606" spans="2:5">
      <c r="B3606" t="s">
        <v>5579</v>
      </c>
      <c r="C3606">
        <v>539392</v>
      </c>
      <c r="D3606" t="s">
        <v>360</v>
      </c>
      <c r="E3606" t="s">
        <v>382</v>
      </c>
    </row>
    <row r="3607" spans="2:5">
      <c r="B3607" t="s">
        <v>5580</v>
      </c>
      <c r="C3607">
        <v>516096</v>
      </c>
      <c r="D3607" t="s">
        <v>360</v>
      </c>
      <c r="E3607" t="s">
        <v>354</v>
      </c>
    </row>
    <row r="3608" spans="2:5">
      <c r="B3608" t="s">
        <v>5581</v>
      </c>
      <c r="C3608">
        <v>514234</v>
      </c>
      <c r="D3608" t="s">
        <v>5582</v>
      </c>
      <c r="E3608" t="s">
        <v>375</v>
      </c>
    </row>
    <row r="3609" spans="2:5">
      <c r="B3609" t="s">
        <v>5583</v>
      </c>
      <c r="C3609">
        <v>514234</v>
      </c>
      <c r="D3609" t="s">
        <v>5582</v>
      </c>
      <c r="E3609" t="s">
        <v>375</v>
      </c>
    </row>
    <row r="3610" spans="2:5">
      <c r="B3610" t="s">
        <v>5584</v>
      </c>
      <c r="C3610">
        <v>534618</v>
      </c>
      <c r="D3610" t="s">
        <v>360</v>
      </c>
      <c r="E3610" t="s">
        <v>499</v>
      </c>
    </row>
    <row r="3611" spans="2:5">
      <c r="B3611" t="s">
        <v>5585</v>
      </c>
      <c r="C3611">
        <v>511640</v>
      </c>
      <c r="D3611" t="s">
        <v>360</v>
      </c>
      <c r="E3611" t="s">
        <v>377</v>
      </c>
    </row>
    <row r="3612" spans="2:5">
      <c r="B3612" t="s">
        <v>5586</v>
      </c>
      <c r="C3612">
        <v>526521</v>
      </c>
      <c r="D3612" t="s">
        <v>5587</v>
      </c>
      <c r="E3612" t="s">
        <v>373</v>
      </c>
    </row>
    <row r="3613" spans="2:5">
      <c r="B3613" t="s">
        <v>5588</v>
      </c>
      <c r="C3613">
        <v>540782</v>
      </c>
      <c r="D3613" t="s">
        <v>360</v>
      </c>
      <c r="E3613" t="s">
        <v>561</v>
      </c>
    </row>
    <row r="3614" spans="2:5">
      <c r="B3614" t="s">
        <v>5589</v>
      </c>
      <c r="C3614">
        <v>533411</v>
      </c>
      <c r="D3614" t="s">
        <v>5590</v>
      </c>
      <c r="E3614" t="s">
        <v>1279</v>
      </c>
    </row>
    <row r="3615" spans="2:5">
      <c r="B3615" t="s">
        <v>5591</v>
      </c>
      <c r="C3615">
        <v>530073</v>
      </c>
      <c r="D3615" t="s">
        <v>5592</v>
      </c>
      <c r="E3615" t="s">
        <v>483</v>
      </c>
    </row>
    <row r="3616" spans="2:5">
      <c r="B3616" t="s">
        <v>5593</v>
      </c>
      <c r="C3616" t="s">
        <v>360</v>
      </c>
      <c r="D3616" t="s">
        <v>5594</v>
      </c>
      <c r="E3616" t="s">
        <v>371</v>
      </c>
    </row>
    <row r="3617" spans="2:5">
      <c r="B3617" t="s">
        <v>5595</v>
      </c>
      <c r="C3617">
        <v>531898</v>
      </c>
      <c r="D3617" t="s">
        <v>360</v>
      </c>
      <c r="E3617" t="s">
        <v>363</v>
      </c>
    </row>
    <row r="3618" spans="2:5">
      <c r="B3618" t="s">
        <v>5596</v>
      </c>
      <c r="C3618">
        <v>531569</v>
      </c>
      <c r="D3618" t="s">
        <v>360</v>
      </c>
      <c r="E3618" t="s">
        <v>398</v>
      </c>
    </row>
    <row r="3619" spans="2:5">
      <c r="B3619" t="s">
        <v>5597</v>
      </c>
      <c r="C3619">
        <v>532972</v>
      </c>
      <c r="D3619" t="s">
        <v>360</v>
      </c>
      <c r="E3619" t="s">
        <v>453</v>
      </c>
    </row>
    <row r="3620" spans="2:5">
      <c r="B3620" t="s">
        <v>5598</v>
      </c>
      <c r="C3620">
        <v>532435</v>
      </c>
      <c r="D3620" t="s">
        <v>360</v>
      </c>
      <c r="E3620" t="s">
        <v>446</v>
      </c>
    </row>
    <row r="3621" spans="2:5">
      <c r="B3621" t="s">
        <v>5599</v>
      </c>
      <c r="C3621">
        <v>512062</v>
      </c>
      <c r="D3621" t="s">
        <v>360</v>
      </c>
      <c r="E3621" t="s">
        <v>781</v>
      </c>
    </row>
    <row r="3622" spans="2:5">
      <c r="B3622" t="s">
        <v>5600</v>
      </c>
      <c r="C3622">
        <v>500674</v>
      </c>
      <c r="D3622" t="s">
        <v>5601</v>
      </c>
      <c r="E3622" t="s">
        <v>398</v>
      </c>
    </row>
    <row r="3623" spans="2:5">
      <c r="B3623" t="s">
        <v>5602</v>
      </c>
      <c r="C3623">
        <v>500674</v>
      </c>
      <c r="D3623" t="s">
        <v>5601</v>
      </c>
      <c r="E3623" t="s">
        <v>398</v>
      </c>
    </row>
    <row r="3624" spans="2:5">
      <c r="B3624" t="s">
        <v>5603</v>
      </c>
      <c r="C3624">
        <v>514280</v>
      </c>
      <c r="D3624" t="s">
        <v>360</v>
      </c>
      <c r="E3624" t="s">
        <v>375</v>
      </c>
    </row>
    <row r="3625" spans="2:5">
      <c r="B3625" t="s">
        <v>5604</v>
      </c>
      <c r="C3625">
        <v>530035</v>
      </c>
      <c r="D3625" t="s">
        <v>360</v>
      </c>
      <c r="E3625" t="s">
        <v>375</v>
      </c>
    </row>
    <row r="3626" spans="2:5">
      <c r="B3626" t="s">
        <v>5605</v>
      </c>
      <c r="C3626">
        <v>540822</v>
      </c>
      <c r="D3626" t="s">
        <v>360</v>
      </c>
      <c r="E3626" t="s">
        <v>377</v>
      </c>
    </row>
    <row r="3627" spans="2:5">
      <c r="B3627" t="s">
        <v>5606</v>
      </c>
      <c r="C3627">
        <v>519260</v>
      </c>
      <c r="D3627" t="s">
        <v>5607</v>
      </c>
      <c r="E3627" t="s">
        <v>609</v>
      </c>
    </row>
    <row r="3628" spans="2:5">
      <c r="B3628" t="s">
        <v>5608</v>
      </c>
      <c r="C3628">
        <v>506906</v>
      </c>
      <c r="D3628" t="s">
        <v>360</v>
      </c>
      <c r="E3628" t="s">
        <v>382</v>
      </c>
    </row>
    <row r="3629" spans="2:5">
      <c r="B3629" t="s">
        <v>5609</v>
      </c>
      <c r="C3629">
        <v>519238</v>
      </c>
      <c r="D3629" t="s">
        <v>360</v>
      </c>
      <c r="E3629" t="s">
        <v>558</v>
      </c>
    </row>
    <row r="3630" spans="2:5">
      <c r="B3630" t="s">
        <v>5610</v>
      </c>
      <c r="C3630">
        <v>538992</v>
      </c>
      <c r="D3630" t="s">
        <v>360</v>
      </c>
      <c r="E3630" t="s">
        <v>715</v>
      </c>
    </row>
    <row r="3631" spans="2:5">
      <c r="B3631" t="s">
        <v>5611</v>
      </c>
      <c r="C3631">
        <v>512020</v>
      </c>
      <c r="D3631" t="s">
        <v>360</v>
      </c>
      <c r="E3631" t="s">
        <v>377</v>
      </c>
    </row>
    <row r="3632" spans="2:5">
      <c r="B3632" t="s">
        <v>5612</v>
      </c>
      <c r="C3632">
        <v>512020</v>
      </c>
      <c r="D3632" t="s">
        <v>360</v>
      </c>
      <c r="E3632" t="s">
        <v>377</v>
      </c>
    </row>
    <row r="3633" spans="2:5">
      <c r="B3633" t="s">
        <v>5613</v>
      </c>
      <c r="C3633">
        <v>504614</v>
      </c>
      <c r="D3633" t="s">
        <v>5614</v>
      </c>
      <c r="E3633" t="s">
        <v>392</v>
      </c>
    </row>
    <row r="3634" spans="2:5">
      <c r="B3634" t="s">
        <v>5615</v>
      </c>
      <c r="C3634">
        <v>516032</v>
      </c>
      <c r="D3634" t="s">
        <v>360</v>
      </c>
      <c r="E3634" t="s">
        <v>354</v>
      </c>
    </row>
    <row r="3635" spans="2:5">
      <c r="B3635" t="s">
        <v>5616</v>
      </c>
      <c r="C3635">
        <v>516003</v>
      </c>
      <c r="D3635" t="s">
        <v>360</v>
      </c>
      <c r="E3635" t="s">
        <v>855</v>
      </c>
    </row>
    <row r="3636" spans="2:5">
      <c r="B3636" t="s">
        <v>5617</v>
      </c>
      <c r="C3636">
        <v>519242</v>
      </c>
      <c r="D3636" t="s">
        <v>360</v>
      </c>
      <c r="E3636" t="s">
        <v>609</v>
      </c>
    </row>
    <row r="3637" spans="2:5">
      <c r="B3637" t="s">
        <v>5618</v>
      </c>
      <c r="C3637">
        <v>532163</v>
      </c>
      <c r="D3637" t="s">
        <v>5619</v>
      </c>
      <c r="E3637" t="s">
        <v>363</v>
      </c>
    </row>
    <row r="3638" spans="2:5">
      <c r="B3638" t="s">
        <v>5620</v>
      </c>
      <c r="C3638">
        <v>532163</v>
      </c>
      <c r="D3638" t="s">
        <v>5619</v>
      </c>
      <c r="E3638" t="s">
        <v>363</v>
      </c>
    </row>
    <row r="3639" spans="2:5">
      <c r="B3639" t="s">
        <v>5621</v>
      </c>
      <c r="C3639">
        <v>526885</v>
      </c>
      <c r="D3639" t="s">
        <v>5622</v>
      </c>
      <c r="E3639" t="s">
        <v>375</v>
      </c>
    </row>
    <row r="3640" spans="2:5">
      <c r="B3640" t="s">
        <v>5623</v>
      </c>
      <c r="C3640">
        <v>530993</v>
      </c>
      <c r="D3640" t="s">
        <v>360</v>
      </c>
      <c r="E3640" t="s">
        <v>382</v>
      </c>
    </row>
    <row r="3641" spans="2:5">
      <c r="B3641" t="s">
        <v>5624</v>
      </c>
      <c r="C3641">
        <v>531930</v>
      </c>
      <c r="D3641" t="s">
        <v>360</v>
      </c>
      <c r="E3641" t="s">
        <v>1279</v>
      </c>
    </row>
    <row r="3642" spans="2:5">
      <c r="B3642" t="s">
        <v>5625</v>
      </c>
      <c r="C3642">
        <v>540393</v>
      </c>
      <c r="D3642" t="s">
        <v>360</v>
      </c>
      <c r="E3642" t="s">
        <v>683</v>
      </c>
    </row>
    <row r="3643" spans="2:5">
      <c r="B3643" t="s">
        <v>5626</v>
      </c>
      <c r="C3643">
        <v>514412</v>
      </c>
      <c r="D3643" t="s">
        <v>360</v>
      </c>
      <c r="E3643" t="s">
        <v>474</v>
      </c>
    </row>
    <row r="3644" spans="2:5">
      <c r="B3644" t="s">
        <v>5627</v>
      </c>
      <c r="C3644">
        <v>506190</v>
      </c>
      <c r="D3644" t="s">
        <v>360</v>
      </c>
      <c r="E3644" t="s">
        <v>781</v>
      </c>
    </row>
    <row r="3645" spans="2:5">
      <c r="B3645" t="s">
        <v>5628</v>
      </c>
      <c r="C3645" t="s">
        <v>360</v>
      </c>
      <c r="D3645" t="s">
        <v>5629</v>
      </c>
      <c r="E3645" t="s">
        <v>371</v>
      </c>
    </row>
    <row r="3646" spans="2:5">
      <c r="B3646" t="s">
        <v>5630</v>
      </c>
      <c r="C3646">
        <v>539124</v>
      </c>
      <c r="D3646" t="s">
        <v>360</v>
      </c>
      <c r="E3646" t="s">
        <v>377</v>
      </c>
    </row>
    <row r="3647" spans="2:5">
      <c r="B3647" t="s">
        <v>5631</v>
      </c>
      <c r="C3647">
        <v>506313</v>
      </c>
      <c r="D3647" t="s">
        <v>360</v>
      </c>
      <c r="E3647" t="s">
        <v>888</v>
      </c>
    </row>
    <row r="3648" spans="2:5">
      <c r="B3648" t="s">
        <v>5632</v>
      </c>
      <c r="C3648">
        <v>532663</v>
      </c>
      <c r="D3648" t="s">
        <v>5633</v>
      </c>
      <c r="E3648" t="s">
        <v>346</v>
      </c>
    </row>
    <row r="3649" spans="2:5">
      <c r="B3649" t="s">
        <v>5634</v>
      </c>
      <c r="C3649">
        <v>533259</v>
      </c>
      <c r="D3649" t="s">
        <v>5635</v>
      </c>
      <c r="E3649" t="s">
        <v>549</v>
      </c>
    </row>
    <row r="3650" spans="2:5">
      <c r="B3650" t="s">
        <v>5636</v>
      </c>
      <c r="C3650">
        <v>511076</v>
      </c>
      <c r="D3650" t="s">
        <v>360</v>
      </c>
      <c r="E3650" t="s">
        <v>382</v>
      </c>
    </row>
    <row r="3651" spans="2:5">
      <c r="B3651" t="s">
        <v>5637</v>
      </c>
      <c r="C3651">
        <v>526093</v>
      </c>
      <c r="D3651" t="s">
        <v>5638</v>
      </c>
      <c r="E3651" t="s">
        <v>392</v>
      </c>
    </row>
    <row r="3652" spans="2:5">
      <c r="B3652" t="s">
        <v>5639</v>
      </c>
      <c r="C3652">
        <v>539201</v>
      </c>
      <c r="D3652" t="s">
        <v>360</v>
      </c>
      <c r="E3652" t="s">
        <v>354</v>
      </c>
    </row>
    <row r="3653" spans="2:5">
      <c r="B3653" t="s">
        <v>5640</v>
      </c>
      <c r="C3653">
        <v>539404</v>
      </c>
      <c r="D3653" t="s">
        <v>5641</v>
      </c>
      <c r="E3653" t="s">
        <v>377</v>
      </c>
    </row>
    <row r="3654" spans="2:5">
      <c r="B3654" t="s">
        <v>5642</v>
      </c>
      <c r="C3654">
        <v>536592</v>
      </c>
      <c r="D3654" t="s">
        <v>360</v>
      </c>
      <c r="E3654" t="s">
        <v>377</v>
      </c>
    </row>
    <row r="3655" spans="2:5">
      <c r="B3655" t="s">
        <v>5643</v>
      </c>
      <c r="C3655">
        <v>508996</v>
      </c>
      <c r="D3655" t="s">
        <v>5644</v>
      </c>
      <c r="E3655" t="s">
        <v>446</v>
      </c>
    </row>
    <row r="3656" spans="2:5">
      <c r="B3656" t="s">
        <v>5645</v>
      </c>
      <c r="C3656">
        <v>503893</v>
      </c>
      <c r="D3656" t="s">
        <v>360</v>
      </c>
      <c r="E3656" t="s">
        <v>343</v>
      </c>
    </row>
    <row r="3657" spans="2:5">
      <c r="B3657" t="s">
        <v>5646</v>
      </c>
      <c r="C3657">
        <v>539218</v>
      </c>
      <c r="D3657" t="s">
        <v>360</v>
      </c>
      <c r="E3657" t="s">
        <v>377</v>
      </c>
    </row>
    <row r="3658" spans="2:5">
      <c r="B3658" t="s">
        <v>5647</v>
      </c>
      <c r="C3658">
        <v>502175</v>
      </c>
      <c r="D3658" t="s">
        <v>360</v>
      </c>
      <c r="E3658" t="s">
        <v>373</v>
      </c>
    </row>
    <row r="3659" spans="2:5">
      <c r="B3659" t="s">
        <v>5648</v>
      </c>
      <c r="C3659">
        <v>511577</v>
      </c>
      <c r="D3659" t="s">
        <v>360</v>
      </c>
      <c r="E3659" t="s">
        <v>377</v>
      </c>
    </row>
    <row r="3660" spans="2:5">
      <c r="B3660" t="s">
        <v>5649</v>
      </c>
      <c r="C3660">
        <v>517320</v>
      </c>
      <c r="D3660" t="s">
        <v>360</v>
      </c>
      <c r="E3660" t="s">
        <v>658</v>
      </c>
    </row>
    <row r="3661" spans="2:5">
      <c r="B3661" t="s">
        <v>5650</v>
      </c>
      <c r="C3661">
        <v>532404</v>
      </c>
      <c r="D3661" t="s">
        <v>360</v>
      </c>
      <c r="E3661" t="s">
        <v>453</v>
      </c>
    </row>
    <row r="3662" spans="2:5">
      <c r="B3662" t="s">
        <v>5651</v>
      </c>
      <c r="C3662">
        <v>512634</v>
      </c>
      <c r="D3662" t="s">
        <v>360</v>
      </c>
      <c r="E3662" t="s">
        <v>561</v>
      </c>
    </row>
    <row r="3663" spans="2:5">
      <c r="B3663" t="s">
        <v>5652</v>
      </c>
      <c r="C3663">
        <v>524667</v>
      </c>
      <c r="D3663" t="s">
        <v>5653</v>
      </c>
      <c r="E3663" t="s">
        <v>1288</v>
      </c>
    </row>
    <row r="3664" spans="2:5">
      <c r="B3664" t="s">
        <v>5654</v>
      </c>
      <c r="C3664">
        <v>531893</v>
      </c>
      <c r="D3664" t="s">
        <v>360</v>
      </c>
      <c r="E3664" t="s">
        <v>781</v>
      </c>
    </row>
    <row r="3665" spans="2:5">
      <c r="B3665" t="s">
        <v>5655</v>
      </c>
      <c r="C3665">
        <v>523710</v>
      </c>
      <c r="D3665" t="s">
        <v>360</v>
      </c>
      <c r="E3665" t="s">
        <v>561</v>
      </c>
    </row>
    <row r="3666" spans="2:5">
      <c r="B3666" t="s">
        <v>5656</v>
      </c>
      <c r="C3666">
        <v>540728</v>
      </c>
      <c r="D3666" t="s">
        <v>360</v>
      </c>
      <c r="E3666" t="s">
        <v>349</v>
      </c>
    </row>
    <row r="3667" spans="2:5">
      <c r="B3667" t="s">
        <v>5657</v>
      </c>
      <c r="C3667">
        <v>532102</v>
      </c>
      <c r="D3667" t="s">
        <v>360</v>
      </c>
      <c r="E3667" t="s">
        <v>1058</v>
      </c>
    </row>
    <row r="3668" spans="2:5">
      <c r="B3668" t="s">
        <v>5658</v>
      </c>
      <c r="C3668">
        <v>540719</v>
      </c>
      <c r="D3668" t="s">
        <v>5659</v>
      </c>
      <c r="E3668" t="s">
        <v>2772</v>
      </c>
    </row>
    <row r="3669" spans="2:5">
      <c r="B3669" t="s">
        <v>5660</v>
      </c>
      <c r="C3669">
        <v>590098</v>
      </c>
      <c r="D3669" t="s">
        <v>5661</v>
      </c>
      <c r="E3669" t="s">
        <v>343</v>
      </c>
    </row>
    <row r="3670" spans="2:5">
      <c r="B3670" t="s">
        <v>5662</v>
      </c>
      <c r="C3670">
        <v>526081</v>
      </c>
      <c r="D3670" t="s">
        <v>5663</v>
      </c>
      <c r="E3670" t="s">
        <v>420</v>
      </c>
    </row>
    <row r="3671" spans="2:5">
      <c r="B3671" t="s">
        <v>5664</v>
      </c>
      <c r="C3671">
        <v>531797</v>
      </c>
      <c r="D3671" t="s">
        <v>360</v>
      </c>
      <c r="E3671" t="s">
        <v>373</v>
      </c>
    </row>
    <row r="3672" spans="2:5">
      <c r="B3672" t="s">
        <v>5665</v>
      </c>
      <c r="C3672">
        <v>511672</v>
      </c>
      <c r="D3672" t="s">
        <v>360</v>
      </c>
      <c r="E3672" t="s">
        <v>392</v>
      </c>
    </row>
    <row r="3673" spans="2:5">
      <c r="B3673" t="s">
        <v>5666</v>
      </c>
      <c r="C3673">
        <v>516110</v>
      </c>
      <c r="D3673" t="s">
        <v>5667</v>
      </c>
      <c r="E3673" t="s">
        <v>549</v>
      </c>
    </row>
    <row r="3674" spans="2:5">
      <c r="B3674" t="s">
        <v>5668</v>
      </c>
      <c r="C3674">
        <v>526544</v>
      </c>
      <c r="D3674" t="s">
        <v>360</v>
      </c>
      <c r="E3674" t="s">
        <v>366</v>
      </c>
    </row>
    <row r="3675" spans="2:5">
      <c r="B3675" t="s">
        <v>5669</v>
      </c>
      <c r="C3675">
        <v>507894</v>
      </c>
      <c r="D3675" t="s">
        <v>360</v>
      </c>
      <c r="E3675" t="s">
        <v>637</v>
      </c>
    </row>
    <row r="3676" spans="2:5">
      <c r="B3676" t="s">
        <v>5670</v>
      </c>
      <c r="C3676">
        <v>507894</v>
      </c>
      <c r="D3676" t="s">
        <v>360</v>
      </c>
      <c r="E3676" t="s">
        <v>637</v>
      </c>
    </row>
    <row r="3677" spans="2:5">
      <c r="B3677" t="s">
        <v>5671</v>
      </c>
      <c r="C3677">
        <v>505790</v>
      </c>
      <c r="D3677" t="s">
        <v>5672</v>
      </c>
      <c r="E3677" t="s">
        <v>368</v>
      </c>
    </row>
    <row r="3678" spans="2:5">
      <c r="B3678" t="s">
        <v>5673</v>
      </c>
      <c r="C3678">
        <v>505790</v>
      </c>
      <c r="D3678" t="s">
        <v>5672</v>
      </c>
      <c r="E3678" t="s">
        <v>368</v>
      </c>
    </row>
    <row r="3679" spans="2:5">
      <c r="B3679" t="s">
        <v>5674</v>
      </c>
      <c r="C3679">
        <v>534139</v>
      </c>
      <c r="D3679" t="s">
        <v>5675</v>
      </c>
      <c r="E3679" t="s">
        <v>403</v>
      </c>
    </row>
    <row r="3680" spans="2:5">
      <c r="B3680" t="s">
        <v>5676</v>
      </c>
      <c r="C3680">
        <v>538857</v>
      </c>
      <c r="D3680" t="s">
        <v>360</v>
      </c>
      <c r="E3680" t="s">
        <v>377</v>
      </c>
    </row>
    <row r="3681" spans="2:5">
      <c r="B3681" t="s">
        <v>5677</v>
      </c>
      <c r="C3681">
        <v>505141</v>
      </c>
      <c r="D3681" t="s">
        <v>360</v>
      </c>
      <c r="E3681" t="s">
        <v>1017</v>
      </c>
    </row>
    <row r="3682" spans="2:5">
      <c r="B3682" t="s">
        <v>5678</v>
      </c>
      <c r="C3682">
        <v>505141</v>
      </c>
      <c r="D3682" t="s">
        <v>360</v>
      </c>
      <c r="E3682" t="s">
        <v>1017</v>
      </c>
    </row>
    <row r="3683" spans="2:5">
      <c r="B3683" t="s">
        <v>5679</v>
      </c>
      <c r="C3683">
        <v>530361</v>
      </c>
      <c r="D3683" t="s">
        <v>360</v>
      </c>
      <c r="E3683" t="s">
        <v>420</v>
      </c>
    </row>
    <row r="3684" spans="2:5">
      <c r="B3684" t="s">
        <v>5680</v>
      </c>
      <c r="C3684">
        <v>533268</v>
      </c>
      <c r="D3684" t="s">
        <v>360</v>
      </c>
      <c r="E3684" t="s">
        <v>1098</v>
      </c>
    </row>
    <row r="3685" spans="2:5">
      <c r="B3685" t="s">
        <v>5681</v>
      </c>
      <c r="C3685">
        <v>526807</v>
      </c>
      <c r="D3685" t="s">
        <v>5682</v>
      </c>
      <c r="E3685" t="s">
        <v>1607</v>
      </c>
    </row>
    <row r="3686" spans="2:5">
      <c r="B3686" t="s">
        <v>5683</v>
      </c>
      <c r="C3686">
        <v>521182</v>
      </c>
      <c r="D3686" t="s">
        <v>360</v>
      </c>
      <c r="E3686" t="s">
        <v>382</v>
      </c>
    </row>
    <row r="3687" spans="2:5">
      <c r="B3687" t="s">
        <v>5684</v>
      </c>
      <c r="C3687">
        <v>514264</v>
      </c>
      <c r="D3687" t="s">
        <v>360</v>
      </c>
      <c r="E3687" t="s">
        <v>375</v>
      </c>
    </row>
    <row r="3688" spans="2:5">
      <c r="B3688" t="s">
        <v>5685</v>
      </c>
      <c r="C3688" t="s">
        <v>360</v>
      </c>
      <c r="D3688" t="s">
        <v>5686</v>
      </c>
      <c r="E3688" t="s">
        <v>371</v>
      </c>
    </row>
    <row r="3689" spans="2:5">
      <c r="B3689" t="s">
        <v>5687</v>
      </c>
      <c r="C3689">
        <v>540673</v>
      </c>
      <c r="D3689" t="s">
        <v>5688</v>
      </c>
      <c r="E3689" t="s">
        <v>3140</v>
      </c>
    </row>
    <row r="3690" spans="2:5">
      <c r="B3690" t="s">
        <v>5689</v>
      </c>
      <c r="C3690">
        <v>540673</v>
      </c>
      <c r="D3690" t="s">
        <v>5688</v>
      </c>
      <c r="E3690" t="s">
        <v>3140</v>
      </c>
    </row>
    <row r="3691" spans="2:5">
      <c r="B3691" t="s">
        <v>5690</v>
      </c>
      <c r="C3691">
        <v>532886</v>
      </c>
      <c r="D3691" t="s">
        <v>5691</v>
      </c>
      <c r="E3691" t="s">
        <v>375</v>
      </c>
    </row>
    <row r="3692" spans="2:5">
      <c r="B3692" t="s">
        <v>5692</v>
      </c>
      <c r="C3692">
        <v>530075</v>
      </c>
      <c r="D3692" t="s">
        <v>5693</v>
      </c>
      <c r="E3692" t="s">
        <v>423</v>
      </c>
    </row>
    <row r="3693" spans="2:5">
      <c r="B3693" t="s">
        <v>5694</v>
      </c>
      <c r="C3693">
        <v>538875</v>
      </c>
      <c r="D3693" t="s">
        <v>360</v>
      </c>
      <c r="E3693" t="s">
        <v>781</v>
      </c>
    </row>
    <row r="3694" spans="2:5">
      <c r="B3694" t="s">
        <v>5695</v>
      </c>
      <c r="C3694">
        <v>532021</v>
      </c>
      <c r="D3694" t="s">
        <v>360</v>
      </c>
      <c r="E3694" t="s">
        <v>398</v>
      </c>
    </row>
    <row r="3695" spans="2:5">
      <c r="B3695" t="s">
        <v>5696</v>
      </c>
      <c r="C3695">
        <v>531980</v>
      </c>
      <c r="D3695" t="s">
        <v>360</v>
      </c>
      <c r="E3695" t="s">
        <v>346</v>
      </c>
    </row>
    <row r="3696" spans="2:5">
      <c r="B3696" t="s">
        <v>5697</v>
      </c>
      <c r="C3696">
        <v>512529</v>
      </c>
      <c r="D3696" t="s">
        <v>5698</v>
      </c>
      <c r="E3696" t="s">
        <v>398</v>
      </c>
    </row>
    <row r="3697" spans="2:5">
      <c r="B3697" t="s">
        <v>5699</v>
      </c>
      <c r="C3697" t="s">
        <v>360</v>
      </c>
      <c r="D3697" t="s">
        <v>5700</v>
      </c>
      <c r="E3697" t="s">
        <v>371</v>
      </c>
    </row>
    <row r="3698" spans="2:5">
      <c r="B3698" t="s">
        <v>5701</v>
      </c>
      <c r="C3698">
        <v>502450</v>
      </c>
      <c r="D3698" t="s">
        <v>5702</v>
      </c>
      <c r="E3698" t="s">
        <v>354</v>
      </c>
    </row>
    <row r="3699" spans="2:5">
      <c r="B3699" t="s">
        <v>5703</v>
      </c>
      <c r="C3699">
        <v>505075</v>
      </c>
      <c r="D3699" t="s">
        <v>5704</v>
      </c>
      <c r="E3699" t="s">
        <v>715</v>
      </c>
    </row>
    <row r="3700" spans="2:5">
      <c r="B3700" t="s">
        <v>5705</v>
      </c>
      <c r="C3700">
        <v>511760</v>
      </c>
      <c r="D3700" t="s">
        <v>360</v>
      </c>
      <c r="E3700" t="s">
        <v>377</v>
      </c>
    </row>
    <row r="3701" spans="2:5">
      <c r="B3701" t="s">
        <v>5706</v>
      </c>
      <c r="C3701">
        <v>524324</v>
      </c>
      <c r="D3701" t="s">
        <v>360</v>
      </c>
      <c r="E3701" t="s">
        <v>520</v>
      </c>
    </row>
    <row r="3702" spans="2:5">
      <c r="B3702" t="s">
        <v>5707</v>
      </c>
      <c r="C3702">
        <v>532993</v>
      </c>
      <c r="D3702" t="s">
        <v>5708</v>
      </c>
      <c r="E3702" t="s">
        <v>888</v>
      </c>
    </row>
    <row r="3703" spans="2:5">
      <c r="B3703" t="s">
        <v>5709</v>
      </c>
      <c r="C3703">
        <v>530867</v>
      </c>
      <c r="D3703" t="s">
        <v>360</v>
      </c>
      <c r="E3703" t="s">
        <v>343</v>
      </c>
    </row>
    <row r="3704" spans="2:5">
      <c r="B3704" t="s">
        <v>5710</v>
      </c>
      <c r="C3704">
        <v>524546</v>
      </c>
      <c r="D3704" t="s">
        <v>360</v>
      </c>
      <c r="E3704" t="s">
        <v>398</v>
      </c>
    </row>
    <row r="3705" spans="2:5">
      <c r="B3705" t="s">
        <v>5711</v>
      </c>
      <c r="C3705">
        <v>513436</v>
      </c>
      <c r="D3705" t="s">
        <v>5712</v>
      </c>
      <c r="E3705" t="s">
        <v>392</v>
      </c>
    </row>
    <row r="3706" spans="2:5">
      <c r="B3706" t="s">
        <v>5713</v>
      </c>
      <c r="C3706">
        <v>509870</v>
      </c>
      <c r="D3706" t="s">
        <v>360</v>
      </c>
      <c r="E3706" t="s">
        <v>446</v>
      </c>
    </row>
    <row r="3707" spans="2:5">
      <c r="B3707" t="s">
        <v>5714</v>
      </c>
      <c r="C3707">
        <v>519031</v>
      </c>
      <c r="D3707" t="s">
        <v>360</v>
      </c>
      <c r="E3707" t="s">
        <v>420</v>
      </c>
    </row>
    <row r="3708" spans="2:5">
      <c r="B3708" t="s">
        <v>5715</v>
      </c>
      <c r="C3708">
        <v>526508</v>
      </c>
      <c r="D3708" t="s">
        <v>360</v>
      </c>
      <c r="E3708" t="s">
        <v>1607</v>
      </c>
    </row>
    <row r="3709" spans="2:5">
      <c r="B3709" t="s">
        <v>5716</v>
      </c>
      <c r="C3709">
        <v>539520</v>
      </c>
      <c r="D3709" t="s">
        <v>360</v>
      </c>
      <c r="E3709" t="s">
        <v>382</v>
      </c>
    </row>
    <row r="3710" spans="2:5">
      <c r="B3710" t="s">
        <v>5717</v>
      </c>
      <c r="C3710">
        <v>501423</v>
      </c>
      <c r="D3710" t="s">
        <v>360</v>
      </c>
      <c r="E3710" t="s">
        <v>480</v>
      </c>
    </row>
    <row r="3711" spans="2:5">
      <c r="B3711" t="s">
        <v>5718</v>
      </c>
      <c r="C3711" t="s">
        <v>360</v>
      </c>
      <c r="D3711" t="s">
        <v>5719</v>
      </c>
      <c r="E3711" t="s">
        <v>371</v>
      </c>
    </row>
    <row r="3712" spans="2:5">
      <c r="B3712" t="s">
        <v>5720</v>
      </c>
      <c r="C3712">
        <v>531431</v>
      </c>
      <c r="D3712" t="s">
        <v>5721</v>
      </c>
      <c r="E3712" t="s">
        <v>368</v>
      </c>
    </row>
    <row r="3713" spans="2:5">
      <c r="B3713" t="s">
        <v>5722</v>
      </c>
      <c r="C3713">
        <v>531431</v>
      </c>
      <c r="D3713" t="s">
        <v>5721</v>
      </c>
      <c r="E3713" t="s">
        <v>368</v>
      </c>
    </row>
    <row r="3714" spans="2:5">
      <c r="B3714" t="s">
        <v>5723</v>
      </c>
      <c r="C3714">
        <v>540797</v>
      </c>
      <c r="D3714" t="s">
        <v>5724</v>
      </c>
      <c r="E3714" t="s">
        <v>830</v>
      </c>
    </row>
    <row r="3715" spans="2:5">
      <c r="B3715" t="s">
        <v>5725</v>
      </c>
      <c r="C3715">
        <v>511754</v>
      </c>
      <c r="D3715" t="s">
        <v>360</v>
      </c>
      <c r="E3715" t="s">
        <v>377</v>
      </c>
    </row>
    <row r="3716" spans="2:5">
      <c r="B3716" t="s">
        <v>5726</v>
      </c>
      <c r="C3716">
        <v>539895</v>
      </c>
      <c r="D3716" t="s">
        <v>360</v>
      </c>
      <c r="E3716" t="s">
        <v>343</v>
      </c>
    </row>
    <row r="3717" spans="2:5">
      <c r="B3717" t="s">
        <v>5727</v>
      </c>
      <c r="C3717">
        <v>509874</v>
      </c>
      <c r="D3717" t="s">
        <v>5728</v>
      </c>
      <c r="E3717" t="s">
        <v>637</v>
      </c>
    </row>
    <row r="3718" spans="2:5">
      <c r="B3718" t="s">
        <v>5729</v>
      </c>
      <c r="C3718">
        <v>512499</v>
      </c>
      <c r="D3718" t="s">
        <v>360</v>
      </c>
      <c r="E3718" t="s">
        <v>343</v>
      </c>
    </row>
    <row r="3719" spans="2:5">
      <c r="B3719" t="s">
        <v>5730</v>
      </c>
      <c r="C3719">
        <v>532455</v>
      </c>
      <c r="D3719" t="s">
        <v>360</v>
      </c>
      <c r="E3719" t="s">
        <v>434</v>
      </c>
    </row>
    <row r="3720" spans="2:5">
      <c r="B3720" t="s">
        <v>5731</v>
      </c>
      <c r="C3720">
        <v>540259</v>
      </c>
      <c r="D3720" t="s">
        <v>360</v>
      </c>
      <c r="E3720" t="s">
        <v>3140</v>
      </c>
    </row>
    <row r="3721" spans="2:5">
      <c r="B3721" t="s">
        <v>5732</v>
      </c>
      <c r="C3721">
        <v>542232</v>
      </c>
      <c r="D3721" t="s">
        <v>5733</v>
      </c>
      <c r="E3721" t="s">
        <v>726</v>
      </c>
    </row>
    <row r="3722" spans="2:5">
      <c r="B3722" t="s">
        <v>5734</v>
      </c>
      <c r="C3722">
        <v>540425</v>
      </c>
      <c r="D3722" t="s">
        <v>5735</v>
      </c>
      <c r="E3722" t="s">
        <v>683</v>
      </c>
    </row>
    <row r="3723" spans="2:5">
      <c r="B3723" t="s">
        <v>5736</v>
      </c>
      <c r="C3723">
        <v>512297</v>
      </c>
      <c r="D3723" t="s">
        <v>360</v>
      </c>
      <c r="E3723" t="s">
        <v>368</v>
      </c>
    </row>
    <row r="3724" spans="2:5">
      <c r="B3724" t="s">
        <v>5737</v>
      </c>
      <c r="C3724">
        <v>531925</v>
      </c>
      <c r="D3724" t="s">
        <v>360</v>
      </c>
      <c r="E3724" t="s">
        <v>420</v>
      </c>
    </row>
    <row r="3725" spans="2:5">
      <c r="B3725" t="s">
        <v>5738</v>
      </c>
      <c r="C3725">
        <v>522034</v>
      </c>
      <c r="D3725" t="s">
        <v>5739</v>
      </c>
      <c r="E3725" t="s">
        <v>715</v>
      </c>
    </row>
    <row r="3726" spans="2:5">
      <c r="B3726" t="s">
        <v>5740</v>
      </c>
      <c r="C3726">
        <v>539921</v>
      </c>
      <c r="D3726" t="s">
        <v>360</v>
      </c>
      <c r="E3726" t="s">
        <v>465</v>
      </c>
    </row>
    <row r="3727" spans="2:5">
      <c r="B3727" t="s">
        <v>5741</v>
      </c>
      <c r="C3727" t="s">
        <v>360</v>
      </c>
      <c r="D3727" t="s">
        <v>5742</v>
      </c>
      <c r="E3727" t="s">
        <v>371</v>
      </c>
    </row>
    <row r="3728" spans="2:5">
      <c r="B3728" t="s">
        <v>5743</v>
      </c>
      <c r="C3728" t="s">
        <v>360</v>
      </c>
      <c r="D3728" t="s">
        <v>5742</v>
      </c>
      <c r="E3728" t="s">
        <v>371</v>
      </c>
    </row>
    <row r="3729" spans="2:5">
      <c r="B3729" t="s">
        <v>5744</v>
      </c>
      <c r="C3729">
        <v>514402</v>
      </c>
      <c r="D3729" t="s">
        <v>360</v>
      </c>
      <c r="E3729" t="s">
        <v>375</v>
      </c>
    </row>
    <row r="3730" spans="2:5">
      <c r="B3730" t="s">
        <v>5745</v>
      </c>
      <c r="C3730">
        <v>539584</v>
      </c>
      <c r="D3730" t="s">
        <v>360</v>
      </c>
      <c r="E3730" t="s">
        <v>382</v>
      </c>
    </row>
    <row r="3731" spans="2:5">
      <c r="B3731" t="s">
        <v>5746</v>
      </c>
      <c r="C3731">
        <v>538666</v>
      </c>
      <c r="D3731" t="s">
        <v>5747</v>
      </c>
      <c r="E3731" t="s">
        <v>504</v>
      </c>
    </row>
    <row r="3732" spans="2:5">
      <c r="B3732" t="s">
        <v>5748</v>
      </c>
      <c r="C3732">
        <v>513548</v>
      </c>
      <c r="D3732" t="s">
        <v>360</v>
      </c>
      <c r="E3732" t="s">
        <v>392</v>
      </c>
    </row>
    <row r="3733" spans="2:5">
      <c r="B3733" t="s">
        <v>5749</v>
      </c>
      <c r="C3733">
        <v>535602</v>
      </c>
      <c r="D3733" t="s">
        <v>5750</v>
      </c>
      <c r="E3733" t="s">
        <v>715</v>
      </c>
    </row>
    <row r="3734" spans="2:5">
      <c r="B3734" t="s">
        <v>5751</v>
      </c>
      <c r="C3734">
        <v>512393</v>
      </c>
      <c r="D3734" t="s">
        <v>360</v>
      </c>
      <c r="E3734" t="s">
        <v>343</v>
      </c>
    </row>
    <row r="3735" spans="2:5">
      <c r="B3735" t="s">
        <v>5752</v>
      </c>
      <c r="C3735">
        <v>540725</v>
      </c>
      <c r="D3735" t="s">
        <v>360</v>
      </c>
      <c r="E3735" t="s">
        <v>343</v>
      </c>
    </row>
    <row r="3736" spans="2:5">
      <c r="B3736" t="s">
        <v>5753</v>
      </c>
      <c r="C3736">
        <v>540786</v>
      </c>
      <c r="D3736" t="s">
        <v>360</v>
      </c>
      <c r="E3736" t="s">
        <v>658</v>
      </c>
    </row>
    <row r="3737" spans="2:5">
      <c r="B3737" t="s">
        <v>5754</v>
      </c>
      <c r="C3737">
        <v>532908</v>
      </c>
      <c r="D3737" t="s">
        <v>5755</v>
      </c>
      <c r="E3737" t="s">
        <v>398</v>
      </c>
    </row>
    <row r="3738" spans="2:5">
      <c r="B3738" t="s">
        <v>5756</v>
      </c>
      <c r="C3738">
        <v>523449</v>
      </c>
      <c r="D3738" t="s">
        <v>360</v>
      </c>
      <c r="E3738" t="s">
        <v>729</v>
      </c>
    </row>
    <row r="3739" spans="2:5">
      <c r="B3739" t="s">
        <v>5757</v>
      </c>
      <c r="C3739">
        <v>523449</v>
      </c>
      <c r="D3739" t="s">
        <v>360</v>
      </c>
      <c r="E3739" t="s">
        <v>729</v>
      </c>
    </row>
    <row r="3740" spans="2:5">
      <c r="B3740" t="s">
        <v>5758</v>
      </c>
      <c r="C3740">
        <v>538212</v>
      </c>
      <c r="D3740" t="s">
        <v>360</v>
      </c>
      <c r="E3740" t="s">
        <v>377</v>
      </c>
    </row>
    <row r="3741" spans="2:5">
      <c r="B3741" t="s">
        <v>5759</v>
      </c>
      <c r="C3741">
        <v>540221</v>
      </c>
      <c r="D3741" t="s">
        <v>360</v>
      </c>
      <c r="E3741" t="s">
        <v>382</v>
      </c>
    </row>
    <row r="3742" spans="2:5">
      <c r="B3742" t="s">
        <v>5760</v>
      </c>
      <c r="C3742">
        <v>540147</v>
      </c>
      <c r="D3742" t="s">
        <v>360</v>
      </c>
      <c r="E3742" t="s">
        <v>758</v>
      </c>
    </row>
    <row r="3743" spans="2:5">
      <c r="B3743" t="s">
        <v>5761</v>
      </c>
      <c r="C3743">
        <v>540203</v>
      </c>
      <c r="D3743" t="s">
        <v>5762</v>
      </c>
      <c r="E3743" t="s">
        <v>637</v>
      </c>
    </row>
    <row r="3744" spans="2:5">
      <c r="B3744" t="s">
        <v>5763</v>
      </c>
      <c r="C3744">
        <v>540757</v>
      </c>
      <c r="D3744" t="s">
        <v>360</v>
      </c>
      <c r="E3744" t="s">
        <v>420</v>
      </c>
    </row>
    <row r="3745" spans="2:5">
      <c r="B3745" t="s">
        <v>5764</v>
      </c>
      <c r="C3745">
        <v>530525</v>
      </c>
      <c r="D3745" t="s">
        <v>360</v>
      </c>
      <c r="E3745" t="s">
        <v>474</v>
      </c>
    </row>
    <row r="3746" spans="2:5">
      <c r="B3746" t="s">
        <v>5765</v>
      </c>
      <c r="C3746">
        <v>533301</v>
      </c>
      <c r="D3746" t="s">
        <v>5766</v>
      </c>
      <c r="E3746" t="s">
        <v>375</v>
      </c>
    </row>
    <row r="3747" spans="2:5">
      <c r="B3747" t="s">
        <v>5767</v>
      </c>
      <c r="C3747">
        <v>526839</v>
      </c>
      <c r="D3747" t="s">
        <v>360</v>
      </c>
      <c r="E3747" t="s">
        <v>758</v>
      </c>
    </row>
    <row r="3748" spans="2:5">
      <c r="B3748" t="s">
        <v>5768</v>
      </c>
      <c r="C3748">
        <v>538685</v>
      </c>
      <c r="D3748" t="s">
        <v>5769</v>
      </c>
      <c r="E3748" t="s">
        <v>363</v>
      </c>
    </row>
    <row r="3749" spans="2:5">
      <c r="B3749" t="s">
        <v>5770</v>
      </c>
      <c r="C3749">
        <v>512367</v>
      </c>
      <c r="D3749" t="s">
        <v>360</v>
      </c>
      <c r="E3749" t="s">
        <v>343</v>
      </c>
    </row>
    <row r="3750" spans="2:5">
      <c r="B3750" t="s">
        <v>5771</v>
      </c>
      <c r="C3750">
        <v>526117</v>
      </c>
      <c r="D3750" t="s">
        <v>360</v>
      </c>
      <c r="E3750" t="s">
        <v>906</v>
      </c>
    </row>
    <row r="3751" spans="2:5">
      <c r="B3751" t="s">
        <v>5772</v>
      </c>
      <c r="C3751">
        <v>539111</v>
      </c>
      <c r="D3751" t="s">
        <v>360</v>
      </c>
      <c r="E3751" t="s">
        <v>375</v>
      </c>
    </row>
    <row r="3752" spans="2:5">
      <c r="B3752" t="s">
        <v>5773</v>
      </c>
      <c r="C3752">
        <v>526137</v>
      </c>
      <c r="D3752" t="s">
        <v>360</v>
      </c>
      <c r="E3752" t="s">
        <v>555</v>
      </c>
    </row>
    <row r="3753" spans="2:5">
      <c r="B3753" t="s">
        <v>5774</v>
      </c>
      <c r="C3753">
        <v>507952</v>
      </c>
      <c r="D3753" t="s">
        <v>360</v>
      </c>
      <c r="E3753" t="s">
        <v>377</v>
      </c>
    </row>
    <row r="3754" spans="2:5">
      <c r="B3754" t="s">
        <v>5775</v>
      </c>
      <c r="C3754">
        <v>531201</v>
      </c>
      <c r="D3754" t="s">
        <v>360</v>
      </c>
      <c r="E3754" t="s">
        <v>658</v>
      </c>
    </row>
    <row r="3755" spans="2:5">
      <c r="B3755" t="s">
        <v>5776</v>
      </c>
      <c r="C3755">
        <v>513709</v>
      </c>
      <c r="D3755" t="s">
        <v>360</v>
      </c>
      <c r="E3755" t="s">
        <v>368</v>
      </c>
    </row>
    <row r="3756" spans="2:5">
      <c r="B3756" t="s">
        <v>5777</v>
      </c>
      <c r="C3756">
        <v>530549</v>
      </c>
      <c r="D3756" t="s">
        <v>5778</v>
      </c>
      <c r="E3756" t="s">
        <v>398</v>
      </c>
    </row>
    <row r="3757" spans="2:5">
      <c r="B3757" t="s">
        <v>5779</v>
      </c>
      <c r="C3757">
        <v>533389</v>
      </c>
      <c r="D3757" t="s">
        <v>5780</v>
      </c>
      <c r="E3757" t="s">
        <v>658</v>
      </c>
    </row>
    <row r="3758" spans="2:5">
      <c r="B3758" t="s">
        <v>5781</v>
      </c>
      <c r="C3758">
        <v>523598</v>
      </c>
      <c r="D3758" t="s">
        <v>5782</v>
      </c>
      <c r="E3758" t="s">
        <v>1607</v>
      </c>
    </row>
    <row r="3759" spans="2:5">
      <c r="B3759" t="s">
        <v>5783</v>
      </c>
      <c r="C3759">
        <v>523598</v>
      </c>
      <c r="D3759" t="s">
        <v>5782</v>
      </c>
      <c r="E3759" t="s">
        <v>1607</v>
      </c>
    </row>
    <row r="3760" spans="2:5">
      <c r="B3760" t="s">
        <v>5784</v>
      </c>
      <c r="C3760">
        <v>512289</v>
      </c>
      <c r="D3760" t="s">
        <v>5785</v>
      </c>
      <c r="E3760" t="s">
        <v>2607</v>
      </c>
    </row>
    <row r="3761" spans="2:5">
      <c r="B3761" t="s">
        <v>5786</v>
      </c>
      <c r="C3761">
        <v>540693</v>
      </c>
      <c r="D3761" t="s">
        <v>360</v>
      </c>
      <c r="E3761" t="s">
        <v>480</v>
      </c>
    </row>
    <row r="3762" spans="2:5">
      <c r="B3762" t="s">
        <v>5787</v>
      </c>
      <c r="C3762">
        <v>532323</v>
      </c>
      <c r="D3762" t="s">
        <v>360</v>
      </c>
      <c r="E3762" t="s">
        <v>373</v>
      </c>
    </row>
    <row r="3763" spans="2:5">
      <c r="B3763" t="s">
        <v>5788</v>
      </c>
      <c r="C3763">
        <v>530433</v>
      </c>
      <c r="D3763" t="s">
        <v>360</v>
      </c>
      <c r="E3763" t="s">
        <v>868</v>
      </c>
    </row>
    <row r="3764" spans="2:5">
      <c r="B3764" t="s">
        <v>5789</v>
      </c>
      <c r="C3764">
        <v>540072</v>
      </c>
      <c r="D3764" t="s">
        <v>360</v>
      </c>
      <c r="E3764" t="s">
        <v>888</v>
      </c>
    </row>
    <row r="3765" spans="2:5">
      <c r="B3765" t="s">
        <v>5790</v>
      </c>
      <c r="C3765">
        <v>524602</v>
      </c>
      <c r="D3765" t="s">
        <v>5791</v>
      </c>
      <c r="E3765" t="s">
        <v>549</v>
      </c>
    </row>
    <row r="3766" spans="2:5">
      <c r="B3766" t="s">
        <v>5792</v>
      </c>
      <c r="C3766">
        <v>540961</v>
      </c>
      <c r="D3766" t="s">
        <v>5793</v>
      </c>
      <c r="E3766" t="s">
        <v>375</v>
      </c>
    </row>
    <row r="3767" spans="2:5">
      <c r="B3767" t="s">
        <v>5794</v>
      </c>
      <c r="C3767">
        <v>521003</v>
      </c>
      <c r="D3767" t="s">
        <v>360</v>
      </c>
      <c r="E3767" t="s">
        <v>382</v>
      </c>
    </row>
    <row r="3768" spans="2:5">
      <c r="B3768" t="s">
        <v>5795</v>
      </c>
      <c r="C3768">
        <v>511108</v>
      </c>
      <c r="D3768" t="s">
        <v>5796</v>
      </c>
      <c r="E3768" t="s">
        <v>375</v>
      </c>
    </row>
    <row r="3769" spans="2:5">
      <c r="B3769" t="s">
        <v>5797</v>
      </c>
      <c r="C3769">
        <v>522237</v>
      </c>
      <c r="D3769" t="s">
        <v>360</v>
      </c>
      <c r="E3769" t="s">
        <v>368</v>
      </c>
    </row>
    <row r="3770" spans="2:5">
      <c r="B3770" t="s">
        <v>5798</v>
      </c>
      <c r="C3770">
        <v>513097</v>
      </c>
      <c r="D3770" t="s">
        <v>360</v>
      </c>
      <c r="E3770" t="s">
        <v>902</v>
      </c>
    </row>
    <row r="3771" spans="2:5">
      <c r="B3771" t="s">
        <v>5799</v>
      </c>
      <c r="C3771">
        <v>539148</v>
      </c>
      <c r="D3771" t="s">
        <v>360</v>
      </c>
      <c r="E3771" t="s">
        <v>504</v>
      </c>
    </row>
    <row r="3772" spans="2:5">
      <c r="B3772" t="s">
        <v>5800</v>
      </c>
      <c r="C3772">
        <v>532776</v>
      </c>
      <c r="D3772" t="s">
        <v>5801</v>
      </c>
      <c r="E3772" t="s">
        <v>715</v>
      </c>
    </row>
    <row r="3773" spans="2:5">
      <c r="B3773" t="s">
        <v>5802</v>
      </c>
      <c r="C3773">
        <v>539593</v>
      </c>
      <c r="D3773" t="s">
        <v>360</v>
      </c>
      <c r="E3773" t="s">
        <v>343</v>
      </c>
    </row>
    <row r="3774" spans="2:5">
      <c r="B3774" t="s">
        <v>5803</v>
      </c>
      <c r="C3774">
        <v>539683</v>
      </c>
      <c r="D3774" t="s">
        <v>360</v>
      </c>
      <c r="E3774" t="s">
        <v>377</v>
      </c>
    </row>
    <row r="3775" spans="2:5">
      <c r="B3775" t="s">
        <v>5804</v>
      </c>
      <c r="C3775">
        <v>539833</v>
      </c>
      <c r="D3775" t="s">
        <v>360</v>
      </c>
      <c r="E3775" t="s">
        <v>377</v>
      </c>
    </row>
    <row r="3776" spans="2:5">
      <c r="B3776" t="s">
        <v>5805</v>
      </c>
      <c r="C3776">
        <v>532638</v>
      </c>
      <c r="D3776" t="s">
        <v>5806</v>
      </c>
      <c r="E3776" t="s">
        <v>529</v>
      </c>
    </row>
    <row r="3777" spans="2:5">
      <c r="B3777" t="s">
        <v>5807</v>
      </c>
      <c r="C3777" t="s">
        <v>360</v>
      </c>
      <c r="D3777" t="s">
        <v>5808</v>
      </c>
      <c r="E3777" t="s">
        <v>371</v>
      </c>
    </row>
    <row r="3778" spans="2:5">
      <c r="B3778" t="s">
        <v>5809</v>
      </c>
      <c r="C3778">
        <v>538795</v>
      </c>
      <c r="D3778" t="s">
        <v>360</v>
      </c>
      <c r="E3778" t="s">
        <v>354</v>
      </c>
    </row>
    <row r="3779" spans="2:5">
      <c r="B3779" t="s">
        <v>5810</v>
      </c>
      <c r="C3779">
        <v>521131</v>
      </c>
      <c r="D3779" t="s">
        <v>360</v>
      </c>
      <c r="E3779" t="s">
        <v>375</v>
      </c>
    </row>
    <row r="3780" spans="2:5">
      <c r="B3780" t="s">
        <v>5811</v>
      </c>
      <c r="C3780">
        <v>502563</v>
      </c>
      <c r="D3780" t="s">
        <v>360</v>
      </c>
      <c r="E3780" t="s">
        <v>354</v>
      </c>
    </row>
    <row r="3781" spans="2:5">
      <c r="B3781" t="s">
        <v>5812</v>
      </c>
      <c r="C3781">
        <v>500387</v>
      </c>
      <c r="D3781" t="s">
        <v>5813</v>
      </c>
      <c r="E3781" t="s">
        <v>373</v>
      </c>
    </row>
    <row r="3782" spans="2:5">
      <c r="B3782" t="s">
        <v>5814</v>
      </c>
      <c r="C3782">
        <v>502180</v>
      </c>
      <c r="D3782" t="s">
        <v>360</v>
      </c>
      <c r="E3782" t="s">
        <v>373</v>
      </c>
    </row>
    <row r="3783" spans="2:5">
      <c r="B3783" t="s">
        <v>5815</v>
      </c>
      <c r="C3783">
        <v>539470</v>
      </c>
      <c r="D3783" t="s">
        <v>360</v>
      </c>
      <c r="E3783" t="s">
        <v>698</v>
      </c>
    </row>
    <row r="3784" spans="2:5">
      <c r="B3784" t="s">
        <v>5816</v>
      </c>
      <c r="C3784">
        <v>539470</v>
      </c>
      <c r="D3784" t="s">
        <v>360</v>
      </c>
      <c r="E3784" t="s">
        <v>698</v>
      </c>
    </row>
    <row r="3785" spans="2:5">
      <c r="B3785" t="s">
        <v>5817</v>
      </c>
      <c r="C3785">
        <v>530797</v>
      </c>
      <c r="D3785" t="s">
        <v>360</v>
      </c>
      <c r="E3785" t="s">
        <v>382</v>
      </c>
    </row>
    <row r="3786" spans="2:5">
      <c r="B3786" t="s">
        <v>5818</v>
      </c>
      <c r="C3786">
        <v>532643</v>
      </c>
      <c r="D3786" t="s">
        <v>5819</v>
      </c>
      <c r="E3786" t="s">
        <v>1279</v>
      </c>
    </row>
    <row r="3787" spans="2:5">
      <c r="B3787" t="s">
        <v>5820</v>
      </c>
      <c r="C3787">
        <v>540737</v>
      </c>
      <c r="D3787" t="s">
        <v>360</v>
      </c>
      <c r="E3787" t="s">
        <v>398</v>
      </c>
    </row>
    <row r="3788" spans="2:5">
      <c r="B3788" t="s">
        <v>5821</v>
      </c>
      <c r="C3788">
        <v>512463</v>
      </c>
      <c r="D3788" t="s">
        <v>360</v>
      </c>
      <c r="E3788" t="s">
        <v>377</v>
      </c>
    </row>
    <row r="3789" spans="2:5">
      <c r="B3789" t="s">
        <v>5822</v>
      </c>
      <c r="C3789">
        <v>524336</v>
      </c>
      <c r="D3789" t="s">
        <v>360</v>
      </c>
      <c r="E3789" t="s">
        <v>408</v>
      </c>
    </row>
    <row r="3790" spans="2:5">
      <c r="B3790" t="s">
        <v>5823</v>
      </c>
      <c r="C3790">
        <v>516106</v>
      </c>
      <c r="D3790" t="s">
        <v>360</v>
      </c>
      <c r="E3790" t="s">
        <v>354</v>
      </c>
    </row>
    <row r="3791" spans="2:5">
      <c r="B3791" t="s">
        <v>5824</v>
      </c>
      <c r="C3791">
        <v>542146</v>
      </c>
      <c r="D3791" t="s">
        <v>360</v>
      </c>
      <c r="E3791" t="s">
        <v>446</v>
      </c>
    </row>
    <row r="3792" spans="2:5">
      <c r="B3792" t="s">
        <v>5825</v>
      </c>
      <c r="C3792">
        <v>500388</v>
      </c>
      <c r="D3792" t="s">
        <v>360</v>
      </c>
      <c r="E3792" t="s">
        <v>354</v>
      </c>
    </row>
    <row r="3793" spans="2:5">
      <c r="B3793" t="s">
        <v>5826</v>
      </c>
      <c r="C3793">
        <v>503863</v>
      </c>
      <c r="D3793" t="s">
        <v>360</v>
      </c>
      <c r="E3793" t="s">
        <v>375</v>
      </c>
    </row>
    <row r="3794" spans="2:5">
      <c r="B3794" t="s">
        <v>5827</v>
      </c>
      <c r="C3794">
        <v>531962</v>
      </c>
      <c r="D3794" t="s">
        <v>360</v>
      </c>
      <c r="E3794" t="s">
        <v>377</v>
      </c>
    </row>
    <row r="3795" spans="2:5">
      <c r="B3795" t="s">
        <v>5828</v>
      </c>
      <c r="C3795">
        <v>540253</v>
      </c>
      <c r="D3795" t="s">
        <v>360</v>
      </c>
      <c r="E3795" t="s">
        <v>343</v>
      </c>
    </row>
    <row r="3796" spans="2:5">
      <c r="B3796" t="s">
        <v>5829</v>
      </c>
      <c r="C3796">
        <v>506180</v>
      </c>
      <c r="D3796" t="s">
        <v>360</v>
      </c>
      <c r="E3796" t="s">
        <v>382</v>
      </c>
    </row>
    <row r="3797" spans="2:5">
      <c r="B3797" t="s">
        <v>5830</v>
      </c>
      <c r="C3797">
        <v>527005</v>
      </c>
      <c r="D3797" t="s">
        <v>360</v>
      </c>
      <c r="E3797" t="s">
        <v>1324</v>
      </c>
    </row>
    <row r="3798" spans="2:5">
      <c r="B3798" t="s">
        <v>5831</v>
      </c>
      <c r="C3798">
        <v>533110</v>
      </c>
      <c r="D3798" t="s">
        <v>360</v>
      </c>
      <c r="E3798" t="s">
        <v>683</v>
      </c>
    </row>
    <row r="3799" spans="2:5">
      <c r="B3799" t="s">
        <v>5832</v>
      </c>
      <c r="C3799">
        <v>539334</v>
      </c>
      <c r="D3799" t="s">
        <v>5833</v>
      </c>
      <c r="E3799" t="s">
        <v>520</v>
      </c>
    </row>
    <row r="3800" spans="2:5">
      <c r="B3800" t="s">
        <v>5834</v>
      </c>
      <c r="C3800">
        <v>503837</v>
      </c>
      <c r="D3800" t="s">
        <v>360</v>
      </c>
      <c r="E3800" t="s">
        <v>375</v>
      </c>
    </row>
    <row r="3801" spans="2:5">
      <c r="B3801" t="s">
        <v>5835</v>
      </c>
      <c r="C3801">
        <v>516086</v>
      </c>
      <c r="D3801" t="s">
        <v>360</v>
      </c>
      <c r="E3801" t="s">
        <v>354</v>
      </c>
    </row>
    <row r="3802" spans="2:5">
      <c r="B3802" t="s">
        <v>5836</v>
      </c>
      <c r="C3802" t="s">
        <v>360</v>
      </c>
      <c r="D3802" t="s">
        <v>5837</v>
      </c>
      <c r="E3802" t="s">
        <v>371</v>
      </c>
    </row>
    <row r="3803" spans="2:5">
      <c r="B3803" t="s">
        <v>5838</v>
      </c>
      <c r="C3803">
        <v>532310</v>
      </c>
      <c r="D3803" t="s">
        <v>5839</v>
      </c>
      <c r="E3803" t="s">
        <v>555</v>
      </c>
    </row>
    <row r="3804" spans="2:5">
      <c r="B3804" t="s">
        <v>5840</v>
      </c>
      <c r="C3804">
        <v>500356</v>
      </c>
      <c r="D3804" t="s">
        <v>5841</v>
      </c>
      <c r="E3804" t="s">
        <v>354</v>
      </c>
    </row>
    <row r="3805" spans="2:5">
      <c r="B3805" t="s">
        <v>5842</v>
      </c>
      <c r="C3805">
        <v>532670</v>
      </c>
      <c r="D3805" t="s">
        <v>5843</v>
      </c>
      <c r="E3805" t="s">
        <v>1058</v>
      </c>
    </row>
    <row r="3806" spans="2:5">
      <c r="B3806" t="s">
        <v>5844</v>
      </c>
      <c r="C3806">
        <v>503635</v>
      </c>
      <c r="D3806" t="s">
        <v>360</v>
      </c>
      <c r="E3806" t="s">
        <v>343</v>
      </c>
    </row>
    <row r="3807" spans="2:5">
      <c r="B3807" t="s">
        <v>5845</v>
      </c>
      <c r="C3807">
        <v>538975</v>
      </c>
      <c r="D3807" t="s">
        <v>360</v>
      </c>
      <c r="E3807" t="s">
        <v>377</v>
      </c>
    </row>
    <row r="3808" spans="2:5">
      <c r="B3808" t="s">
        <v>5846</v>
      </c>
      <c r="C3808">
        <v>513488</v>
      </c>
      <c r="D3808" t="s">
        <v>360</v>
      </c>
      <c r="E3808" t="s">
        <v>683</v>
      </c>
    </row>
    <row r="3809" spans="2:5">
      <c r="B3809" t="s">
        <v>5847</v>
      </c>
      <c r="C3809">
        <v>531667</v>
      </c>
      <c r="D3809" t="s">
        <v>360</v>
      </c>
      <c r="E3809" t="s">
        <v>382</v>
      </c>
    </row>
    <row r="3810" spans="2:5">
      <c r="B3810" t="s">
        <v>5848</v>
      </c>
      <c r="C3810" t="s">
        <v>360</v>
      </c>
      <c r="D3810" t="s">
        <v>5849</v>
      </c>
      <c r="E3810" t="s">
        <v>371</v>
      </c>
    </row>
    <row r="3811" spans="2:5">
      <c r="B3811" t="s">
        <v>5850</v>
      </c>
      <c r="C3811">
        <v>590128</v>
      </c>
      <c r="D3811" t="s">
        <v>360</v>
      </c>
      <c r="E3811" t="s">
        <v>346</v>
      </c>
    </row>
    <row r="3812" spans="2:5">
      <c r="B3812" t="s">
        <v>5851</v>
      </c>
      <c r="C3812" t="s">
        <v>360</v>
      </c>
      <c r="D3812" t="s">
        <v>5852</v>
      </c>
      <c r="E3812" t="s">
        <v>371</v>
      </c>
    </row>
    <row r="3813" spans="2:5">
      <c r="B3813" t="s">
        <v>5853</v>
      </c>
      <c r="C3813">
        <v>541358</v>
      </c>
      <c r="D3813" t="s">
        <v>360</v>
      </c>
      <c r="E3813" t="s">
        <v>377</v>
      </c>
    </row>
    <row r="3814" spans="2:5">
      <c r="B3814" t="s">
        <v>5854</v>
      </c>
      <c r="C3814">
        <v>540738</v>
      </c>
      <c r="D3814" t="s">
        <v>360</v>
      </c>
      <c r="E3814" t="s">
        <v>681</v>
      </c>
    </row>
    <row r="3815" spans="2:5">
      <c r="B3815" t="s">
        <v>5855</v>
      </c>
      <c r="C3815">
        <v>503696</v>
      </c>
      <c r="D3815" t="s">
        <v>360</v>
      </c>
      <c r="E3815" t="s">
        <v>781</v>
      </c>
    </row>
    <row r="3816" spans="2:5">
      <c r="B3816" t="s">
        <v>5856</v>
      </c>
      <c r="C3816" t="s">
        <v>360</v>
      </c>
      <c r="D3816" t="s">
        <v>5857</v>
      </c>
      <c r="E3816" t="s">
        <v>371</v>
      </c>
    </row>
    <row r="3817" spans="2:5">
      <c r="B3817" t="s">
        <v>5858</v>
      </c>
      <c r="C3817">
        <v>541112</v>
      </c>
      <c r="D3817" t="s">
        <v>360</v>
      </c>
      <c r="E3817" t="s">
        <v>758</v>
      </c>
    </row>
    <row r="3818" spans="2:5">
      <c r="B3818" t="s">
        <v>5859</v>
      </c>
      <c r="C3818">
        <v>532007</v>
      </c>
      <c r="D3818" t="s">
        <v>360</v>
      </c>
      <c r="E3818" t="s">
        <v>781</v>
      </c>
    </row>
    <row r="3819" spans="2:5">
      <c r="B3819" t="s">
        <v>5860</v>
      </c>
      <c r="C3819" t="s">
        <v>360</v>
      </c>
      <c r="D3819" t="s">
        <v>5861</v>
      </c>
      <c r="E3819" t="s">
        <v>371</v>
      </c>
    </row>
    <row r="3820" spans="2:5">
      <c r="B3820" t="s">
        <v>5862</v>
      </c>
      <c r="C3820">
        <v>516016</v>
      </c>
      <c r="D3820" t="s">
        <v>5863</v>
      </c>
      <c r="E3820" t="s">
        <v>354</v>
      </c>
    </row>
    <row r="3821" spans="2:5">
      <c r="B3821" t="s">
        <v>5864</v>
      </c>
      <c r="C3821">
        <v>526335</v>
      </c>
      <c r="D3821" t="s">
        <v>360</v>
      </c>
      <c r="E3821" t="s">
        <v>408</v>
      </c>
    </row>
    <row r="3822" spans="2:5">
      <c r="B3822" t="s">
        <v>5865</v>
      </c>
      <c r="C3822">
        <v>520151</v>
      </c>
      <c r="D3822" t="s">
        <v>5866</v>
      </c>
      <c r="E3822" t="s">
        <v>1607</v>
      </c>
    </row>
    <row r="3823" spans="2:5">
      <c r="B3823" t="s">
        <v>5867</v>
      </c>
      <c r="C3823">
        <v>526981</v>
      </c>
      <c r="D3823" t="s">
        <v>360</v>
      </c>
      <c r="E3823" t="s">
        <v>683</v>
      </c>
    </row>
    <row r="3824" spans="2:5">
      <c r="B3824" t="s">
        <v>5868</v>
      </c>
      <c r="C3824">
        <v>530841</v>
      </c>
      <c r="D3824" t="s">
        <v>360</v>
      </c>
      <c r="E3824" t="s">
        <v>637</v>
      </c>
    </row>
    <row r="3825" spans="2:5">
      <c r="B3825" t="s">
        <v>5869</v>
      </c>
      <c r="C3825">
        <v>503804</v>
      </c>
      <c r="D3825" t="s">
        <v>360</v>
      </c>
      <c r="E3825" t="s">
        <v>375</v>
      </c>
    </row>
    <row r="3826" spans="2:5">
      <c r="B3826" t="s">
        <v>5870</v>
      </c>
      <c r="C3826">
        <v>512453</v>
      </c>
      <c r="D3826" t="s">
        <v>360</v>
      </c>
      <c r="E3826" t="s">
        <v>555</v>
      </c>
    </row>
    <row r="3827" spans="2:5">
      <c r="B3827" t="s">
        <v>5871</v>
      </c>
      <c r="C3827">
        <v>532083</v>
      </c>
      <c r="D3827" t="s">
        <v>360</v>
      </c>
      <c r="E3827" t="s">
        <v>781</v>
      </c>
    </row>
    <row r="3828" spans="2:5">
      <c r="B3828" t="s">
        <v>5872</v>
      </c>
      <c r="C3828">
        <v>530977</v>
      </c>
      <c r="D3828" t="s">
        <v>360</v>
      </c>
      <c r="E3828" t="s">
        <v>373</v>
      </c>
    </row>
    <row r="3829" spans="2:5">
      <c r="B3829" t="s">
        <v>5873</v>
      </c>
      <c r="C3829">
        <v>531080</v>
      </c>
      <c r="D3829" t="s">
        <v>360</v>
      </c>
      <c r="E3829" t="s">
        <v>446</v>
      </c>
    </row>
    <row r="3830" spans="2:5">
      <c r="B3830" t="s">
        <v>5874</v>
      </c>
      <c r="C3830">
        <v>538897</v>
      </c>
      <c r="D3830" t="s">
        <v>360</v>
      </c>
      <c r="E3830" t="s">
        <v>377</v>
      </c>
    </row>
    <row r="3831" spans="2:5">
      <c r="B3831" t="s">
        <v>5875</v>
      </c>
      <c r="C3831" t="s">
        <v>360</v>
      </c>
      <c r="D3831" t="s">
        <v>5876</v>
      </c>
      <c r="E3831" t="s">
        <v>371</v>
      </c>
    </row>
    <row r="3832" spans="2:5">
      <c r="B3832" t="s">
        <v>5877</v>
      </c>
      <c r="C3832">
        <v>508961</v>
      </c>
      <c r="D3832" t="s">
        <v>360</v>
      </c>
      <c r="E3832" t="s">
        <v>377</v>
      </c>
    </row>
    <row r="3833" spans="2:5">
      <c r="B3833" t="s">
        <v>5878</v>
      </c>
      <c r="C3833">
        <v>531359</v>
      </c>
      <c r="D3833" t="s">
        <v>360</v>
      </c>
      <c r="E3833" t="s">
        <v>2765</v>
      </c>
    </row>
    <row r="3834" spans="2:5">
      <c r="B3834" t="s">
        <v>5879</v>
      </c>
      <c r="C3834">
        <v>532498</v>
      </c>
      <c r="D3834" t="s">
        <v>5880</v>
      </c>
      <c r="E3834" t="s">
        <v>377</v>
      </c>
    </row>
    <row r="3835" spans="2:5">
      <c r="B3835" t="s">
        <v>5881</v>
      </c>
      <c r="C3835">
        <v>532945</v>
      </c>
      <c r="D3835" t="s">
        <v>5882</v>
      </c>
      <c r="E3835" t="s">
        <v>758</v>
      </c>
    </row>
    <row r="3836" spans="2:5">
      <c r="B3836" t="s">
        <v>5883</v>
      </c>
      <c r="C3836" t="s">
        <v>360</v>
      </c>
      <c r="D3836" t="s">
        <v>5884</v>
      </c>
      <c r="E3836" t="s">
        <v>451</v>
      </c>
    </row>
    <row r="3837" spans="2:5">
      <c r="B3837" t="s">
        <v>5885</v>
      </c>
      <c r="C3837">
        <v>511218</v>
      </c>
      <c r="D3837" t="s">
        <v>5886</v>
      </c>
      <c r="E3837" t="s">
        <v>377</v>
      </c>
    </row>
    <row r="3838" spans="2:5">
      <c r="B3838" t="s">
        <v>5887</v>
      </c>
      <c r="C3838">
        <v>511411</v>
      </c>
      <c r="D3838" t="s">
        <v>360</v>
      </c>
      <c r="E3838" t="s">
        <v>758</v>
      </c>
    </row>
    <row r="3839" spans="2:5">
      <c r="B3839" t="s">
        <v>5888</v>
      </c>
      <c r="C3839">
        <v>542019</v>
      </c>
      <c r="D3839" t="s">
        <v>360</v>
      </c>
      <c r="E3839" t="s">
        <v>375</v>
      </c>
    </row>
    <row r="3840" spans="2:5">
      <c r="B3840" t="s">
        <v>5889</v>
      </c>
      <c r="C3840" t="s">
        <v>360</v>
      </c>
      <c r="D3840" t="s">
        <v>5890</v>
      </c>
      <c r="E3840" t="s">
        <v>371</v>
      </c>
    </row>
    <row r="3841" spans="2:5">
      <c r="B3841" t="s">
        <v>5891</v>
      </c>
      <c r="C3841">
        <v>531506</v>
      </c>
      <c r="D3841" t="s">
        <v>5892</v>
      </c>
      <c r="E3841" t="s">
        <v>781</v>
      </c>
    </row>
    <row r="3842" spans="2:5">
      <c r="B3842" t="s">
        <v>5893</v>
      </c>
      <c r="C3842">
        <v>523790</v>
      </c>
      <c r="D3842" t="s">
        <v>360</v>
      </c>
      <c r="E3842" t="s">
        <v>474</v>
      </c>
    </row>
    <row r="3843" spans="2:5">
      <c r="B3843" t="s">
        <v>5894</v>
      </c>
      <c r="C3843">
        <v>524632</v>
      </c>
      <c r="D3843" t="s">
        <v>360</v>
      </c>
      <c r="E3843" t="s">
        <v>398</v>
      </c>
    </row>
    <row r="3844" spans="2:5">
      <c r="B3844" t="s">
        <v>5895</v>
      </c>
      <c r="C3844">
        <v>539252</v>
      </c>
      <c r="D3844" t="s">
        <v>5896</v>
      </c>
      <c r="E3844" t="s">
        <v>392</v>
      </c>
    </row>
    <row r="3845" spans="2:5">
      <c r="B3845" t="s">
        <v>5897</v>
      </c>
      <c r="C3845">
        <v>517411</v>
      </c>
      <c r="D3845" t="s">
        <v>5898</v>
      </c>
      <c r="E3845" t="s">
        <v>506</v>
      </c>
    </row>
    <row r="3846" spans="2:5">
      <c r="B3846" t="s">
        <v>5899</v>
      </c>
      <c r="C3846">
        <v>531219</v>
      </c>
      <c r="D3846" t="s">
        <v>360</v>
      </c>
      <c r="E3846" t="s">
        <v>398</v>
      </c>
    </row>
    <row r="3847" spans="2:5">
      <c r="B3847" t="s">
        <v>5900</v>
      </c>
      <c r="C3847">
        <v>505515</v>
      </c>
      <c r="D3847" t="s">
        <v>360</v>
      </c>
      <c r="E3847" t="s">
        <v>343</v>
      </c>
    </row>
    <row r="3848" spans="2:5">
      <c r="B3848" t="s">
        <v>5901</v>
      </c>
      <c r="C3848">
        <v>530907</v>
      </c>
      <c r="D3848" t="s">
        <v>360</v>
      </c>
      <c r="E3848" t="s">
        <v>781</v>
      </c>
    </row>
    <row r="3849" spans="2:5">
      <c r="B3849" t="s">
        <v>5902</v>
      </c>
      <c r="C3849">
        <v>520141</v>
      </c>
      <c r="D3849" t="s">
        <v>360</v>
      </c>
      <c r="E3849" t="s">
        <v>715</v>
      </c>
    </row>
    <row r="3850" spans="2:5">
      <c r="B3850" t="s">
        <v>5903</v>
      </c>
      <c r="C3850">
        <v>533014</v>
      </c>
      <c r="D3850" t="s">
        <v>5904</v>
      </c>
      <c r="E3850" t="s">
        <v>382</v>
      </c>
    </row>
    <row r="3851" spans="2:5">
      <c r="B3851" t="s">
        <v>5905</v>
      </c>
      <c r="C3851">
        <v>533014</v>
      </c>
      <c r="D3851" t="s">
        <v>5904</v>
      </c>
      <c r="E3851" t="s">
        <v>382</v>
      </c>
    </row>
    <row r="3852" spans="2:5">
      <c r="B3852" t="s">
        <v>5906</v>
      </c>
      <c r="C3852">
        <v>520086</v>
      </c>
      <c r="D3852" t="s">
        <v>5907</v>
      </c>
      <c r="E3852" t="s">
        <v>681</v>
      </c>
    </row>
    <row r="3853" spans="2:5">
      <c r="B3853" t="s">
        <v>5908</v>
      </c>
      <c r="C3853">
        <v>540736</v>
      </c>
      <c r="D3853" t="s">
        <v>360</v>
      </c>
      <c r="E3853" t="s">
        <v>465</v>
      </c>
    </row>
    <row r="3854" spans="2:5">
      <c r="B3854" t="s">
        <v>5909</v>
      </c>
      <c r="C3854">
        <v>539983</v>
      </c>
      <c r="D3854" t="s">
        <v>360</v>
      </c>
      <c r="E3854" t="s">
        <v>343</v>
      </c>
    </row>
    <row r="3855" spans="2:5">
      <c r="B3855" t="s">
        <v>5910</v>
      </c>
      <c r="C3855">
        <v>532217</v>
      </c>
      <c r="D3855" t="s">
        <v>360</v>
      </c>
      <c r="E3855" t="s">
        <v>343</v>
      </c>
    </row>
    <row r="3856" spans="2:5">
      <c r="B3856" t="s">
        <v>5911</v>
      </c>
      <c r="C3856">
        <v>500550</v>
      </c>
      <c r="D3856" t="s">
        <v>5912</v>
      </c>
      <c r="E3856" t="s">
        <v>403</v>
      </c>
    </row>
    <row r="3857" spans="2:5">
      <c r="B3857" t="s">
        <v>5913</v>
      </c>
      <c r="C3857">
        <v>512131</v>
      </c>
      <c r="D3857" t="s">
        <v>5914</v>
      </c>
      <c r="E3857" t="s">
        <v>480</v>
      </c>
    </row>
    <row r="3858" spans="2:5">
      <c r="B3858" t="s">
        <v>5915</v>
      </c>
      <c r="C3858">
        <v>523606</v>
      </c>
      <c r="D3858" t="s">
        <v>360</v>
      </c>
      <c r="E3858" t="s">
        <v>833</v>
      </c>
    </row>
    <row r="3859" spans="2:5">
      <c r="B3859" t="s">
        <v>5916</v>
      </c>
      <c r="C3859" t="s">
        <v>360</v>
      </c>
      <c r="D3859" t="s">
        <v>5917</v>
      </c>
      <c r="E3859" t="s">
        <v>371</v>
      </c>
    </row>
    <row r="3860" spans="2:5">
      <c r="B3860" t="s">
        <v>5918</v>
      </c>
      <c r="C3860">
        <v>524642</v>
      </c>
      <c r="D3860" t="s">
        <v>360</v>
      </c>
      <c r="E3860" t="s">
        <v>446</v>
      </c>
    </row>
    <row r="3861" spans="2:5">
      <c r="B3861" t="s">
        <v>5919</v>
      </c>
      <c r="C3861">
        <v>521194</v>
      </c>
      <c r="D3861" t="s">
        <v>5920</v>
      </c>
      <c r="E3861" t="s">
        <v>343</v>
      </c>
    </row>
    <row r="3862" spans="2:5">
      <c r="B3862" t="s">
        <v>5921</v>
      </c>
      <c r="C3862" t="s">
        <v>360</v>
      </c>
      <c r="D3862" t="s">
        <v>5922</v>
      </c>
      <c r="E3862" t="s">
        <v>371</v>
      </c>
    </row>
    <row r="3863" spans="2:5">
      <c r="B3863" t="s">
        <v>5923</v>
      </c>
      <c r="C3863" t="s">
        <v>360</v>
      </c>
      <c r="D3863" t="s">
        <v>5924</v>
      </c>
      <c r="E3863" t="s">
        <v>371</v>
      </c>
    </row>
    <row r="3864" spans="2:5">
      <c r="B3864" t="s">
        <v>5925</v>
      </c>
      <c r="C3864">
        <v>531635</v>
      </c>
      <c r="D3864" t="s">
        <v>360</v>
      </c>
      <c r="E3864" t="s">
        <v>991</v>
      </c>
    </row>
    <row r="3865" spans="2:5">
      <c r="B3865" t="s">
        <v>5926</v>
      </c>
      <c r="C3865">
        <v>512197</v>
      </c>
      <c r="D3865" t="s">
        <v>360</v>
      </c>
      <c r="E3865" t="s">
        <v>377</v>
      </c>
    </row>
    <row r="3866" spans="2:5">
      <c r="B3866" t="s">
        <v>5927</v>
      </c>
      <c r="C3866">
        <v>531635</v>
      </c>
      <c r="D3866" t="s">
        <v>360</v>
      </c>
      <c r="E3866" t="s">
        <v>991</v>
      </c>
    </row>
    <row r="3867" spans="2:5">
      <c r="B3867" t="s">
        <v>5928</v>
      </c>
      <c r="C3867" t="s">
        <v>360</v>
      </c>
      <c r="D3867" t="s">
        <v>5929</v>
      </c>
      <c r="E3867" t="s">
        <v>371</v>
      </c>
    </row>
    <row r="3868" spans="2:5">
      <c r="B3868" t="s">
        <v>5930</v>
      </c>
      <c r="C3868">
        <v>536073</v>
      </c>
      <c r="D3868" t="s">
        <v>360</v>
      </c>
      <c r="E3868" t="s">
        <v>758</v>
      </c>
    </row>
    <row r="3869" spans="2:5">
      <c r="B3869" t="s">
        <v>5931</v>
      </c>
      <c r="C3869">
        <v>539742</v>
      </c>
      <c r="D3869" t="s">
        <v>5932</v>
      </c>
      <c r="E3869" t="s">
        <v>1058</v>
      </c>
    </row>
    <row r="3870" spans="2:5">
      <c r="B3870" t="s">
        <v>5933</v>
      </c>
      <c r="C3870">
        <v>507998</v>
      </c>
      <c r="D3870" t="s">
        <v>360</v>
      </c>
      <c r="E3870" t="s">
        <v>715</v>
      </c>
    </row>
    <row r="3871" spans="2:5">
      <c r="B3871" t="s">
        <v>5934</v>
      </c>
      <c r="C3871">
        <v>513472</v>
      </c>
      <c r="D3871" t="s">
        <v>360</v>
      </c>
      <c r="E3871" t="s">
        <v>1279</v>
      </c>
    </row>
    <row r="3872" spans="2:5">
      <c r="B3872" t="s">
        <v>5935</v>
      </c>
      <c r="C3872">
        <v>523838</v>
      </c>
      <c r="D3872" t="s">
        <v>5936</v>
      </c>
      <c r="E3872" t="s">
        <v>758</v>
      </c>
    </row>
    <row r="3873" spans="2:5">
      <c r="B3873" t="s">
        <v>5937</v>
      </c>
      <c r="C3873">
        <v>533018</v>
      </c>
      <c r="D3873" t="s">
        <v>360</v>
      </c>
      <c r="E3873" t="s">
        <v>375</v>
      </c>
    </row>
    <row r="3874" spans="2:5">
      <c r="B3874" t="s">
        <v>5938</v>
      </c>
      <c r="C3874">
        <v>533019</v>
      </c>
      <c r="D3874" t="s">
        <v>360</v>
      </c>
      <c r="E3874" t="s">
        <v>354</v>
      </c>
    </row>
    <row r="3875" spans="2:5">
      <c r="B3875" t="s">
        <v>5939</v>
      </c>
      <c r="C3875">
        <v>503229</v>
      </c>
      <c r="D3875" t="s">
        <v>360</v>
      </c>
      <c r="E3875" t="s">
        <v>446</v>
      </c>
    </row>
    <row r="3876" spans="2:5">
      <c r="B3876" t="s">
        <v>5940</v>
      </c>
      <c r="C3876">
        <v>519566</v>
      </c>
      <c r="D3876" t="s">
        <v>360</v>
      </c>
      <c r="E3876" t="s">
        <v>420</v>
      </c>
    </row>
    <row r="3877" spans="2:5">
      <c r="B3877" t="s">
        <v>5941</v>
      </c>
      <c r="C3877">
        <v>523023</v>
      </c>
      <c r="D3877" t="s">
        <v>360</v>
      </c>
      <c r="E3877" t="s">
        <v>561</v>
      </c>
    </row>
    <row r="3878" spans="2:5">
      <c r="B3878" t="s">
        <v>5942</v>
      </c>
      <c r="C3878">
        <v>532029</v>
      </c>
      <c r="D3878" t="s">
        <v>360</v>
      </c>
      <c r="E3878" t="s">
        <v>781</v>
      </c>
    </row>
    <row r="3879" spans="2:5">
      <c r="B3879" t="s">
        <v>5943</v>
      </c>
      <c r="C3879">
        <v>505504</v>
      </c>
      <c r="D3879" t="s">
        <v>360</v>
      </c>
      <c r="E3879" t="s">
        <v>346</v>
      </c>
    </row>
    <row r="3880" spans="2:5">
      <c r="B3880" t="s">
        <v>5944</v>
      </c>
      <c r="C3880">
        <v>505729</v>
      </c>
      <c r="D3880" t="s">
        <v>360</v>
      </c>
      <c r="E3880" t="s">
        <v>368</v>
      </c>
    </row>
    <row r="3881" spans="2:5">
      <c r="B3881" t="s">
        <v>5945</v>
      </c>
      <c r="C3881">
        <v>505729</v>
      </c>
      <c r="D3881" t="s">
        <v>360</v>
      </c>
      <c r="E3881" t="s">
        <v>368</v>
      </c>
    </row>
    <row r="3882" spans="2:5">
      <c r="B3882" t="s">
        <v>5946</v>
      </c>
      <c r="C3882">
        <v>509887</v>
      </c>
      <c r="D3882" t="s">
        <v>360</v>
      </c>
      <c r="E3882" t="s">
        <v>2530</v>
      </c>
    </row>
    <row r="3883" spans="2:5">
      <c r="B3883" t="s">
        <v>5947</v>
      </c>
      <c r="C3883">
        <v>539410</v>
      </c>
      <c r="D3883" t="s">
        <v>360</v>
      </c>
      <c r="E3883" t="s">
        <v>382</v>
      </c>
    </row>
    <row r="3884" spans="2:5">
      <c r="B3884" t="s">
        <v>5948</v>
      </c>
      <c r="C3884">
        <v>539410</v>
      </c>
      <c r="D3884" t="s">
        <v>360</v>
      </c>
      <c r="E3884" t="s">
        <v>382</v>
      </c>
    </row>
    <row r="3885" spans="2:5">
      <c r="B3885" t="s">
        <v>5949</v>
      </c>
      <c r="C3885" t="s">
        <v>360</v>
      </c>
      <c r="D3885" t="s">
        <v>5950</v>
      </c>
      <c r="E3885" t="s">
        <v>371</v>
      </c>
    </row>
    <row r="3886" spans="2:5">
      <c r="B3886" t="s">
        <v>5951</v>
      </c>
      <c r="C3886" t="s">
        <v>360</v>
      </c>
      <c r="D3886" t="s">
        <v>5950</v>
      </c>
      <c r="E3886" t="s">
        <v>371</v>
      </c>
    </row>
    <row r="3887" spans="2:5">
      <c r="B3887" t="s">
        <v>5952</v>
      </c>
      <c r="C3887">
        <v>502742</v>
      </c>
      <c r="D3887" t="s">
        <v>5953</v>
      </c>
      <c r="E3887" t="s">
        <v>375</v>
      </c>
    </row>
    <row r="3888" spans="2:5">
      <c r="B3888" t="s">
        <v>5954</v>
      </c>
      <c r="C3888">
        <v>540653</v>
      </c>
      <c r="D3888" t="s">
        <v>5955</v>
      </c>
      <c r="E3888" t="s">
        <v>480</v>
      </c>
    </row>
    <row r="3889" spans="2:5">
      <c r="B3889" t="s">
        <v>5956</v>
      </c>
      <c r="C3889">
        <v>523164</v>
      </c>
      <c r="D3889" t="s">
        <v>360</v>
      </c>
      <c r="E3889" t="s">
        <v>558</v>
      </c>
    </row>
    <row r="3890" spans="2:5">
      <c r="B3890" t="s">
        <v>5957</v>
      </c>
      <c r="C3890">
        <v>532879</v>
      </c>
      <c r="D3890" t="s">
        <v>360</v>
      </c>
      <c r="E3890" t="s">
        <v>1058</v>
      </c>
    </row>
    <row r="3891" spans="2:5">
      <c r="B3891" t="s">
        <v>5958</v>
      </c>
      <c r="C3891" t="s">
        <v>360</v>
      </c>
      <c r="D3891" t="s">
        <v>5959</v>
      </c>
      <c r="E3891" t="s">
        <v>371</v>
      </c>
    </row>
    <row r="3892" spans="2:5">
      <c r="B3892" t="s">
        <v>5960</v>
      </c>
      <c r="C3892" t="s">
        <v>360</v>
      </c>
      <c r="D3892" t="s">
        <v>5959</v>
      </c>
      <c r="E3892" t="s">
        <v>371</v>
      </c>
    </row>
    <row r="3893" spans="2:5">
      <c r="B3893" t="s">
        <v>5961</v>
      </c>
      <c r="C3893">
        <v>538667</v>
      </c>
      <c r="D3893" t="s">
        <v>360</v>
      </c>
      <c r="E3893" t="s">
        <v>382</v>
      </c>
    </row>
    <row r="3894" spans="2:5">
      <c r="B3894" t="s">
        <v>5962</v>
      </c>
      <c r="C3894">
        <v>512589</v>
      </c>
      <c r="D3894" t="s">
        <v>360</v>
      </c>
      <c r="E3894" t="s">
        <v>382</v>
      </c>
    </row>
    <row r="3895" spans="2:5">
      <c r="B3895" t="s">
        <v>5963</v>
      </c>
      <c r="C3895">
        <v>532961</v>
      </c>
      <c r="D3895" t="s">
        <v>5964</v>
      </c>
      <c r="E3895" t="s">
        <v>440</v>
      </c>
    </row>
    <row r="3896" spans="2:5">
      <c r="B3896" t="s">
        <v>5965</v>
      </c>
      <c r="C3896">
        <v>532795</v>
      </c>
      <c r="D3896" t="s">
        <v>5966</v>
      </c>
      <c r="E3896" t="s">
        <v>1098</v>
      </c>
    </row>
    <row r="3897" spans="2:5">
      <c r="B3897" t="s">
        <v>5967</v>
      </c>
      <c r="C3897">
        <v>503811</v>
      </c>
      <c r="D3897" t="s">
        <v>5968</v>
      </c>
      <c r="E3897" t="s">
        <v>375</v>
      </c>
    </row>
    <row r="3898" spans="2:5">
      <c r="B3898" t="s">
        <v>5969</v>
      </c>
      <c r="C3898">
        <v>504398</v>
      </c>
      <c r="D3898" t="s">
        <v>360</v>
      </c>
      <c r="E3898" t="s">
        <v>474</v>
      </c>
    </row>
    <row r="3899" spans="2:5">
      <c r="B3899" t="s">
        <v>5970</v>
      </c>
      <c r="C3899">
        <v>533206</v>
      </c>
      <c r="D3899" t="s">
        <v>5971</v>
      </c>
      <c r="E3899" t="s">
        <v>499</v>
      </c>
    </row>
    <row r="3900" spans="2:5">
      <c r="B3900" t="s">
        <v>5972</v>
      </c>
      <c r="C3900">
        <v>500472</v>
      </c>
      <c r="D3900" t="s">
        <v>5973</v>
      </c>
      <c r="E3900" t="s">
        <v>545</v>
      </c>
    </row>
    <row r="3901" spans="2:5">
      <c r="B3901" t="s">
        <v>5974</v>
      </c>
      <c r="C3901">
        <v>500472</v>
      </c>
      <c r="D3901" t="s">
        <v>5975</v>
      </c>
      <c r="E3901" t="s">
        <v>545</v>
      </c>
    </row>
    <row r="3902" spans="2:5">
      <c r="B3902" t="s">
        <v>5976</v>
      </c>
      <c r="C3902">
        <v>539861</v>
      </c>
      <c r="D3902" t="s">
        <v>5977</v>
      </c>
      <c r="E3902" t="s">
        <v>758</v>
      </c>
    </row>
    <row r="3903" spans="2:5">
      <c r="B3903" t="s">
        <v>5978</v>
      </c>
      <c r="C3903">
        <v>538562</v>
      </c>
      <c r="D3903" t="s">
        <v>5979</v>
      </c>
      <c r="E3903" t="s">
        <v>758</v>
      </c>
    </row>
    <row r="3904" spans="2:5">
      <c r="B3904" t="s">
        <v>5980</v>
      </c>
      <c r="C3904">
        <v>532143</v>
      </c>
      <c r="D3904" t="s">
        <v>5981</v>
      </c>
      <c r="E3904" t="s">
        <v>440</v>
      </c>
    </row>
    <row r="3905" spans="2:5">
      <c r="B3905" t="s">
        <v>5982</v>
      </c>
      <c r="C3905">
        <v>532143</v>
      </c>
      <c r="D3905" t="s">
        <v>5981</v>
      </c>
      <c r="E3905" t="s">
        <v>440</v>
      </c>
    </row>
    <row r="3906" spans="2:5">
      <c r="B3906" t="s">
        <v>5983</v>
      </c>
      <c r="C3906">
        <v>531169</v>
      </c>
      <c r="D3906" t="s">
        <v>360</v>
      </c>
      <c r="E3906" t="s">
        <v>377</v>
      </c>
    </row>
    <row r="3907" spans="2:5">
      <c r="B3907" t="s">
        <v>5984</v>
      </c>
      <c r="C3907" t="s">
        <v>360</v>
      </c>
      <c r="D3907" t="s">
        <v>5985</v>
      </c>
      <c r="E3907" t="s">
        <v>371</v>
      </c>
    </row>
    <row r="3908" spans="2:5">
      <c r="B3908" t="s">
        <v>5986</v>
      </c>
      <c r="C3908">
        <v>541967</v>
      </c>
      <c r="D3908" t="s">
        <v>360</v>
      </c>
      <c r="E3908" t="s">
        <v>474</v>
      </c>
    </row>
    <row r="3909" spans="2:5">
      <c r="B3909" t="s">
        <v>5987</v>
      </c>
      <c r="C3909">
        <v>526479</v>
      </c>
      <c r="D3909" t="s">
        <v>360</v>
      </c>
      <c r="E3909" t="s">
        <v>375</v>
      </c>
    </row>
    <row r="3910" spans="2:5">
      <c r="B3910" t="s">
        <v>5988</v>
      </c>
      <c r="C3910">
        <v>505650</v>
      </c>
      <c r="D3910" t="s">
        <v>360</v>
      </c>
      <c r="E3910" t="s">
        <v>438</v>
      </c>
    </row>
    <row r="3911" spans="2:5">
      <c r="B3911" t="s">
        <v>5989</v>
      </c>
      <c r="C3911">
        <v>538919</v>
      </c>
      <c r="D3911" t="s">
        <v>360</v>
      </c>
      <c r="E3911" t="s">
        <v>446</v>
      </c>
    </row>
    <row r="3912" spans="2:5">
      <c r="B3912" t="s">
        <v>5990</v>
      </c>
      <c r="C3912">
        <v>538919</v>
      </c>
      <c r="D3912" t="s">
        <v>360</v>
      </c>
      <c r="E3912" t="s">
        <v>446</v>
      </c>
    </row>
    <row r="3913" spans="2:5">
      <c r="B3913" t="s">
        <v>5991</v>
      </c>
      <c r="C3913">
        <v>539494</v>
      </c>
      <c r="D3913" t="s">
        <v>360</v>
      </c>
      <c r="E3913" t="s">
        <v>377</v>
      </c>
    </row>
    <row r="3914" spans="2:5">
      <c r="B3914" t="s">
        <v>5992</v>
      </c>
      <c r="C3914">
        <v>532419</v>
      </c>
      <c r="D3914" t="s">
        <v>5993</v>
      </c>
      <c r="E3914" t="s">
        <v>1986</v>
      </c>
    </row>
    <row r="3915" spans="2:5">
      <c r="B3915" t="s">
        <v>5994</v>
      </c>
      <c r="C3915">
        <v>508905</v>
      </c>
      <c r="D3915" t="s">
        <v>360</v>
      </c>
      <c r="E3915" t="s">
        <v>343</v>
      </c>
    </row>
    <row r="3916" spans="2:5">
      <c r="B3916" t="s">
        <v>5995</v>
      </c>
      <c r="C3916">
        <v>505192</v>
      </c>
      <c r="D3916" t="s">
        <v>5996</v>
      </c>
      <c r="E3916" t="s">
        <v>438</v>
      </c>
    </row>
    <row r="3917" spans="2:5">
      <c r="B3917" t="s">
        <v>5997</v>
      </c>
      <c r="C3917">
        <v>540686</v>
      </c>
      <c r="D3917" t="s">
        <v>360</v>
      </c>
      <c r="E3917" t="s">
        <v>398</v>
      </c>
    </row>
    <row r="3918" spans="2:5">
      <c r="B3918" t="s">
        <v>5998</v>
      </c>
      <c r="C3918">
        <v>540679</v>
      </c>
      <c r="D3918" t="s">
        <v>5999</v>
      </c>
      <c r="E3918" t="s">
        <v>398</v>
      </c>
    </row>
    <row r="3919" spans="2:5">
      <c r="B3919" t="s">
        <v>6000</v>
      </c>
      <c r="C3919">
        <v>540679</v>
      </c>
      <c r="D3919" t="s">
        <v>5999</v>
      </c>
      <c r="E3919" t="s">
        <v>398</v>
      </c>
    </row>
    <row r="3920" spans="2:5">
      <c r="B3920" t="s">
        <v>6001</v>
      </c>
      <c r="C3920">
        <v>532815</v>
      </c>
      <c r="D3920" t="s">
        <v>6002</v>
      </c>
      <c r="E3920" t="s">
        <v>398</v>
      </c>
    </row>
    <row r="3921" spans="2:5">
      <c r="B3921" t="s">
        <v>6003</v>
      </c>
      <c r="C3921" t="s">
        <v>360</v>
      </c>
      <c r="D3921" t="s">
        <v>6004</v>
      </c>
      <c r="E3921" t="s">
        <v>371</v>
      </c>
    </row>
    <row r="3922" spans="2:5">
      <c r="B3922" t="s">
        <v>6005</v>
      </c>
      <c r="C3922">
        <v>505827</v>
      </c>
      <c r="D3922" t="s">
        <v>360</v>
      </c>
      <c r="E3922" t="s">
        <v>545</v>
      </c>
    </row>
    <row r="3923" spans="2:5">
      <c r="B3923" t="s">
        <v>6006</v>
      </c>
      <c r="C3923">
        <v>538635</v>
      </c>
      <c r="D3923" t="s">
        <v>6007</v>
      </c>
      <c r="E3923" t="s">
        <v>681</v>
      </c>
    </row>
    <row r="3924" spans="2:5">
      <c r="B3924" t="s">
        <v>6008</v>
      </c>
      <c r="C3924">
        <v>532784</v>
      </c>
      <c r="D3924" t="s">
        <v>6009</v>
      </c>
      <c r="E3924" t="s">
        <v>446</v>
      </c>
    </row>
    <row r="3925" spans="2:5">
      <c r="B3925" t="s">
        <v>6010</v>
      </c>
      <c r="C3925">
        <v>512014</v>
      </c>
      <c r="D3925" t="s">
        <v>360</v>
      </c>
      <c r="E3925" t="s">
        <v>781</v>
      </c>
    </row>
    <row r="3926" spans="2:5">
      <c r="B3926" t="s">
        <v>6011</v>
      </c>
      <c r="C3926">
        <v>538923</v>
      </c>
      <c r="D3926" t="s">
        <v>360</v>
      </c>
      <c r="E3926" t="s">
        <v>346</v>
      </c>
    </row>
    <row r="3927" spans="2:5">
      <c r="B3927" t="s">
        <v>6012</v>
      </c>
      <c r="C3927">
        <v>504375</v>
      </c>
      <c r="D3927" t="s">
        <v>360</v>
      </c>
      <c r="E3927" t="s">
        <v>346</v>
      </c>
    </row>
    <row r="3928" spans="2:5">
      <c r="B3928" t="s">
        <v>6013</v>
      </c>
      <c r="C3928">
        <v>532344</v>
      </c>
      <c r="D3928" t="s">
        <v>360</v>
      </c>
      <c r="E3928" t="s">
        <v>453</v>
      </c>
    </row>
    <row r="3929" spans="2:5">
      <c r="B3929" t="s">
        <v>6014</v>
      </c>
      <c r="C3929">
        <v>532344</v>
      </c>
      <c r="D3929" t="s">
        <v>360</v>
      </c>
      <c r="E3929" t="s">
        <v>453</v>
      </c>
    </row>
    <row r="3930" spans="2:5">
      <c r="B3930" t="s">
        <v>6015</v>
      </c>
      <c r="C3930" t="s">
        <v>360</v>
      </c>
      <c r="D3930" t="s">
        <v>6016</v>
      </c>
      <c r="E3930" t="s">
        <v>371</v>
      </c>
    </row>
    <row r="3931" spans="2:5">
      <c r="B3931" t="s">
        <v>6017</v>
      </c>
      <c r="C3931">
        <v>532725</v>
      </c>
      <c r="D3931" t="s">
        <v>6018</v>
      </c>
      <c r="E3931" t="s">
        <v>520</v>
      </c>
    </row>
    <row r="3932" spans="2:5">
      <c r="B3932" t="s">
        <v>6019</v>
      </c>
      <c r="C3932">
        <v>532725</v>
      </c>
      <c r="D3932" t="s">
        <v>6018</v>
      </c>
      <c r="E3932" t="s">
        <v>520</v>
      </c>
    </row>
    <row r="3933" spans="2:5">
      <c r="B3933" t="s">
        <v>6020</v>
      </c>
      <c r="C3933">
        <v>541540</v>
      </c>
      <c r="D3933" t="s">
        <v>6021</v>
      </c>
      <c r="E3933" t="s">
        <v>398</v>
      </c>
    </row>
    <row r="3934" spans="2:5">
      <c r="B3934" t="s">
        <v>6022</v>
      </c>
      <c r="C3934" t="s">
        <v>360</v>
      </c>
      <c r="D3934" t="s">
        <v>6023</v>
      </c>
      <c r="E3934" t="s">
        <v>371</v>
      </c>
    </row>
    <row r="3935" spans="2:5">
      <c r="B3935" t="s">
        <v>6024</v>
      </c>
      <c r="C3935">
        <v>500394</v>
      </c>
      <c r="D3935" t="s">
        <v>360</v>
      </c>
      <c r="E3935" t="s">
        <v>545</v>
      </c>
    </row>
    <row r="3936" spans="2:5">
      <c r="B3936" t="s">
        <v>6025</v>
      </c>
      <c r="C3936">
        <v>502460</v>
      </c>
      <c r="D3936" t="s">
        <v>360</v>
      </c>
      <c r="E3936" t="s">
        <v>354</v>
      </c>
    </row>
    <row r="3937" spans="2:5">
      <c r="B3937" t="s">
        <v>6026</v>
      </c>
      <c r="C3937">
        <v>513699</v>
      </c>
      <c r="D3937" t="s">
        <v>360</v>
      </c>
      <c r="E3937" t="s">
        <v>888</v>
      </c>
    </row>
    <row r="3938" spans="2:5">
      <c r="B3938" t="s">
        <v>6027</v>
      </c>
      <c r="C3938">
        <v>538575</v>
      </c>
      <c r="D3938" t="s">
        <v>360</v>
      </c>
      <c r="E3938" t="s">
        <v>382</v>
      </c>
    </row>
    <row r="3939" spans="2:5">
      <c r="B3939" t="s">
        <v>6028</v>
      </c>
      <c r="C3939">
        <v>522152</v>
      </c>
      <c r="D3939" t="s">
        <v>360</v>
      </c>
      <c r="E3939" t="s">
        <v>368</v>
      </c>
    </row>
    <row r="3940" spans="2:5">
      <c r="B3940" t="s">
        <v>6029</v>
      </c>
      <c r="C3940">
        <v>511571</v>
      </c>
      <c r="D3940" t="s">
        <v>360</v>
      </c>
      <c r="E3940" t="s">
        <v>377</v>
      </c>
    </row>
    <row r="3941" spans="2:5">
      <c r="B3941" t="s">
        <v>6030</v>
      </c>
      <c r="C3941">
        <v>507514</v>
      </c>
      <c r="D3941" t="s">
        <v>6031</v>
      </c>
      <c r="E3941" t="s">
        <v>991</v>
      </c>
    </row>
    <row r="3942" spans="2:5">
      <c r="B3942" t="s">
        <v>6032</v>
      </c>
      <c r="C3942">
        <v>521034</v>
      </c>
      <c r="D3942" t="s">
        <v>6033</v>
      </c>
      <c r="E3942" t="s">
        <v>375</v>
      </c>
    </row>
    <row r="3943" spans="2:5">
      <c r="B3943" t="s">
        <v>6034</v>
      </c>
      <c r="C3943">
        <v>531548</v>
      </c>
      <c r="D3943" t="s">
        <v>6035</v>
      </c>
      <c r="E3943" t="s">
        <v>637</v>
      </c>
    </row>
    <row r="3944" spans="2:5">
      <c r="B3944" t="s">
        <v>6036</v>
      </c>
      <c r="C3944">
        <v>533001</v>
      </c>
      <c r="D3944" t="s">
        <v>6037</v>
      </c>
      <c r="E3944" t="s">
        <v>368</v>
      </c>
    </row>
    <row r="3945" spans="2:5">
      <c r="B3945" t="s">
        <v>6038</v>
      </c>
      <c r="C3945">
        <v>526901</v>
      </c>
      <c r="D3945" t="s">
        <v>360</v>
      </c>
      <c r="E3945" t="s">
        <v>408</v>
      </c>
    </row>
    <row r="3946" spans="2:5">
      <c r="B3946" t="s">
        <v>6039</v>
      </c>
      <c r="C3946">
        <v>538943</v>
      </c>
      <c r="D3946" t="s">
        <v>360</v>
      </c>
      <c r="E3946" t="s">
        <v>377</v>
      </c>
    </row>
    <row r="3947" spans="2:5">
      <c r="B3947" t="s">
        <v>6040</v>
      </c>
      <c r="C3947" t="s">
        <v>360</v>
      </c>
      <c r="D3947" t="s">
        <v>6041</v>
      </c>
      <c r="E3947" t="s">
        <v>371</v>
      </c>
    </row>
    <row r="3948" spans="2:5">
      <c r="B3948" t="s">
        <v>6042</v>
      </c>
      <c r="C3948">
        <v>532221</v>
      </c>
      <c r="D3948" t="s">
        <v>6043</v>
      </c>
      <c r="E3948" t="s">
        <v>346</v>
      </c>
    </row>
    <row r="3949" spans="2:5">
      <c r="B3949" t="s">
        <v>6044</v>
      </c>
      <c r="C3949">
        <v>539378</v>
      </c>
      <c r="D3949" t="s">
        <v>360</v>
      </c>
      <c r="E3949" t="s">
        <v>830</v>
      </c>
    </row>
    <row r="3950" spans="2:5">
      <c r="B3950" t="s">
        <v>6045</v>
      </c>
      <c r="C3950" t="s">
        <v>360</v>
      </c>
      <c r="D3950" t="s">
        <v>6046</v>
      </c>
      <c r="E3950" t="s">
        <v>371</v>
      </c>
    </row>
    <row r="3951" spans="2:5">
      <c r="B3951" t="s">
        <v>6047</v>
      </c>
      <c r="C3951">
        <v>541633</v>
      </c>
      <c r="D3951" t="s">
        <v>360</v>
      </c>
      <c r="E3951" t="s">
        <v>354</v>
      </c>
    </row>
    <row r="3952" spans="2:5">
      <c r="B3952" t="s">
        <v>6048</v>
      </c>
      <c r="C3952">
        <v>532679</v>
      </c>
      <c r="D3952" t="s">
        <v>6049</v>
      </c>
      <c r="E3952" t="s">
        <v>349</v>
      </c>
    </row>
    <row r="3953" spans="2:5">
      <c r="B3953" t="s">
        <v>6050</v>
      </c>
      <c r="C3953">
        <v>521036</v>
      </c>
      <c r="D3953" t="s">
        <v>360</v>
      </c>
      <c r="E3953" t="s">
        <v>375</v>
      </c>
    </row>
    <row r="3954" spans="2:5">
      <c r="B3954" t="s">
        <v>6051</v>
      </c>
      <c r="C3954">
        <v>521036</v>
      </c>
      <c r="D3954" t="s">
        <v>360</v>
      </c>
      <c r="E3954" t="s">
        <v>375</v>
      </c>
    </row>
    <row r="3955" spans="2:5">
      <c r="B3955" t="s">
        <v>6052</v>
      </c>
      <c r="C3955">
        <v>531398</v>
      </c>
      <c r="D3955" t="s">
        <v>360</v>
      </c>
      <c r="E3955" t="s">
        <v>398</v>
      </c>
    </row>
    <row r="3956" spans="2:5">
      <c r="B3956" t="s">
        <v>6053</v>
      </c>
      <c r="C3956">
        <v>526477</v>
      </c>
      <c r="D3956" t="s">
        <v>360</v>
      </c>
      <c r="E3956" t="s">
        <v>538</v>
      </c>
    </row>
    <row r="3957" spans="2:5">
      <c r="B3957" t="s">
        <v>6054</v>
      </c>
      <c r="C3957">
        <v>516108</v>
      </c>
      <c r="D3957" t="s">
        <v>360</v>
      </c>
      <c r="E3957" t="s">
        <v>354</v>
      </c>
    </row>
    <row r="3958" spans="2:5">
      <c r="B3958" t="s">
        <v>6055</v>
      </c>
      <c r="C3958">
        <v>538891</v>
      </c>
      <c r="D3958" t="s">
        <v>360</v>
      </c>
      <c r="E3958" t="s">
        <v>377</v>
      </c>
    </row>
    <row r="3959" spans="2:5">
      <c r="B3959" t="s">
        <v>6056</v>
      </c>
      <c r="C3959" t="s">
        <v>360</v>
      </c>
      <c r="D3959" t="s">
        <v>6057</v>
      </c>
      <c r="E3959" t="s">
        <v>371</v>
      </c>
    </row>
    <row r="3960" spans="2:5">
      <c r="B3960" t="s">
        <v>6058</v>
      </c>
      <c r="C3960">
        <v>509910</v>
      </c>
      <c r="D3960" t="s">
        <v>360</v>
      </c>
      <c r="E3960" t="s">
        <v>408</v>
      </c>
    </row>
    <row r="3961" spans="2:5">
      <c r="B3961" t="s">
        <v>6059</v>
      </c>
      <c r="C3961">
        <v>540174</v>
      </c>
      <c r="D3961" t="s">
        <v>360</v>
      </c>
      <c r="E3961" t="s">
        <v>346</v>
      </c>
    </row>
    <row r="3962" spans="2:5">
      <c r="B3962" t="s">
        <v>6060</v>
      </c>
      <c r="C3962">
        <v>514454</v>
      </c>
      <c r="D3962" t="s">
        <v>360</v>
      </c>
      <c r="E3962" t="s">
        <v>375</v>
      </c>
    </row>
    <row r="3963" spans="2:5">
      <c r="B3963" t="s">
        <v>6061</v>
      </c>
      <c r="C3963">
        <v>513498</v>
      </c>
      <c r="D3963" t="s">
        <v>360</v>
      </c>
      <c r="E3963" t="s">
        <v>340</v>
      </c>
    </row>
    <row r="3964" spans="2:5">
      <c r="B3964" t="s">
        <v>6062</v>
      </c>
      <c r="C3964">
        <v>532669</v>
      </c>
      <c r="D3964" t="s">
        <v>360</v>
      </c>
      <c r="E3964" t="s">
        <v>408</v>
      </c>
    </row>
    <row r="3965" spans="2:5">
      <c r="B3965" t="s">
        <v>6063</v>
      </c>
      <c r="C3965">
        <v>590030</v>
      </c>
      <c r="D3965" t="s">
        <v>6064</v>
      </c>
      <c r="E3965" t="s">
        <v>868</v>
      </c>
    </row>
    <row r="3966" spans="2:5">
      <c r="B3966" t="s">
        <v>6065</v>
      </c>
      <c r="C3966">
        <v>523826</v>
      </c>
      <c r="D3966" t="s">
        <v>360</v>
      </c>
      <c r="E3966" t="s">
        <v>474</v>
      </c>
    </row>
    <row r="3967" spans="2:5">
      <c r="B3967" t="s">
        <v>6066</v>
      </c>
      <c r="C3967">
        <v>532025</v>
      </c>
      <c r="D3967" t="s">
        <v>360</v>
      </c>
      <c r="E3967" t="s">
        <v>363</v>
      </c>
    </row>
    <row r="3968" spans="2:5">
      <c r="B3968" t="s">
        <v>6067</v>
      </c>
      <c r="C3968">
        <v>530289</v>
      </c>
      <c r="D3968" t="s">
        <v>360</v>
      </c>
      <c r="E3968" t="s">
        <v>781</v>
      </c>
    </row>
    <row r="3969" spans="2:5">
      <c r="B3969" t="s">
        <v>6068</v>
      </c>
      <c r="C3969">
        <v>542376</v>
      </c>
      <c r="D3969" t="s">
        <v>6069</v>
      </c>
      <c r="E3969" t="s">
        <v>343</v>
      </c>
    </row>
    <row r="3970" spans="2:5">
      <c r="B3970" t="s">
        <v>6070</v>
      </c>
      <c r="C3970">
        <v>541890</v>
      </c>
      <c r="D3970" t="s">
        <v>360</v>
      </c>
      <c r="E3970" t="s">
        <v>346</v>
      </c>
    </row>
    <row r="3971" spans="2:5">
      <c r="B3971" t="s">
        <v>6071</v>
      </c>
      <c r="C3971">
        <v>538920</v>
      </c>
      <c r="D3971" t="s">
        <v>360</v>
      </c>
      <c r="E3971" t="s">
        <v>382</v>
      </c>
    </row>
    <row r="3972" spans="2:5">
      <c r="B3972" t="s">
        <v>6072</v>
      </c>
      <c r="C3972" t="s">
        <v>360</v>
      </c>
      <c r="D3972" t="s">
        <v>6073</v>
      </c>
      <c r="E3972" t="s">
        <v>451</v>
      </c>
    </row>
    <row r="3973" spans="2:5">
      <c r="B3973" t="s">
        <v>6074</v>
      </c>
      <c r="C3973" t="s">
        <v>360</v>
      </c>
      <c r="D3973" t="s">
        <v>6073</v>
      </c>
      <c r="E3973" t="s">
        <v>451</v>
      </c>
    </row>
    <row r="3974" spans="2:5">
      <c r="B3974" t="s">
        <v>6075</v>
      </c>
      <c r="C3974">
        <v>524727</v>
      </c>
      <c r="D3974" t="s">
        <v>360</v>
      </c>
      <c r="E3974" t="s">
        <v>398</v>
      </c>
    </row>
    <row r="3975" spans="2:5">
      <c r="B3975" t="s">
        <v>6076</v>
      </c>
      <c r="C3975">
        <v>531370</v>
      </c>
      <c r="D3975" t="s">
        <v>360</v>
      </c>
      <c r="E3975" t="s">
        <v>346</v>
      </c>
    </row>
    <row r="3976" spans="2:5">
      <c r="B3976" t="s">
        <v>6077</v>
      </c>
      <c r="C3976">
        <v>540211</v>
      </c>
      <c r="D3976" t="s">
        <v>360</v>
      </c>
      <c r="E3976" t="s">
        <v>377</v>
      </c>
    </row>
    <row r="3977" spans="2:5">
      <c r="B3977" t="s">
        <v>6078</v>
      </c>
      <c r="C3977">
        <v>534425</v>
      </c>
      <c r="D3977" t="s">
        <v>6079</v>
      </c>
      <c r="E3977" t="s">
        <v>849</v>
      </c>
    </row>
    <row r="3978" spans="2:5">
      <c r="B3978" t="s">
        <v>6080</v>
      </c>
      <c r="C3978">
        <v>513687</v>
      </c>
      <c r="D3978" t="s">
        <v>360</v>
      </c>
      <c r="E3978" t="s">
        <v>715</v>
      </c>
    </row>
    <row r="3979" spans="2:5">
      <c r="B3979" t="s">
        <v>6081</v>
      </c>
      <c r="C3979" t="s">
        <v>360</v>
      </c>
      <c r="D3979" t="s">
        <v>6082</v>
      </c>
      <c r="E3979" t="s">
        <v>371</v>
      </c>
    </row>
    <row r="3980" spans="2:5">
      <c r="B3980" t="s">
        <v>6083</v>
      </c>
      <c r="C3980">
        <v>531982</v>
      </c>
      <c r="D3980" t="s">
        <v>360</v>
      </c>
      <c r="E3980" t="s">
        <v>440</v>
      </c>
    </row>
    <row r="3981" spans="2:5">
      <c r="B3981" t="s">
        <v>6084</v>
      </c>
      <c r="C3981">
        <v>512153</v>
      </c>
      <c r="D3981" t="s">
        <v>360</v>
      </c>
      <c r="E3981" t="s">
        <v>781</v>
      </c>
    </row>
    <row r="3982" spans="2:5">
      <c r="B3982" t="s">
        <v>6085</v>
      </c>
      <c r="C3982">
        <v>512291</v>
      </c>
      <c r="D3982" t="s">
        <v>360</v>
      </c>
      <c r="E3982" t="s">
        <v>343</v>
      </c>
    </row>
    <row r="3983" spans="2:5">
      <c r="B3983" t="s">
        <v>6086</v>
      </c>
      <c r="C3983">
        <v>517166</v>
      </c>
      <c r="D3983" t="s">
        <v>360</v>
      </c>
      <c r="E3983" t="s">
        <v>902</v>
      </c>
    </row>
    <row r="3984" spans="2:5">
      <c r="B3984" t="s">
        <v>6087</v>
      </c>
      <c r="C3984">
        <v>542337</v>
      </c>
      <c r="D3984" t="s">
        <v>6088</v>
      </c>
      <c r="E3984" t="s">
        <v>529</v>
      </c>
    </row>
    <row r="3985" spans="2:5">
      <c r="B3985" t="s">
        <v>6089</v>
      </c>
      <c r="C3985" t="s">
        <v>360</v>
      </c>
      <c r="D3985" t="s">
        <v>6090</v>
      </c>
      <c r="E3985" t="s">
        <v>529</v>
      </c>
    </row>
    <row r="3986" spans="2:5">
      <c r="B3986" t="s">
        <v>6091</v>
      </c>
      <c r="C3986">
        <v>526161</v>
      </c>
      <c r="D3986" t="s">
        <v>360</v>
      </c>
      <c r="E3986" t="s">
        <v>474</v>
      </c>
    </row>
    <row r="3987" spans="2:5">
      <c r="B3987" t="s">
        <v>6092</v>
      </c>
      <c r="C3987">
        <v>521082</v>
      </c>
      <c r="D3987" t="s">
        <v>6093</v>
      </c>
      <c r="E3987" t="s">
        <v>375</v>
      </c>
    </row>
    <row r="3988" spans="2:5">
      <c r="B3988" t="s">
        <v>6094</v>
      </c>
      <c r="C3988">
        <v>526827</v>
      </c>
      <c r="D3988" t="s">
        <v>360</v>
      </c>
      <c r="E3988" t="s">
        <v>474</v>
      </c>
    </row>
    <row r="3989" spans="2:5">
      <c r="B3989" t="s">
        <v>6095</v>
      </c>
      <c r="C3989">
        <v>517214</v>
      </c>
      <c r="D3989" t="s">
        <v>6096</v>
      </c>
      <c r="E3989" t="s">
        <v>506</v>
      </c>
    </row>
    <row r="3990" spans="2:5">
      <c r="B3990" t="s">
        <v>6097</v>
      </c>
      <c r="C3990">
        <v>500285</v>
      </c>
      <c r="D3990" t="s">
        <v>360</v>
      </c>
      <c r="E3990" t="s">
        <v>2497</v>
      </c>
    </row>
    <row r="3991" spans="2:5">
      <c r="B3991" t="s">
        <v>6098</v>
      </c>
      <c r="C3991">
        <v>540084</v>
      </c>
      <c r="D3991" t="s">
        <v>360</v>
      </c>
      <c r="E3991" t="s">
        <v>363</v>
      </c>
    </row>
    <row r="3992" spans="2:5">
      <c r="B3992" t="s">
        <v>6099</v>
      </c>
      <c r="C3992">
        <v>532651</v>
      </c>
      <c r="D3992" t="s">
        <v>6100</v>
      </c>
      <c r="E3992" t="s">
        <v>474</v>
      </c>
    </row>
    <row r="3993" spans="2:5">
      <c r="B3993" t="s">
        <v>6101</v>
      </c>
      <c r="C3993">
        <v>513414</v>
      </c>
      <c r="D3993" t="s">
        <v>6102</v>
      </c>
      <c r="E3993" t="s">
        <v>392</v>
      </c>
    </row>
    <row r="3994" spans="2:5">
      <c r="B3994" t="s">
        <v>6103</v>
      </c>
      <c r="C3994">
        <v>500402</v>
      </c>
      <c r="D3994" t="s">
        <v>6104</v>
      </c>
      <c r="E3994" t="s">
        <v>758</v>
      </c>
    </row>
    <row r="3995" spans="2:5">
      <c r="B3995" t="s">
        <v>6105</v>
      </c>
      <c r="C3995">
        <v>539221</v>
      </c>
      <c r="D3995" t="s">
        <v>360</v>
      </c>
      <c r="E3995" t="s">
        <v>375</v>
      </c>
    </row>
    <row r="3996" spans="2:5">
      <c r="B3996" t="s">
        <v>6106</v>
      </c>
      <c r="C3996">
        <v>539221</v>
      </c>
      <c r="D3996" t="s">
        <v>360</v>
      </c>
      <c r="E3996" t="s">
        <v>375</v>
      </c>
    </row>
    <row r="3997" spans="2:5">
      <c r="B3997" t="s">
        <v>6107</v>
      </c>
      <c r="C3997">
        <v>540079</v>
      </c>
      <c r="D3997" t="s">
        <v>360</v>
      </c>
      <c r="E3997" t="s">
        <v>1279</v>
      </c>
    </row>
    <row r="3998" spans="2:5">
      <c r="B3998" t="s">
        <v>6108</v>
      </c>
      <c r="C3998">
        <v>540570</v>
      </c>
      <c r="D3998" t="s">
        <v>6109</v>
      </c>
      <c r="E3998" t="s">
        <v>5178</v>
      </c>
    </row>
    <row r="3999" spans="2:5">
      <c r="B3999" t="s">
        <v>6110</v>
      </c>
      <c r="C3999">
        <v>538402</v>
      </c>
      <c r="D3999" t="s">
        <v>360</v>
      </c>
      <c r="E3999" t="s">
        <v>377</v>
      </c>
    </row>
    <row r="4000" spans="2:5">
      <c r="B4000" t="s">
        <v>6111</v>
      </c>
      <c r="C4000">
        <v>530177</v>
      </c>
      <c r="D4000" t="s">
        <v>360</v>
      </c>
      <c r="E4000" t="s">
        <v>382</v>
      </c>
    </row>
    <row r="4001" spans="2:5">
      <c r="B4001" t="s">
        <v>6112</v>
      </c>
      <c r="C4001">
        <v>533121</v>
      </c>
      <c r="D4001" t="s">
        <v>6113</v>
      </c>
      <c r="E4001" t="s">
        <v>346</v>
      </c>
    </row>
    <row r="4002" spans="2:5">
      <c r="B4002" t="s">
        <v>6114</v>
      </c>
      <c r="C4002">
        <v>526532</v>
      </c>
      <c r="D4002" t="s">
        <v>360</v>
      </c>
      <c r="E4002" t="s">
        <v>408</v>
      </c>
    </row>
    <row r="4003" spans="2:5">
      <c r="B4003" t="s">
        <v>6115</v>
      </c>
      <c r="C4003">
        <v>526532</v>
      </c>
      <c r="D4003" t="s">
        <v>360</v>
      </c>
      <c r="E4003" t="s">
        <v>408</v>
      </c>
    </row>
    <row r="4004" spans="2:5">
      <c r="B4004" t="s">
        <v>6116</v>
      </c>
      <c r="C4004">
        <v>530037</v>
      </c>
      <c r="D4004" t="s">
        <v>360</v>
      </c>
      <c r="E4004" t="s">
        <v>375</v>
      </c>
    </row>
    <row r="4005" spans="2:5">
      <c r="B4005" t="s">
        <v>6117</v>
      </c>
      <c r="C4005">
        <v>532842</v>
      </c>
      <c r="D4005" t="s">
        <v>6118</v>
      </c>
      <c r="E4005" t="s">
        <v>408</v>
      </c>
    </row>
    <row r="4006" spans="2:5">
      <c r="B4006" t="s">
        <v>6119</v>
      </c>
      <c r="C4006">
        <v>514248</v>
      </c>
      <c r="D4006" t="s">
        <v>360</v>
      </c>
      <c r="E4006" t="s">
        <v>408</v>
      </c>
    </row>
    <row r="4007" spans="2:5">
      <c r="B4007" t="s">
        <v>6120</v>
      </c>
      <c r="C4007">
        <v>535601</v>
      </c>
      <c r="D4007" t="s">
        <v>6121</v>
      </c>
      <c r="E4007" t="s">
        <v>786</v>
      </c>
    </row>
    <row r="4008" spans="2:5">
      <c r="B4008" t="s">
        <v>6122</v>
      </c>
      <c r="C4008">
        <v>523756</v>
      </c>
      <c r="D4008" t="s">
        <v>6123</v>
      </c>
      <c r="E4008" t="s">
        <v>377</v>
      </c>
    </row>
    <row r="4009" spans="2:5">
      <c r="B4009" t="s">
        <v>6124</v>
      </c>
      <c r="C4009">
        <v>539217</v>
      </c>
      <c r="D4009" t="s">
        <v>360</v>
      </c>
      <c r="E4009" t="s">
        <v>380</v>
      </c>
    </row>
    <row r="4010" spans="2:5">
      <c r="B4010" t="s">
        <v>6125</v>
      </c>
      <c r="C4010">
        <v>503806</v>
      </c>
      <c r="D4010" t="s">
        <v>6126</v>
      </c>
      <c r="E4010" t="s">
        <v>375</v>
      </c>
    </row>
    <row r="4011" spans="2:5">
      <c r="B4011" t="s">
        <v>6127</v>
      </c>
      <c r="C4011">
        <v>534680</v>
      </c>
      <c r="D4011" t="s">
        <v>360</v>
      </c>
      <c r="E4011" t="s">
        <v>418</v>
      </c>
    </row>
    <row r="4012" spans="2:5">
      <c r="B4012" t="s">
        <v>6128</v>
      </c>
      <c r="C4012">
        <v>530943</v>
      </c>
      <c r="D4012" t="s">
        <v>6129</v>
      </c>
      <c r="E4012" t="s">
        <v>363</v>
      </c>
    </row>
    <row r="4013" spans="2:5">
      <c r="B4013" t="s">
        <v>6130</v>
      </c>
      <c r="C4013">
        <v>538863</v>
      </c>
      <c r="D4013" t="s">
        <v>360</v>
      </c>
      <c r="E4013" t="s">
        <v>377</v>
      </c>
    </row>
    <row r="4014" spans="2:5">
      <c r="B4014" t="s">
        <v>6131</v>
      </c>
      <c r="C4014">
        <v>531322</v>
      </c>
      <c r="D4014" t="s">
        <v>6132</v>
      </c>
      <c r="E4014" t="s">
        <v>570</v>
      </c>
    </row>
    <row r="4015" spans="2:5">
      <c r="B4015" t="s">
        <v>6133</v>
      </c>
      <c r="C4015">
        <v>514442</v>
      </c>
      <c r="D4015" t="s">
        <v>360</v>
      </c>
      <c r="E4015" t="s">
        <v>480</v>
      </c>
    </row>
    <row r="4016" spans="2:5">
      <c r="B4016" t="s">
        <v>6134</v>
      </c>
      <c r="C4016">
        <v>539363</v>
      </c>
      <c r="D4016" t="s">
        <v>360</v>
      </c>
      <c r="E4016" t="s">
        <v>446</v>
      </c>
    </row>
    <row r="4017" spans="2:5">
      <c r="B4017" t="s">
        <v>6135</v>
      </c>
      <c r="C4017">
        <v>539363</v>
      </c>
      <c r="D4017" t="s">
        <v>360</v>
      </c>
      <c r="E4017" t="s">
        <v>446</v>
      </c>
    </row>
    <row r="4018" spans="2:5">
      <c r="B4018" t="s">
        <v>6136</v>
      </c>
      <c r="C4018" t="s">
        <v>360</v>
      </c>
      <c r="D4018" t="s">
        <v>6137</v>
      </c>
      <c r="E4018" t="s">
        <v>371</v>
      </c>
    </row>
    <row r="4019" spans="2:5">
      <c r="B4019" t="s">
        <v>6138</v>
      </c>
      <c r="C4019">
        <v>521161</v>
      </c>
      <c r="D4019" t="s">
        <v>360</v>
      </c>
      <c r="E4019" t="s">
        <v>375</v>
      </c>
    </row>
    <row r="4020" spans="2:5">
      <c r="B4020" t="s">
        <v>6139</v>
      </c>
      <c r="C4020">
        <v>521234</v>
      </c>
      <c r="D4020" t="s">
        <v>360</v>
      </c>
      <c r="E4020" t="s">
        <v>375</v>
      </c>
    </row>
    <row r="4021" spans="2:5">
      <c r="B4021" t="s">
        <v>6140</v>
      </c>
      <c r="C4021">
        <v>521178</v>
      </c>
      <c r="D4021" t="s">
        <v>360</v>
      </c>
      <c r="E4021" t="s">
        <v>375</v>
      </c>
    </row>
    <row r="4022" spans="2:5">
      <c r="B4022" t="s">
        <v>6141</v>
      </c>
      <c r="C4022">
        <v>515081</v>
      </c>
      <c r="D4022" t="s">
        <v>360</v>
      </c>
      <c r="E4022" t="s">
        <v>888</v>
      </c>
    </row>
    <row r="4023" spans="2:5">
      <c r="B4023" t="s">
        <v>6142</v>
      </c>
      <c r="C4023">
        <v>513605</v>
      </c>
      <c r="D4023" t="s">
        <v>6143</v>
      </c>
      <c r="E4023" t="s">
        <v>683</v>
      </c>
    </row>
    <row r="4024" spans="2:5">
      <c r="B4024" t="s">
        <v>6144</v>
      </c>
      <c r="C4024">
        <v>523222</v>
      </c>
      <c r="D4024" t="s">
        <v>360</v>
      </c>
      <c r="E4024" t="s">
        <v>499</v>
      </c>
    </row>
    <row r="4025" spans="2:5">
      <c r="B4025" t="s">
        <v>6145</v>
      </c>
      <c r="C4025">
        <v>536799</v>
      </c>
      <c r="D4025" t="s">
        <v>360</v>
      </c>
      <c r="E4025" t="s">
        <v>377</v>
      </c>
    </row>
    <row r="4026" spans="2:5">
      <c r="B4026" t="s">
        <v>6146</v>
      </c>
      <c r="C4026">
        <v>533569</v>
      </c>
      <c r="D4026" t="s">
        <v>6147</v>
      </c>
      <c r="E4026" t="s">
        <v>474</v>
      </c>
    </row>
    <row r="4027" spans="2:5">
      <c r="B4027" t="s">
        <v>6148</v>
      </c>
      <c r="C4027">
        <v>540914</v>
      </c>
      <c r="D4027" t="s">
        <v>360</v>
      </c>
      <c r="E4027" t="s">
        <v>382</v>
      </c>
    </row>
    <row r="4028" spans="2:5">
      <c r="B4028" t="s">
        <v>6149</v>
      </c>
      <c r="C4028">
        <v>524636</v>
      </c>
      <c r="D4028" t="s">
        <v>360</v>
      </c>
      <c r="E4028" t="s">
        <v>398</v>
      </c>
    </row>
    <row r="4029" spans="2:5">
      <c r="B4029" t="s">
        <v>6150</v>
      </c>
      <c r="C4029">
        <v>530821</v>
      </c>
      <c r="D4029" t="s">
        <v>360</v>
      </c>
      <c r="E4029" t="s">
        <v>446</v>
      </c>
    </row>
    <row r="4030" spans="2:5">
      <c r="B4030" t="s">
        <v>6151</v>
      </c>
      <c r="C4030">
        <v>539026</v>
      </c>
      <c r="D4030" t="s">
        <v>360</v>
      </c>
      <c r="E4030" t="s">
        <v>343</v>
      </c>
    </row>
    <row r="4031" spans="2:5">
      <c r="B4031" t="s">
        <v>6152</v>
      </c>
      <c r="C4031">
        <v>531723</v>
      </c>
      <c r="D4031" t="s">
        <v>6153</v>
      </c>
      <c r="E4031" t="s">
        <v>343</v>
      </c>
    </row>
    <row r="4032" spans="2:5">
      <c r="B4032" t="s">
        <v>6152</v>
      </c>
      <c r="C4032">
        <v>570005</v>
      </c>
      <c r="D4032" t="s">
        <v>6154</v>
      </c>
      <c r="E4032" t="s">
        <v>343</v>
      </c>
    </row>
    <row r="4033" spans="2:5">
      <c r="B4033" t="s">
        <v>6155</v>
      </c>
      <c r="C4033">
        <v>504180</v>
      </c>
      <c r="D4033" t="s">
        <v>360</v>
      </c>
      <c r="E4033" t="s">
        <v>377</v>
      </c>
    </row>
    <row r="4034" spans="2:5">
      <c r="B4034" t="s">
        <v>6156</v>
      </c>
      <c r="C4034">
        <v>511700</v>
      </c>
      <c r="D4034" t="s">
        <v>360</v>
      </c>
      <c r="E4034" t="s">
        <v>377</v>
      </c>
    </row>
    <row r="4035" spans="2:5">
      <c r="B4035" t="s">
        <v>6157</v>
      </c>
      <c r="C4035">
        <v>580001</v>
      </c>
      <c r="D4035" t="s">
        <v>360</v>
      </c>
      <c r="E4035" t="s">
        <v>678</v>
      </c>
    </row>
    <row r="4036" spans="2:5">
      <c r="B4036" t="s">
        <v>6158</v>
      </c>
      <c r="C4036">
        <v>530017</v>
      </c>
      <c r="D4036" t="s">
        <v>6159</v>
      </c>
      <c r="E4036" t="s">
        <v>408</v>
      </c>
    </row>
    <row r="4037" spans="2:5">
      <c r="B4037" t="s">
        <v>6160</v>
      </c>
      <c r="C4037">
        <v>523351</v>
      </c>
      <c r="D4037" t="s">
        <v>360</v>
      </c>
      <c r="E4037" t="s">
        <v>520</v>
      </c>
    </row>
    <row r="4038" spans="2:5">
      <c r="B4038" t="s">
        <v>6161</v>
      </c>
      <c r="C4038">
        <v>523351</v>
      </c>
      <c r="D4038" t="s">
        <v>360</v>
      </c>
      <c r="E4038" t="s">
        <v>520</v>
      </c>
    </row>
    <row r="4039" spans="2:5">
      <c r="B4039" t="s">
        <v>6162</v>
      </c>
      <c r="C4039">
        <v>526231</v>
      </c>
      <c r="D4039" t="s">
        <v>360</v>
      </c>
      <c r="E4039" t="s">
        <v>408</v>
      </c>
    </row>
    <row r="4040" spans="2:5">
      <c r="B4040" t="s">
        <v>6163</v>
      </c>
      <c r="C4040">
        <v>530931</v>
      </c>
      <c r="D4040" t="s">
        <v>360</v>
      </c>
      <c r="E4040" t="s">
        <v>555</v>
      </c>
    </row>
    <row r="4041" spans="2:5">
      <c r="B4041" t="s">
        <v>6164</v>
      </c>
      <c r="C4041">
        <v>530931</v>
      </c>
      <c r="D4041" t="s">
        <v>360</v>
      </c>
      <c r="E4041" t="s">
        <v>555</v>
      </c>
    </row>
    <row r="4042" spans="2:5">
      <c r="B4042" t="s">
        <v>6165</v>
      </c>
      <c r="C4042">
        <v>506105</v>
      </c>
      <c r="D4042" t="s">
        <v>360</v>
      </c>
      <c r="E4042" t="s">
        <v>380</v>
      </c>
    </row>
    <row r="4043" spans="2:5">
      <c r="B4043" t="s">
        <v>6166</v>
      </c>
      <c r="C4043">
        <v>540575</v>
      </c>
      <c r="D4043" t="s">
        <v>6167</v>
      </c>
      <c r="E4043" t="s">
        <v>373</v>
      </c>
    </row>
    <row r="4044" spans="2:5">
      <c r="B4044" t="s">
        <v>6168</v>
      </c>
      <c r="C4044">
        <v>539255</v>
      </c>
      <c r="D4044" t="s">
        <v>360</v>
      </c>
      <c r="E4044" t="s">
        <v>403</v>
      </c>
    </row>
    <row r="4045" spans="2:5">
      <c r="B4045" t="s">
        <v>6169</v>
      </c>
      <c r="C4045">
        <v>516022</v>
      </c>
      <c r="D4045" t="s">
        <v>6170</v>
      </c>
      <c r="E4045" t="s">
        <v>354</v>
      </c>
    </row>
    <row r="4046" spans="2:5">
      <c r="B4046" t="s">
        <v>6171</v>
      </c>
      <c r="C4046">
        <v>531616</v>
      </c>
      <c r="D4046" t="s">
        <v>360</v>
      </c>
      <c r="E4046" t="s">
        <v>346</v>
      </c>
    </row>
    <row r="4047" spans="2:5">
      <c r="B4047" t="s">
        <v>6172</v>
      </c>
      <c r="C4047">
        <v>538733</v>
      </c>
      <c r="D4047" t="s">
        <v>360</v>
      </c>
      <c r="E4047" t="s">
        <v>2607</v>
      </c>
    </row>
    <row r="4048" spans="2:5">
      <c r="B4048" t="s">
        <v>6173</v>
      </c>
      <c r="C4048">
        <v>517548</v>
      </c>
      <c r="D4048" t="s">
        <v>360</v>
      </c>
      <c r="E4048" t="s">
        <v>382</v>
      </c>
    </row>
    <row r="4049" spans="2:5">
      <c r="B4049" t="s">
        <v>6174</v>
      </c>
      <c r="C4049">
        <v>520155</v>
      </c>
      <c r="D4049" t="s">
        <v>360</v>
      </c>
      <c r="E4049" t="s">
        <v>496</v>
      </c>
    </row>
    <row r="4050" spans="2:5">
      <c r="B4050" t="s">
        <v>6175</v>
      </c>
      <c r="C4050">
        <v>500112</v>
      </c>
      <c r="D4050" t="s">
        <v>6176</v>
      </c>
      <c r="E4050" t="s">
        <v>678</v>
      </c>
    </row>
    <row r="4051" spans="2:5">
      <c r="B4051" t="s">
        <v>6177</v>
      </c>
      <c r="C4051">
        <v>500113</v>
      </c>
      <c r="D4051" t="s">
        <v>6178</v>
      </c>
      <c r="E4051" t="s">
        <v>392</v>
      </c>
    </row>
    <row r="4052" spans="2:5">
      <c r="B4052" t="s">
        <v>6179</v>
      </c>
      <c r="C4052">
        <v>500113</v>
      </c>
      <c r="D4052" t="s">
        <v>6178</v>
      </c>
      <c r="E4052" t="s">
        <v>392</v>
      </c>
    </row>
    <row r="4053" spans="2:5">
      <c r="B4053" t="s">
        <v>6180</v>
      </c>
      <c r="C4053" t="s">
        <v>360</v>
      </c>
      <c r="D4053" t="s">
        <v>6181</v>
      </c>
      <c r="E4053" t="s">
        <v>371</v>
      </c>
    </row>
    <row r="4054" spans="2:5">
      <c r="B4054" t="s">
        <v>6182</v>
      </c>
      <c r="C4054">
        <v>534748</v>
      </c>
      <c r="D4054" t="s">
        <v>6183</v>
      </c>
      <c r="E4054" t="s">
        <v>392</v>
      </c>
    </row>
    <row r="4055" spans="2:5">
      <c r="B4055" t="s">
        <v>6184</v>
      </c>
      <c r="C4055">
        <v>534748</v>
      </c>
      <c r="D4055" t="s">
        <v>6183</v>
      </c>
      <c r="E4055" t="s">
        <v>392</v>
      </c>
    </row>
    <row r="4056" spans="2:5">
      <c r="B4056" t="s">
        <v>6185</v>
      </c>
      <c r="C4056">
        <v>513173</v>
      </c>
      <c r="D4056" t="s">
        <v>360</v>
      </c>
      <c r="E4056" t="s">
        <v>446</v>
      </c>
    </row>
    <row r="4057" spans="2:5">
      <c r="B4057" t="s">
        <v>6186</v>
      </c>
      <c r="C4057">
        <v>504717</v>
      </c>
      <c r="D4057" t="s">
        <v>6187</v>
      </c>
      <c r="E4057" t="s">
        <v>4234</v>
      </c>
    </row>
    <row r="4058" spans="2:5">
      <c r="B4058" t="s">
        <v>6188</v>
      </c>
      <c r="C4058">
        <v>513262</v>
      </c>
      <c r="D4058" t="s">
        <v>6189</v>
      </c>
      <c r="E4058" t="s">
        <v>715</v>
      </c>
    </row>
    <row r="4059" spans="2:5">
      <c r="B4059" t="s">
        <v>6190</v>
      </c>
      <c r="C4059">
        <v>513517</v>
      </c>
      <c r="D4059" t="s">
        <v>360</v>
      </c>
      <c r="E4059" t="s">
        <v>1279</v>
      </c>
    </row>
    <row r="4060" spans="2:5">
      <c r="B4060" t="s">
        <v>6191</v>
      </c>
      <c r="C4060">
        <v>500399</v>
      </c>
      <c r="D4060" t="s">
        <v>360</v>
      </c>
      <c r="E4060" t="s">
        <v>392</v>
      </c>
    </row>
    <row r="4061" spans="2:5">
      <c r="B4061" t="s">
        <v>6192</v>
      </c>
      <c r="C4061">
        <v>533316</v>
      </c>
      <c r="D4061" t="s">
        <v>6193</v>
      </c>
      <c r="E4061" t="s">
        <v>526</v>
      </c>
    </row>
    <row r="4062" spans="2:5">
      <c r="B4062" t="s">
        <v>6194</v>
      </c>
      <c r="C4062">
        <v>526071</v>
      </c>
      <c r="D4062" t="s">
        <v>360</v>
      </c>
      <c r="E4062" t="s">
        <v>343</v>
      </c>
    </row>
    <row r="4063" spans="2:5">
      <c r="B4063" t="s">
        <v>6195</v>
      </c>
      <c r="C4063">
        <v>526071</v>
      </c>
      <c r="D4063" t="s">
        <v>360</v>
      </c>
      <c r="E4063" t="s">
        <v>343</v>
      </c>
    </row>
    <row r="4064" spans="2:5">
      <c r="B4064" t="s">
        <v>6196</v>
      </c>
      <c r="C4064">
        <v>536738</v>
      </c>
      <c r="D4064" t="s">
        <v>360</v>
      </c>
      <c r="E4064" t="s">
        <v>343</v>
      </c>
    </row>
    <row r="4065" spans="2:5">
      <c r="B4065" t="s">
        <v>6197</v>
      </c>
      <c r="C4065">
        <v>531509</v>
      </c>
      <c r="D4065" t="s">
        <v>360</v>
      </c>
      <c r="E4065" t="s">
        <v>343</v>
      </c>
    </row>
    <row r="4066" spans="2:5">
      <c r="B4066" t="s">
        <v>6198</v>
      </c>
      <c r="C4066">
        <v>526500</v>
      </c>
      <c r="D4066" t="s">
        <v>360</v>
      </c>
      <c r="E4066" t="s">
        <v>561</v>
      </c>
    </row>
    <row r="4067" spans="2:5">
      <c r="B4067" t="s">
        <v>6199</v>
      </c>
      <c r="C4067">
        <v>508963</v>
      </c>
      <c r="D4067" t="s">
        <v>6200</v>
      </c>
      <c r="E4067" t="s">
        <v>377</v>
      </c>
    </row>
    <row r="4068" spans="2:5">
      <c r="B4068" t="s">
        <v>6201</v>
      </c>
      <c r="C4068">
        <v>531628</v>
      </c>
      <c r="D4068" t="s">
        <v>360</v>
      </c>
      <c r="E4068" t="s">
        <v>375</v>
      </c>
    </row>
    <row r="4069" spans="2:5">
      <c r="B4069" t="s">
        <v>6202</v>
      </c>
      <c r="C4069">
        <v>530759</v>
      </c>
      <c r="D4069" t="s">
        <v>6203</v>
      </c>
      <c r="E4069" t="s">
        <v>715</v>
      </c>
    </row>
    <row r="4070" spans="2:5">
      <c r="B4070" t="s">
        <v>6204</v>
      </c>
      <c r="C4070">
        <v>532374</v>
      </c>
      <c r="D4070" t="s">
        <v>6205</v>
      </c>
      <c r="E4070" t="s">
        <v>1306</v>
      </c>
    </row>
    <row r="4071" spans="2:5">
      <c r="B4071" t="s">
        <v>6206</v>
      </c>
      <c r="C4071">
        <v>513151</v>
      </c>
      <c r="D4071" t="s">
        <v>6207</v>
      </c>
      <c r="E4071" t="s">
        <v>375</v>
      </c>
    </row>
    <row r="4072" spans="2:5">
      <c r="B4072" t="s">
        <v>6208</v>
      </c>
      <c r="C4072">
        <v>513151</v>
      </c>
      <c r="D4072" t="s">
        <v>6209</v>
      </c>
      <c r="E4072" t="s">
        <v>375</v>
      </c>
    </row>
    <row r="4073" spans="2:5">
      <c r="B4073" t="s">
        <v>6210</v>
      </c>
      <c r="C4073">
        <v>532730</v>
      </c>
      <c r="D4073" t="s">
        <v>6211</v>
      </c>
      <c r="E4073" t="s">
        <v>375</v>
      </c>
    </row>
    <row r="4074" spans="2:5">
      <c r="B4074" t="s">
        <v>6212</v>
      </c>
      <c r="C4074">
        <v>504959</v>
      </c>
      <c r="D4074" t="s">
        <v>360</v>
      </c>
      <c r="E4074" t="s">
        <v>368</v>
      </c>
    </row>
    <row r="4075" spans="2:5">
      <c r="B4075" t="s">
        <v>6213</v>
      </c>
      <c r="C4075">
        <v>530495</v>
      </c>
      <c r="D4075" t="s">
        <v>360</v>
      </c>
      <c r="E4075" t="s">
        <v>382</v>
      </c>
    </row>
    <row r="4076" spans="2:5">
      <c r="B4076" t="s">
        <v>6214</v>
      </c>
      <c r="C4076">
        <v>532531</v>
      </c>
      <c r="D4076" t="s">
        <v>6215</v>
      </c>
      <c r="E4076" t="s">
        <v>398</v>
      </c>
    </row>
    <row r="4077" spans="2:5">
      <c r="B4077" t="s">
        <v>6216</v>
      </c>
      <c r="C4077">
        <v>530611</v>
      </c>
      <c r="D4077" t="s">
        <v>360</v>
      </c>
      <c r="E4077" t="s">
        <v>480</v>
      </c>
    </row>
    <row r="4078" spans="2:5">
      <c r="B4078" t="s">
        <v>6217</v>
      </c>
      <c r="C4078">
        <v>526951</v>
      </c>
      <c r="D4078" t="s">
        <v>360</v>
      </c>
      <c r="E4078" t="s">
        <v>855</v>
      </c>
    </row>
    <row r="4079" spans="2:5">
      <c r="B4079" t="s">
        <v>6218</v>
      </c>
      <c r="C4079" t="s">
        <v>360</v>
      </c>
      <c r="D4079" t="s">
        <v>6219</v>
      </c>
      <c r="E4079" t="s">
        <v>855</v>
      </c>
    </row>
    <row r="4080" spans="2:5">
      <c r="B4080" t="s">
        <v>6220</v>
      </c>
      <c r="C4080">
        <v>532348</v>
      </c>
      <c r="D4080" t="s">
        <v>360</v>
      </c>
      <c r="E4080" t="s">
        <v>453</v>
      </c>
    </row>
    <row r="4081" spans="2:5">
      <c r="B4081" t="s">
        <v>6221</v>
      </c>
      <c r="C4081">
        <v>530231</v>
      </c>
      <c r="D4081" t="s">
        <v>360</v>
      </c>
      <c r="E4081" t="s">
        <v>375</v>
      </c>
    </row>
    <row r="4082" spans="2:5">
      <c r="B4082" t="s">
        <v>6222</v>
      </c>
      <c r="C4082">
        <v>517168</v>
      </c>
      <c r="D4082" t="s">
        <v>6223</v>
      </c>
      <c r="E4082" t="s">
        <v>715</v>
      </c>
    </row>
    <row r="4083" spans="2:5">
      <c r="B4083" t="s">
        <v>6224</v>
      </c>
      <c r="C4083">
        <v>511024</v>
      </c>
      <c r="D4083" t="s">
        <v>360</v>
      </c>
      <c r="E4083" t="s">
        <v>781</v>
      </c>
    </row>
    <row r="4084" spans="2:5">
      <c r="B4084" t="s">
        <v>6225</v>
      </c>
      <c r="C4084">
        <v>538714</v>
      </c>
      <c r="D4084" t="s">
        <v>360</v>
      </c>
      <c r="E4084" t="s">
        <v>377</v>
      </c>
    </row>
    <row r="4085" spans="2:5">
      <c r="B4085" t="s">
        <v>6226</v>
      </c>
      <c r="C4085">
        <v>506003</v>
      </c>
      <c r="D4085" t="s">
        <v>360</v>
      </c>
      <c r="E4085" t="s">
        <v>665</v>
      </c>
    </row>
    <row r="4086" spans="2:5">
      <c r="B4086" t="s">
        <v>6227</v>
      </c>
      <c r="C4086">
        <v>506655</v>
      </c>
      <c r="D4086" t="s">
        <v>6228</v>
      </c>
      <c r="E4086" t="s">
        <v>520</v>
      </c>
    </row>
    <row r="4087" spans="2:5">
      <c r="B4087" t="s">
        <v>6229</v>
      </c>
      <c r="C4087">
        <v>521113</v>
      </c>
      <c r="D4087" t="s">
        <v>360</v>
      </c>
      <c r="E4087" t="s">
        <v>375</v>
      </c>
    </row>
    <row r="4088" spans="2:5">
      <c r="B4088" t="s">
        <v>6230</v>
      </c>
      <c r="C4088">
        <v>540318</v>
      </c>
      <c r="D4088" t="s">
        <v>360</v>
      </c>
      <c r="E4088" t="s">
        <v>375</v>
      </c>
    </row>
    <row r="4089" spans="2:5">
      <c r="B4089" t="s">
        <v>6231</v>
      </c>
      <c r="C4089">
        <v>511654</v>
      </c>
      <c r="D4089" t="s">
        <v>360</v>
      </c>
      <c r="E4089" t="s">
        <v>377</v>
      </c>
    </row>
    <row r="4090" spans="2:5">
      <c r="B4090" t="s">
        <v>6232</v>
      </c>
      <c r="C4090">
        <v>542683</v>
      </c>
      <c r="D4090" t="s">
        <v>6233</v>
      </c>
      <c r="E4090" t="s">
        <v>506</v>
      </c>
    </row>
    <row r="4091" spans="2:5">
      <c r="B4091" t="s">
        <v>6234</v>
      </c>
      <c r="C4091">
        <v>539117</v>
      </c>
      <c r="D4091" t="s">
        <v>360</v>
      </c>
      <c r="E4091" t="s">
        <v>377</v>
      </c>
    </row>
    <row r="4092" spans="2:5">
      <c r="B4092" t="s">
        <v>6235</v>
      </c>
      <c r="C4092">
        <v>517224</v>
      </c>
      <c r="D4092" t="s">
        <v>6236</v>
      </c>
      <c r="E4092" t="s">
        <v>1279</v>
      </c>
    </row>
    <row r="4093" spans="2:5">
      <c r="B4093" t="s">
        <v>6237</v>
      </c>
      <c r="C4093">
        <v>524542</v>
      </c>
      <c r="D4093" t="s">
        <v>360</v>
      </c>
      <c r="E4093" t="s">
        <v>558</v>
      </c>
    </row>
    <row r="4094" spans="2:5">
      <c r="B4094" t="s">
        <v>6238</v>
      </c>
      <c r="C4094">
        <v>508969</v>
      </c>
      <c r="D4094" t="s">
        <v>360</v>
      </c>
      <c r="E4094" t="s">
        <v>377</v>
      </c>
    </row>
    <row r="4095" spans="2:5">
      <c r="B4095" t="s">
        <v>6239</v>
      </c>
      <c r="C4095">
        <v>530419</v>
      </c>
      <c r="D4095" t="s">
        <v>360</v>
      </c>
      <c r="E4095" t="s">
        <v>343</v>
      </c>
    </row>
    <row r="4096" spans="2:5">
      <c r="B4096" t="s">
        <v>6240</v>
      </c>
      <c r="C4096">
        <v>514211</v>
      </c>
      <c r="D4096" t="s">
        <v>6241</v>
      </c>
      <c r="E4096" t="s">
        <v>375</v>
      </c>
    </row>
    <row r="4097" spans="2:5">
      <c r="B4097" t="s">
        <v>6242</v>
      </c>
      <c r="C4097">
        <v>530445</v>
      </c>
      <c r="D4097" t="s">
        <v>360</v>
      </c>
      <c r="E4097" t="s">
        <v>382</v>
      </c>
    </row>
    <row r="4098" spans="2:5">
      <c r="B4098" t="s">
        <v>6243</v>
      </c>
      <c r="C4098" t="s">
        <v>360</v>
      </c>
      <c r="D4098" t="s">
        <v>6244</v>
      </c>
      <c r="E4098" t="s">
        <v>371</v>
      </c>
    </row>
    <row r="4099" spans="2:5">
      <c r="B4099" t="s">
        <v>6245</v>
      </c>
      <c r="C4099">
        <v>533306</v>
      </c>
      <c r="D4099" t="s">
        <v>6246</v>
      </c>
      <c r="E4099" t="s">
        <v>380</v>
      </c>
    </row>
    <row r="4100" spans="2:5">
      <c r="B4100" t="s">
        <v>6247</v>
      </c>
      <c r="C4100">
        <v>532154</v>
      </c>
      <c r="D4100" t="s">
        <v>360</v>
      </c>
      <c r="E4100" t="s">
        <v>781</v>
      </c>
    </row>
    <row r="4101" spans="2:5">
      <c r="B4101" t="s">
        <v>6248</v>
      </c>
      <c r="C4101">
        <v>532872</v>
      </c>
      <c r="D4101" t="s">
        <v>6249</v>
      </c>
      <c r="E4101" t="s">
        <v>398</v>
      </c>
    </row>
    <row r="4102" spans="2:5">
      <c r="B4102" t="s">
        <v>6250</v>
      </c>
      <c r="C4102">
        <v>524715</v>
      </c>
      <c r="D4102" t="s">
        <v>6251</v>
      </c>
      <c r="E4102" t="s">
        <v>398</v>
      </c>
    </row>
    <row r="4103" spans="2:5">
      <c r="B4103" t="s">
        <v>6252</v>
      </c>
      <c r="C4103">
        <v>542025</v>
      </c>
      <c r="D4103" t="s">
        <v>360</v>
      </c>
      <c r="E4103" t="s">
        <v>382</v>
      </c>
    </row>
    <row r="4104" spans="2:5">
      <c r="B4104" t="s">
        <v>6253</v>
      </c>
      <c r="C4104">
        <v>517403</v>
      </c>
      <c r="D4104" t="s">
        <v>360</v>
      </c>
      <c r="E4104" t="s">
        <v>499</v>
      </c>
    </row>
    <row r="4105" spans="2:5">
      <c r="B4105" t="s">
        <v>6254</v>
      </c>
      <c r="C4105">
        <v>517403</v>
      </c>
      <c r="D4105" t="s">
        <v>360</v>
      </c>
      <c r="E4105" t="s">
        <v>499</v>
      </c>
    </row>
    <row r="4106" spans="2:5">
      <c r="B4106" t="s">
        <v>6255</v>
      </c>
      <c r="C4106">
        <v>531752</v>
      </c>
      <c r="D4106" t="s">
        <v>360</v>
      </c>
      <c r="E4106" t="s">
        <v>382</v>
      </c>
    </row>
    <row r="4107" spans="2:5">
      <c r="B4107" t="s">
        <v>6256</v>
      </c>
      <c r="C4107">
        <v>532733</v>
      </c>
      <c r="D4107" t="s">
        <v>6257</v>
      </c>
      <c r="E4107" t="s">
        <v>1098</v>
      </c>
    </row>
    <row r="4108" spans="2:5">
      <c r="B4108" t="s">
        <v>6258</v>
      </c>
      <c r="C4108">
        <v>539526</v>
      </c>
      <c r="D4108" t="s">
        <v>360</v>
      </c>
      <c r="E4108" t="s">
        <v>394</v>
      </c>
    </row>
    <row r="4109" spans="2:5">
      <c r="B4109" t="s">
        <v>6259</v>
      </c>
      <c r="C4109">
        <v>530795</v>
      </c>
      <c r="D4109" t="s">
        <v>360</v>
      </c>
      <c r="E4109" t="s">
        <v>375</v>
      </c>
    </row>
    <row r="4110" spans="2:5">
      <c r="B4110" t="s">
        <v>6260</v>
      </c>
      <c r="C4110">
        <v>590072</v>
      </c>
      <c r="D4110" t="s">
        <v>6261</v>
      </c>
      <c r="E4110" t="s">
        <v>715</v>
      </c>
    </row>
    <row r="4111" spans="2:5">
      <c r="B4111" t="s">
        <v>6262</v>
      </c>
      <c r="C4111">
        <v>520056</v>
      </c>
      <c r="D4111" t="s">
        <v>6263</v>
      </c>
      <c r="E4111" t="s">
        <v>715</v>
      </c>
    </row>
    <row r="4112" spans="2:5">
      <c r="B4112" t="s">
        <v>6264</v>
      </c>
      <c r="C4112" t="s">
        <v>360</v>
      </c>
      <c r="D4112" t="s">
        <v>6265</v>
      </c>
      <c r="E4112" t="s">
        <v>451</v>
      </c>
    </row>
    <row r="4113" spans="2:5">
      <c r="B4113" t="s">
        <v>6266</v>
      </c>
      <c r="C4113">
        <v>590071</v>
      </c>
      <c r="D4113" t="s">
        <v>6267</v>
      </c>
      <c r="E4113" t="s">
        <v>377</v>
      </c>
    </row>
    <row r="4114" spans="2:5">
      <c r="B4114" t="s">
        <v>6268</v>
      </c>
      <c r="C4114">
        <v>533166</v>
      </c>
      <c r="D4114" t="s">
        <v>6269</v>
      </c>
      <c r="E4114" t="s">
        <v>2352</v>
      </c>
    </row>
    <row r="4115" spans="2:5">
      <c r="B4115" t="s">
        <v>6270</v>
      </c>
      <c r="C4115">
        <v>500403</v>
      </c>
      <c r="D4115" t="s">
        <v>6271</v>
      </c>
      <c r="E4115" t="s">
        <v>715</v>
      </c>
    </row>
    <row r="4116" spans="2:5">
      <c r="B4116" t="s">
        <v>6272</v>
      </c>
      <c r="C4116">
        <v>500404</v>
      </c>
      <c r="D4116" t="s">
        <v>6273</v>
      </c>
      <c r="E4116" t="s">
        <v>392</v>
      </c>
    </row>
    <row r="4117" spans="2:5">
      <c r="B4117" t="s">
        <v>6274</v>
      </c>
      <c r="C4117">
        <v>531433</v>
      </c>
      <c r="D4117" t="s">
        <v>360</v>
      </c>
      <c r="E4117" t="s">
        <v>377</v>
      </c>
    </row>
    <row r="4118" spans="2:5">
      <c r="B4118" t="s">
        <v>6275</v>
      </c>
      <c r="C4118">
        <v>541799</v>
      </c>
      <c r="D4118" t="s">
        <v>360</v>
      </c>
      <c r="E4118" t="s">
        <v>1962</v>
      </c>
    </row>
    <row r="4119" spans="2:5">
      <c r="B4119" t="s">
        <v>6276</v>
      </c>
      <c r="C4119">
        <v>530953</v>
      </c>
      <c r="D4119" t="s">
        <v>360</v>
      </c>
      <c r="E4119" t="s">
        <v>420</v>
      </c>
    </row>
    <row r="4120" spans="2:5">
      <c r="B4120" t="s">
        <v>6277</v>
      </c>
      <c r="C4120">
        <v>537253</v>
      </c>
      <c r="D4120" t="s">
        <v>360</v>
      </c>
      <c r="E4120" t="s">
        <v>398</v>
      </c>
    </row>
    <row r="4121" spans="2:5">
      <c r="B4121" t="s">
        <v>6278</v>
      </c>
      <c r="C4121">
        <v>532711</v>
      </c>
      <c r="D4121" t="s">
        <v>6279</v>
      </c>
      <c r="E4121" t="s">
        <v>758</v>
      </c>
    </row>
    <row r="4122" spans="2:5">
      <c r="B4122" t="s">
        <v>6280</v>
      </c>
      <c r="C4122">
        <v>521232</v>
      </c>
      <c r="D4122" t="s">
        <v>360</v>
      </c>
      <c r="E4122" t="s">
        <v>382</v>
      </c>
    </row>
    <row r="4123" spans="2:5">
      <c r="B4123" t="s">
        <v>6281</v>
      </c>
      <c r="C4123">
        <v>523425</v>
      </c>
      <c r="D4123" t="s">
        <v>6282</v>
      </c>
      <c r="E4123" t="s">
        <v>916</v>
      </c>
    </row>
    <row r="4124" spans="2:5">
      <c r="B4124" t="s">
        <v>6283</v>
      </c>
      <c r="C4124">
        <v>501110</v>
      </c>
      <c r="D4124" t="s">
        <v>360</v>
      </c>
      <c r="E4124" t="s">
        <v>343</v>
      </c>
    </row>
    <row r="4125" spans="2:5">
      <c r="B4125" t="s">
        <v>6284</v>
      </c>
      <c r="C4125">
        <v>530845</v>
      </c>
      <c r="D4125" t="s">
        <v>360</v>
      </c>
      <c r="E4125" t="s">
        <v>408</v>
      </c>
    </row>
    <row r="4126" spans="2:5">
      <c r="B4126" t="s">
        <v>6285</v>
      </c>
      <c r="C4126">
        <v>539574</v>
      </c>
      <c r="D4126" t="s">
        <v>360</v>
      </c>
      <c r="E4126" t="s">
        <v>377</v>
      </c>
    </row>
    <row r="4127" spans="2:5">
      <c r="B4127" t="s">
        <v>6286</v>
      </c>
      <c r="C4127">
        <v>535141</v>
      </c>
      <c r="D4127" t="s">
        <v>360</v>
      </c>
      <c r="E4127" t="s">
        <v>446</v>
      </c>
    </row>
    <row r="4128" spans="2:5">
      <c r="B4128" t="s">
        <v>6287</v>
      </c>
      <c r="C4128">
        <v>512179</v>
      </c>
      <c r="D4128" t="s">
        <v>6288</v>
      </c>
      <c r="E4128" t="s">
        <v>446</v>
      </c>
    </row>
    <row r="4129" spans="2:5">
      <c r="B4129" t="s">
        <v>6289</v>
      </c>
      <c r="C4129">
        <v>530735</v>
      </c>
      <c r="D4129" t="s">
        <v>360</v>
      </c>
      <c r="E4129" t="s">
        <v>420</v>
      </c>
    </row>
    <row r="4130" spans="2:5">
      <c r="B4130" t="s">
        <v>6290</v>
      </c>
      <c r="C4130">
        <v>530735</v>
      </c>
      <c r="D4130" t="s">
        <v>360</v>
      </c>
      <c r="E4130" t="s">
        <v>420</v>
      </c>
    </row>
    <row r="4131" spans="2:5">
      <c r="B4131" t="s">
        <v>6291</v>
      </c>
      <c r="C4131">
        <v>530883</v>
      </c>
      <c r="D4131" t="s">
        <v>360</v>
      </c>
      <c r="E4131" t="s">
        <v>504</v>
      </c>
    </row>
    <row r="4132" spans="2:5">
      <c r="B4132" t="s">
        <v>6292</v>
      </c>
      <c r="C4132">
        <v>531699</v>
      </c>
      <c r="D4132" t="s">
        <v>360</v>
      </c>
      <c r="E4132" t="s">
        <v>1124</v>
      </c>
    </row>
    <row r="4133" spans="2:5">
      <c r="B4133" t="s">
        <v>6293</v>
      </c>
      <c r="C4133">
        <v>540269</v>
      </c>
      <c r="D4133" t="s">
        <v>360</v>
      </c>
      <c r="E4133" t="s">
        <v>474</v>
      </c>
    </row>
    <row r="4134" spans="2:5">
      <c r="B4134" t="s">
        <v>6294</v>
      </c>
      <c r="C4134">
        <v>512527</v>
      </c>
      <c r="D4134" t="s">
        <v>360</v>
      </c>
      <c r="E4134" t="s">
        <v>375</v>
      </c>
    </row>
    <row r="4135" spans="2:5">
      <c r="B4135" t="s">
        <v>6295</v>
      </c>
      <c r="C4135">
        <v>512527</v>
      </c>
      <c r="D4135" t="s">
        <v>360</v>
      </c>
      <c r="E4135" t="s">
        <v>375</v>
      </c>
    </row>
    <row r="4136" spans="2:5">
      <c r="B4136" t="s">
        <v>6296</v>
      </c>
      <c r="C4136">
        <v>521180</v>
      </c>
      <c r="D4136" t="s">
        <v>6297</v>
      </c>
      <c r="E4136" t="s">
        <v>375</v>
      </c>
    </row>
    <row r="4137" spans="2:5">
      <c r="B4137" t="s">
        <v>6298</v>
      </c>
      <c r="C4137">
        <v>523842</v>
      </c>
      <c r="D4137" t="s">
        <v>360</v>
      </c>
      <c r="E4137" t="s">
        <v>474</v>
      </c>
    </row>
    <row r="4138" spans="2:5">
      <c r="B4138" t="s">
        <v>6299</v>
      </c>
      <c r="C4138">
        <v>532070</v>
      </c>
      <c r="D4138" t="s">
        <v>360</v>
      </c>
      <c r="E4138" t="s">
        <v>354</v>
      </c>
    </row>
    <row r="4139" spans="2:5">
      <c r="B4139" t="s">
        <v>6300</v>
      </c>
      <c r="C4139">
        <v>523283</v>
      </c>
      <c r="D4139" t="s">
        <v>6301</v>
      </c>
      <c r="E4139" t="s">
        <v>786</v>
      </c>
    </row>
    <row r="4140" spans="2:5">
      <c r="B4140" t="s">
        <v>6302</v>
      </c>
      <c r="C4140">
        <v>539835</v>
      </c>
      <c r="D4140" t="s">
        <v>360</v>
      </c>
      <c r="E4140" t="s">
        <v>377</v>
      </c>
    </row>
    <row r="4141" spans="2:5">
      <c r="B4141" t="s">
        <v>6303</v>
      </c>
      <c r="C4141">
        <v>519234</v>
      </c>
      <c r="D4141" t="s">
        <v>6304</v>
      </c>
      <c r="E4141" t="s">
        <v>609</v>
      </c>
    </row>
    <row r="4142" spans="2:5">
      <c r="B4142" t="s">
        <v>6305</v>
      </c>
      <c r="C4142">
        <v>780008</v>
      </c>
      <c r="D4142" t="s">
        <v>360</v>
      </c>
      <c r="E4142" t="s">
        <v>451</v>
      </c>
    </row>
    <row r="4143" spans="2:5">
      <c r="B4143" t="s">
        <v>6306</v>
      </c>
      <c r="C4143">
        <v>541701</v>
      </c>
      <c r="D4143" t="s">
        <v>360</v>
      </c>
      <c r="E4143" t="s">
        <v>683</v>
      </c>
    </row>
    <row r="4144" spans="2:5">
      <c r="B4144" t="s">
        <v>6307</v>
      </c>
      <c r="C4144">
        <v>526133</v>
      </c>
      <c r="D4144" t="s">
        <v>360</v>
      </c>
      <c r="E4144" t="s">
        <v>375</v>
      </c>
    </row>
    <row r="4145" spans="2:5">
      <c r="B4145" t="s">
        <v>6308</v>
      </c>
      <c r="C4145">
        <v>540168</v>
      </c>
      <c r="D4145" t="s">
        <v>360</v>
      </c>
      <c r="E4145" t="s">
        <v>377</v>
      </c>
    </row>
    <row r="4146" spans="2:5">
      <c r="B4146" t="s">
        <v>6309</v>
      </c>
      <c r="C4146">
        <v>511539</v>
      </c>
      <c r="D4146" t="s">
        <v>360</v>
      </c>
      <c r="E4146" t="s">
        <v>343</v>
      </c>
    </row>
    <row r="4147" spans="2:5">
      <c r="B4147" t="s">
        <v>6310</v>
      </c>
      <c r="C4147">
        <v>532509</v>
      </c>
      <c r="D4147" t="s">
        <v>6311</v>
      </c>
      <c r="E4147" t="s">
        <v>715</v>
      </c>
    </row>
    <row r="4148" spans="2:5">
      <c r="B4148" t="s">
        <v>6312</v>
      </c>
      <c r="C4148" t="s">
        <v>360</v>
      </c>
      <c r="D4148" t="s">
        <v>6313</v>
      </c>
      <c r="E4148" t="s">
        <v>371</v>
      </c>
    </row>
    <row r="4149" spans="2:5">
      <c r="B4149" t="s">
        <v>6314</v>
      </c>
      <c r="C4149">
        <v>530677</v>
      </c>
      <c r="D4149" t="s">
        <v>360</v>
      </c>
      <c r="E4149" t="s">
        <v>446</v>
      </c>
    </row>
    <row r="4150" spans="2:5">
      <c r="B4150" t="s">
        <v>6315</v>
      </c>
      <c r="C4150">
        <v>530677</v>
      </c>
      <c r="D4150" t="s">
        <v>360</v>
      </c>
      <c r="E4150" t="s">
        <v>446</v>
      </c>
    </row>
    <row r="4151" spans="2:5">
      <c r="B4151" t="s">
        <v>6316</v>
      </c>
      <c r="C4151" t="s">
        <v>360</v>
      </c>
      <c r="D4151" t="s">
        <v>6317</v>
      </c>
      <c r="E4151" t="s">
        <v>371</v>
      </c>
    </row>
    <row r="4152" spans="2:5">
      <c r="B4152" t="s">
        <v>6318</v>
      </c>
      <c r="C4152">
        <v>509930</v>
      </c>
      <c r="D4152" t="s">
        <v>6319</v>
      </c>
      <c r="E4152" t="s">
        <v>480</v>
      </c>
    </row>
    <row r="4153" spans="2:5">
      <c r="B4153" t="s">
        <v>6320</v>
      </c>
      <c r="C4153">
        <v>532904</v>
      </c>
      <c r="D4153" t="s">
        <v>6321</v>
      </c>
      <c r="E4153" t="s">
        <v>758</v>
      </c>
    </row>
    <row r="4154" spans="2:5">
      <c r="B4154" t="s">
        <v>6322</v>
      </c>
      <c r="C4154">
        <v>532904</v>
      </c>
      <c r="D4154" t="s">
        <v>6321</v>
      </c>
      <c r="E4154" t="s">
        <v>758</v>
      </c>
    </row>
    <row r="4155" spans="2:5">
      <c r="B4155" t="s">
        <v>6323</v>
      </c>
      <c r="C4155">
        <v>500405</v>
      </c>
      <c r="D4155" t="s">
        <v>6324</v>
      </c>
      <c r="E4155" t="s">
        <v>574</v>
      </c>
    </row>
    <row r="4156" spans="2:5">
      <c r="B4156" t="s">
        <v>6325</v>
      </c>
      <c r="C4156">
        <v>534733</v>
      </c>
      <c r="D4156" t="s">
        <v>360</v>
      </c>
      <c r="E4156" t="s">
        <v>392</v>
      </c>
    </row>
    <row r="4157" spans="2:5">
      <c r="B4157" t="s">
        <v>6326</v>
      </c>
      <c r="C4157">
        <v>531638</v>
      </c>
      <c r="D4157" t="s">
        <v>360</v>
      </c>
      <c r="E4157" t="s">
        <v>683</v>
      </c>
    </row>
    <row r="4158" spans="2:5">
      <c r="B4158" t="s">
        <v>6327</v>
      </c>
      <c r="C4158">
        <v>518075</v>
      </c>
      <c r="D4158" t="s">
        <v>360</v>
      </c>
      <c r="E4158" t="s">
        <v>392</v>
      </c>
    </row>
    <row r="4159" spans="2:5">
      <c r="B4159" t="s">
        <v>6328</v>
      </c>
      <c r="C4159">
        <v>533298</v>
      </c>
      <c r="D4159" t="s">
        <v>6329</v>
      </c>
      <c r="E4159" t="s">
        <v>902</v>
      </c>
    </row>
    <row r="4160" spans="2:5">
      <c r="B4160" t="s">
        <v>6330</v>
      </c>
      <c r="C4160">
        <v>517530</v>
      </c>
      <c r="D4160" t="s">
        <v>6331</v>
      </c>
      <c r="E4160" t="s">
        <v>630</v>
      </c>
    </row>
    <row r="4161" spans="2:5">
      <c r="B4161" t="s">
        <v>6332</v>
      </c>
      <c r="C4161">
        <v>530185</v>
      </c>
      <c r="D4161" t="s">
        <v>360</v>
      </c>
      <c r="E4161" t="s">
        <v>375</v>
      </c>
    </row>
    <row r="4162" spans="2:5">
      <c r="B4162" t="s">
        <v>6333</v>
      </c>
      <c r="C4162" t="s">
        <v>360</v>
      </c>
      <c r="D4162" t="s">
        <v>6334</v>
      </c>
      <c r="E4162" t="s">
        <v>371</v>
      </c>
    </row>
    <row r="4163" spans="2:5">
      <c r="B4163" t="s">
        <v>6335</v>
      </c>
      <c r="C4163">
        <v>539253</v>
      </c>
      <c r="D4163" t="s">
        <v>360</v>
      </c>
      <c r="E4163" t="s">
        <v>377</v>
      </c>
    </row>
    <row r="4164" spans="2:5">
      <c r="B4164" t="s">
        <v>6336</v>
      </c>
      <c r="C4164">
        <v>539253</v>
      </c>
      <c r="D4164" t="s">
        <v>360</v>
      </c>
      <c r="E4164" t="s">
        <v>377</v>
      </c>
    </row>
    <row r="4165" spans="2:5">
      <c r="B4165" t="s">
        <v>6337</v>
      </c>
      <c r="C4165">
        <v>500336</v>
      </c>
      <c r="D4165" t="s">
        <v>6338</v>
      </c>
      <c r="E4165" t="s">
        <v>349</v>
      </c>
    </row>
    <row r="4166" spans="2:5">
      <c r="B4166" t="s">
        <v>6339</v>
      </c>
      <c r="C4166">
        <v>533101</v>
      </c>
      <c r="D4166" t="s">
        <v>360</v>
      </c>
      <c r="E4166" t="s">
        <v>375</v>
      </c>
    </row>
    <row r="4167" spans="2:5">
      <c r="B4167" t="s">
        <v>6340</v>
      </c>
      <c r="C4167">
        <v>532874</v>
      </c>
      <c r="D4167" t="s">
        <v>360</v>
      </c>
      <c r="E4167" t="s">
        <v>499</v>
      </c>
    </row>
    <row r="4168" spans="2:5">
      <c r="B4168" t="s">
        <v>6341</v>
      </c>
      <c r="C4168">
        <v>511185</v>
      </c>
      <c r="D4168" t="s">
        <v>360</v>
      </c>
      <c r="E4168" t="s">
        <v>681</v>
      </c>
    </row>
    <row r="4169" spans="2:5">
      <c r="B4169" t="s">
        <v>6342</v>
      </c>
      <c r="C4169">
        <v>521200</v>
      </c>
      <c r="D4169" t="s">
        <v>6343</v>
      </c>
      <c r="E4169" t="s">
        <v>375</v>
      </c>
    </row>
    <row r="4170" spans="2:5">
      <c r="B4170" t="s">
        <v>6344</v>
      </c>
      <c r="C4170">
        <v>514138</v>
      </c>
      <c r="D4170" t="s">
        <v>360</v>
      </c>
      <c r="E4170" t="s">
        <v>375</v>
      </c>
    </row>
    <row r="4171" spans="2:5">
      <c r="B4171" t="s">
        <v>6345</v>
      </c>
      <c r="C4171">
        <v>514140</v>
      </c>
      <c r="D4171" t="s">
        <v>360</v>
      </c>
      <c r="E4171" t="s">
        <v>375</v>
      </c>
    </row>
    <row r="4172" spans="2:5">
      <c r="B4172" t="s">
        <v>6346</v>
      </c>
      <c r="C4172">
        <v>519604</v>
      </c>
      <c r="D4172" t="s">
        <v>6347</v>
      </c>
      <c r="E4172" t="s">
        <v>420</v>
      </c>
    </row>
    <row r="4173" spans="2:5">
      <c r="B4173" t="s">
        <v>6348</v>
      </c>
      <c r="C4173">
        <v>532782</v>
      </c>
      <c r="D4173" t="s">
        <v>6349</v>
      </c>
      <c r="E4173" t="s">
        <v>375</v>
      </c>
    </row>
    <row r="4174" spans="2:5">
      <c r="B4174" t="s">
        <v>6350</v>
      </c>
      <c r="C4174" t="s">
        <v>360</v>
      </c>
      <c r="D4174" t="s">
        <v>6351</v>
      </c>
      <c r="E4174" t="s">
        <v>371</v>
      </c>
    </row>
    <row r="4175" spans="2:5">
      <c r="B4175" t="s">
        <v>6352</v>
      </c>
      <c r="C4175">
        <v>530239</v>
      </c>
      <c r="D4175" t="s">
        <v>6353</v>
      </c>
      <c r="E4175" t="s">
        <v>398</v>
      </c>
    </row>
    <row r="4176" spans="2:5">
      <c r="B4176" t="s">
        <v>6354</v>
      </c>
      <c r="C4176">
        <v>531640</v>
      </c>
      <c r="D4176" t="s">
        <v>360</v>
      </c>
      <c r="E4176" t="s">
        <v>446</v>
      </c>
    </row>
    <row r="4177" spans="2:5">
      <c r="B4177" t="s">
        <v>6355</v>
      </c>
      <c r="C4177">
        <v>537259</v>
      </c>
      <c r="D4177" t="s">
        <v>360</v>
      </c>
      <c r="E4177" t="s">
        <v>1306</v>
      </c>
    </row>
    <row r="4178" spans="2:5">
      <c r="B4178" t="s">
        <v>6356</v>
      </c>
      <c r="C4178">
        <v>532667</v>
      </c>
      <c r="D4178" t="s">
        <v>6357</v>
      </c>
      <c r="E4178" t="s">
        <v>403</v>
      </c>
    </row>
    <row r="4179" spans="2:5">
      <c r="B4179" t="s">
        <v>6358</v>
      </c>
      <c r="C4179">
        <v>531885</v>
      </c>
      <c r="D4179" t="s">
        <v>360</v>
      </c>
      <c r="E4179" t="s">
        <v>382</v>
      </c>
    </row>
    <row r="4180" spans="2:5">
      <c r="B4180" t="s">
        <v>6359</v>
      </c>
      <c r="C4180">
        <v>531885</v>
      </c>
      <c r="D4180" t="s">
        <v>360</v>
      </c>
      <c r="E4180" t="s">
        <v>382</v>
      </c>
    </row>
    <row r="4181" spans="2:5">
      <c r="B4181" t="s">
        <v>6360</v>
      </c>
      <c r="C4181">
        <v>523722</v>
      </c>
      <c r="D4181" t="s">
        <v>360</v>
      </c>
      <c r="E4181" t="s">
        <v>453</v>
      </c>
    </row>
    <row r="4182" spans="2:5">
      <c r="B4182" t="s">
        <v>6361</v>
      </c>
      <c r="C4182">
        <v>503624</v>
      </c>
      <c r="D4182" t="s">
        <v>360</v>
      </c>
      <c r="E4182" t="s">
        <v>343</v>
      </c>
    </row>
    <row r="4183" spans="2:5">
      <c r="B4183" t="s">
        <v>6362</v>
      </c>
      <c r="C4183">
        <v>539911</v>
      </c>
      <c r="D4183" t="s">
        <v>360</v>
      </c>
      <c r="E4183" t="s">
        <v>382</v>
      </c>
    </row>
    <row r="4184" spans="2:5">
      <c r="B4184" t="s">
        <v>6363</v>
      </c>
      <c r="C4184">
        <v>524488</v>
      </c>
      <c r="D4184" t="s">
        <v>6364</v>
      </c>
      <c r="E4184" t="s">
        <v>408</v>
      </c>
    </row>
    <row r="4185" spans="2:5">
      <c r="B4185" t="s">
        <v>6365</v>
      </c>
      <c r="C4185">
        <v>512449</v>
      </c>
      <c r="D4185" t="s">
        <v>360</v>
      </c>
      <c r="E4185" t="s">
        <v>340</v>
      </c>
    </row>
    <row r="4186" spans="2:5">
      <c r="B4186" t="s">
        <v>6366</v>
      </c>
      <c r="C4186">
        <v>505590</v>
      </c>
      <c r="D4186" t="s">
        <v>360</v>
      </c>
      <c r="E4186" t="s">
        <v>375</v>
      </c>
    </row>
    <row r="4187" spans="2:5">
      <c r="B4187" t="s">
        <v>6367</v>
      </c>
      <c r="C4187">
        <v>539041</v>
      </c>
      <c r="D4187" t="s">
        <v>360</v>
      </c>
      <c r="E4187" t="s">
        <v>382</v>
      </c>
    </row>
    <row r="4188" spans="2:5">
      <c r="B4188" t="s">
        <v>6368</v>
      </c>
      <c r="C4188">
        <v>503659</v>
      </c>
      <c r="D4188" t="s">
        <v>360</v>
      </c>
      <c r="E4188" t="s">
        <v>781</v>
      </c>
    </row>
    <row r="4189" spans="2:5">
      <c r="B4189" t="s">
        <v>6369</v>
      </c>
      <c r="C4189">
        <v>506863</v>
      </c>
      <c r="D4189" t="s">
        <v>360</v>
      </c>
      <c r="E4189" t="s">
        <v>555</v>
      </c>
    </row>
    <row r="4190" spans="2:5">
      <c r="B4190" t="s">
        <v>6370</v>
      </c>
      <c r="C4190">
        <v>503816</v>
      </c>
      <c r="D4190" t="s">
        <v>360</v>
      </c>
      <c r="E4190" t="s">
        <v>375</v>
      </c>
    </row>
    <row r="4191" spans="2:5">
      <c r="B4191" t="s">
        <v>6371</v>
      </c>
      <c r="C4191">
        <v>531909</v>
      </c>
      <c r="D4191" t="s">
        <v>360</v>
      </c>
      <c r="E4191" t="s">
        <v>446</v>
      </c>
    </row>
    <row r="4192" spans="2:5">
      <c r="B4192" t="s">
        <v>6372</v>
      </c>
      <c r="C4192">
        <v>539406</v>
      </c>
      <c r="D4192" t="s">
        <v>360</v>
      </c>
      <c r="E4192" t="s">
        <v>382</v>
      </c>
    </row>
    <row r="4193" spans="2:5">
      <c r="B4193" t="s">
        <v>6373</v>
      </c>
      <c r="C4193">
        <v>503310</v>
      </c>
      <c r="D4193" t="s">
        <v>6374</v>
      </c>
      <c r="E4193" t="s">
        <v>375</v>
      </c>
    </row>
    <row r="4194" spans="2:5">
      <c r="B4194" t="s">
        <v>6375</v>
      </c>
      <c r="C4194">
        <v>539353</v>
      </c>
      <c r="D4194" t="s">
        <v>360</v>
      </c>
      <c r="E4194" t="s">
        <v>715</v>
      </c>
    </row>
    <row r="4195" spans="2:5">
      <c r="B4195" t="s">
        <v>6376</v>
      </c>
      <c r="C4195">
        <v>500407</v>
      </c>
      <c r="D4195" t="s">
        <v>6377</v>
      </c>
      <c r="E4195" t="s">
        <v>715</v>
      </c>
    </row>
    <row r="4196" spans="2:5">
      <c r="B4196" t="s">
        <v>6378</v>
      </c>
      <c r="C4196">
        <v>531003</v>
      </c>
      <c r="D4196" t="s">
        <v>360</v>
      </c>
      <c r="E4196" t="s">
        <v>377</v>
      </c>
    </row>
    <row r="4197" spans="2:5">
      <c r="B4197" t="s">
        <v>6379</v>
      </c>
      <c r="C4197">
        <v>526365</v>
      </c>
      <c r="D4197" t="s">
        <v>360</v>
      </c>
      <c r="E4197" t="s">
        <v>474</v>
      </c>
    </row>
    <row r="4198" spans="2:5">
      <c r="B4198" t="s">
        <v>6380</v>
      </c>
      <c r="C4198">
        <v>512257</v>
      </c>
      <c r="D4198" t="s">
        <v>360</v>
      </c>
      <c r="E4198" t="s">
        <v>349</v>
      </c>
    </row>
    <row r="4199" spans="2:5">
      <c r="B4199" t="s">
        <v>6381</v>
      </c>
      <c r="C4199">
        <v>510245</v>
      </c>
      <c r="D4199" t="s">
        <v>360</v>
      </c>
      <c r="E4199" t="s">
        <v>382</v>
      </c>
    </row>
    <row r="4200" spans="2:5">
      <c r="B4200" t="s">
        <v>6382</v>
      </c>
      <c r="C4200">
        <v>501386</v>
      </c>
      <c r="D4200" t="s">
        <v>360</v>
      </c>
      <c r="E4200" t="s">
        <v>343</v>
      </c>
    </row>
    <row r="4201" spans="2:5">
      <c r="B4201" t="s">
        <v>6383</v>
      </c>
      <c r="C4201">
        <v>530585</v>
      </c>
      <c r="D4201" t="s">
        <v>360</v>
      </c>
      <c r="E4201" t="s">
        <v>343</v>
      </c>
    </row>
    <row r="4202" spans="2:5">
      <c r="B4202" t="s">
        <v>6384</v>
      </c>
      <c r="C4202">
        <v>532051</v>
      </c>
      <c r="D4202" t="s">
        <v>6385</v>
      </c>
      <c r="E4202" t="s">
        <v>403</v>
      </c>
    </row>
    <row r="4203" spans="2:5">
      <c r="B4203" t="s">
        <v>6386</v>
      </c>
      <c r="C4203">
        <v>522215</v>
      </c>
      <c r="D4203" t="s">
        <v>360</v>
      </c>
      <c r="E4203" t="s">
        <v>368</v>
      </c>
    </row>
    <row r="4204" spans="2:5">
      <c r="B4204" t="s">
        <v>6387</v>
      </c>
      <c r="C4204">
        <v>517201</v>
      </c>
      <c r="D4204" t="s">
        <v>360</v>
      </c>
      <c r="E4204" t="s">
        <v>902</v>
      </c>
    </row>
    <row r="4205" spans="2:5">
      <c r="B4205" t="s">
        <v>6388</v>
      </c>
      <c r="C4205">
        <v>531637</v>
      </c>
      <c r="D4205" t="s">
        <v>360</v>
      </c>
      <c r="E4205" t="s">
        <v>398</v>
      </c>
    </row>
    <row r="4206" spans="2:5">
      <c r="B4206" t="s">
        <v>6389</v>
      </c>
      <c r="C4206">
        <v>512359</v>
      </c>
      <c r="D4206" t="s">
        <v>360</v>
      </c>
      <c r="E4206" t="s">
        <v>382</v>
      </c>
    </row>
    <row r="4207" spans="2:5">
      <c r="B4207" t="s">
        <v>6390</v>
      </c>
      <c r="C4207">
        <v>531499</v>
      </c>
      <c r="D4207" t="s">
        <v>360</v>
      </c>
      <c r="E4207" t="s">
        <v>375</v>
      </c>
    </row>
    <row r="4208" spans="2:5">
      <c r="B4208" t="s">
        <v>6391</v>
      </c>
      <c r="C4208">
        <v>539682</v>
      </c>
      <c r="D4208" t="s">
        <v>360</v>
      </c>
      <c r="E4208" t="s">
        <v>465</v>
      </c>
    </row>
    <row r="4209" spans="2:5">
      <c r="B4209" t="s">
        <v>6392</v>
      </c>
      <c r="C4209">
        <v>511447</v>
      </c>
      <c r="D4209" t="s">
        <v>360</v>
      </c>
      <c r="E4209" t="s">
        <v>366</v>
      </c>
    </row>
    <row r="4210" spans="2:5">
      <c r="B4210" t="s">
        <v>6393</v>
      </c>
      <c r="C4210">
        <v>539278</v>
      </c>
      <c r="D4210" t="s">
        <v>360</v>
      </c>
      <c r="E4210" t="s">
        <v>343</v>
      </c>
    </row>
    <row r="4211" spans="2:5">
      <c r="B4211" t="s">
        <v>6394</v>
      </c>
      <c r="C4211">
        <v>517385</v>
      </c>
      <c r="D4211" t="s">
        <v>6395</v>
      </c>
      <c r="E4211" t="s">
        <v>729</v>
      </c>
    </row>
    <row r="4212" spans="2:5">
      <c r="B4212" t="s">
        <v>6396</v>
      </c>
      <c r="C4212">
        <v>524470</v>
      </c>
      <c r="D4212" t="s">
        <v>360</v>
      </c>
      <c r="E4212" t="s">
        <v>398</v>
      </c>
    </row>
    <row r="4213" spans="2:5">
      <c r="B4213" t="s">
        <v>6397</v>
      </c>
      <c r="C4213">
        <v>524470</v>
      </c>
      <c r="D4213" t="s">
        <v>360</v>
      </c>
      <c r="E4213" t="s">
        <v>398</v>
      </c>
    </row>
    <row r="4214" spans="2:5">
      <c r="B4214" t="s">
        <v>6398</v>
      </c>
      <c r="C4214">
        <v>533157</v>
      </c>
      <c r="D4214" t="s">
        <v>6399</v>
      </c>
      <c r="E4214" t="s">
        <v>398</v>
      </c>
    </row>
    <row r="4215" spans="2:5">
      <c r="B4215" t="s">
        <v>6400</v>
      </c>
      <c r="C4215">
        <v>532276</v>
      </c>
      <c r="D4215" t="s">
        <v>6401</v>
      </c>
      <c r="E4215" t="s">
        <v>678</v>
      </c>
    </row>
    <row r="4216" spans="2:5">
      <c r="B4216" t="s">
        <v>6402</v>
      </c>
      <c r="C4216">
        <v>541929</v>
      </c>
      <c r="D4216" t="s">
        <v>360</v>
      </c>
      <c r="E4216" t="s">
        <v>1279</v>
      </c>
    </row>
    <row r="4217" spans="2:5">
      <c r="B4217" t="s">
        <v>6403</v>
      </c>
      <c r="C4217">
        <v>539268</v>
      </c>
      <c r="D4217" t="s">
        <v>6404</v>
      </c>
      <c r="E4217" t="s">
        <v>398</v>
      </c>
    </row>
    <row r="4218" spans="2:5">
      <c r="B4218" t="s">
        <v>6405</v>
      </c>
      <c r="C4218">
        <v>513307</v>
      </c>
      <c r="D4218" t="s">
        <v>360</v>
      </c>
      <c r="E4218" t="s">
        <v>665</v>
      </c>
    </row>
    <row r="4219" spans="2:5">
      <c r="B4219" t="s">
        <v>6406</v>
      </c>
      <c r="C4219">
        <v>531173</v>
      </c>
      <c r="D4219" t="s">
        <v>360</v>
      </c>
      <c r="E4219" t="s">
        <v>398</v>
      </c>
    </row>
    <row r="4220" spans="2:5">
      <c r="B4220" t="s">
        <v>6407</v>
      </c>
      <c r="C4220">
        <v>531173</v>
      </c>
      <c r="D4220" t="s">
        <v>360</v>
      </c>
      <c r="E4220" t="s">
        <v>398</v>
      </c>
    </row>
    <row r="4221" spans="2:5">
      <c r="B4221" t="s">
        <v>6408</v>
      </c>
      <c r="C4221">
        <v>539842</v>
      </c>
      <c r="D4221" t="s">
        <v>360</v>
      </c>
      <c r="E4221" t="s">
        <v>555</v>
      </c>
    </row>
    <row r="4222" spans="2:5">
      <c r="B4222" t="s">
        <v>6409</v>
      </c>
      <c r="C4222">
        <v>526506</v>
      </c>
      <c r="D4222" t="s">
        <v>360</v>
      </c>
      <c r="E4222" t="s">
        <v>343</v>
      </c>
    </row>
    <row r="4223" spans="2:5">
      <c r="B4223" t="s">
        <v>6410</v>
      </c>
      <c r="C4223">
        <v>531432</v>
      </c>
      <c r="D4223" t="s">
        <v>360</v>
      </c>
      <c r="E4223" t="s">
        <v>377</v>
      </c>
    </row>
    <row r="4224" spans="2:5">
      <c r="B4224" t="s">
        <v>6411</v>
      </c>
      <c r="C4224">
        <v>522294</v>
      </c>
      <c r="D4224" t="s">
        <v>360</v>
      </c>
      <c r="E4224" t="s">
        <v>368</v>
      </c>
    </row>
    <row r="4225" spans="2:5">
      <c r="B4225" t="s">
        <v>6412</v>
      </c>
      <c r="C4225">
        <v>533553</v>
      </c>
      <c r="D4225" t="s">
        <v>360</v>
      </c>
      <c r="E4225" t="s">
        <v>403</v>
      </c>
    </row>
    <row r="4226" spans="2:5">
      <c r="B4226" t="s">
        <v>6413</v>
      </c>
      <c r="C4226">
        <v>532444</v>
      </c>
      <c r="D4226" t="s">
        <v>360</v>
      </c>
      <c r="E4226" t="s">
        <v>453</v>
      </c>
    </row>
    <row r="4227" spans="2:5">
      <c r="B4227" t="s">
        <v>6414</v>
      </c>
      <c r="C4227">
        <v>514142</v>
      </c>
      <c r="D4227" t="s">
        <v>6415</v>
      </c>
      <c r="E4227" t="s">
        <v>375</v>
      </c>
    </row>
    <row r="4228" spans="2:5">
      <c r="B4228" t="s">
        <v>6416</v>
      </c>
      <c r="C4228">
        <v>539956</v>
      </c>
      <c r="D4228" t="s">
        <v>360</v>
      </c>
      <c r="E4228" t="s">
        <v>2497</v>
      </c>
    </row>
    <row r="4229" spans="2:5">
      <c r="B4229" t="s">
        <v>6417</v>
      </c>
      <c r="C4229">
        <v>537392</v>
      </c>
      <c r="D4229" t="s">
        <v>360</v>
      </c>
      <c r="E4229" t="s">
        <v>529</v>
      </c>
    </row>
    <row r="4230" spans="2:5">
      <c r="B4230" t="s">
        <v>6418</v>
      </c>
      <c r="C4230">
        <v>519483</v>
      </c>
      <c r="D4230" t="s">
        <v>360</v>
      </c>
      <c r="E4230" t="s">
        <v>382</v>
      </c>
    </row>
    <row r="4231" spans="2:5">
      <c r="B4231" t="s">
        <v>6419</v>
      </c>
      <c r="C4231">
        <v>507785</v>
      </c>
      <c r="D4231" t="s">
        <v>6420</v>
      </c>
      <c r="E4231" t="s">
        <v>480</v>
      </c>
    </row>
    <row r="4232" spans="2:5">
      <c r="B4232" t="s">
        <v>6421</v>
      </c>
      <c r="C4232">
        <v>532390</v>
      </c>
      <c r="D4232" t="s">
        <v>6422</v>
      </c>
      <c r="E4232" t="s">
        <v>561</v>
      </c>
    </row>
    <row r="4233" spans="2:5">
      <c r="B4233" t="s">
        <v>6423</v>
      </c>
      <c r="C4233">
        <v>532890</v>
      </c>
      <c r="D4233" t="s">
        <v>6424</v>
      </c>
      <c r="E4233" t="s">
        <v>346</v>
      </c>
    </row>
    <row r="4234" spans="2:5">
      <c r="B4234" t="s">
        <v>6425</v>
      </c>
      <c r="C4234">
        <v>505160</v>
      </c>
      <c r="D4234" t="s">
        <v>6426</v>
      </c>
      <c r="E4234" t="s">
        <v>715</v>
      </c>
    </row>
    <row r="4235" spans="2:5">
      <c r="B4235" t="s">
        <v>6427</v>
      </c>
      <c r="C4235">
        <v>538987</v>
      </c>
      <c r="D4235" t="s">
        <v>360</v>
      </c>
      <c r="E4235" t="s">
        <v>715</v>
      </c>
    </row>
    <row r="4236" spans="2:5">
      <c r="B4236" t="s">
        <v>6428</v>
      </c>
      <c r="C4236">
        <v>533200</v>
      </c>
      <c r="D4236" t="s">
        <v>6429</v>
      </c>
      <c r="E4236" t="s">
        <v>538</v>
      </c>
    </row>
    <row r="4237" spans="2:5">
      <c r="B4237" t="s">
        <v>6430</v>
      </c>
      <c r="C4237">
        <v>541545</v>
      </c>
      <c r="D4237" t="s">
        <v>6431</v>
      </c>
      <c r="E4237" t="s">
        <v>538</v>
      </c>
    </row>
    <row r="4238" spans="2:5">
      <c r="B4238" t="s">
        <v>6432</v>
      </c>
      <c r="C4238">
        <v>533170</v>
      </c>
      <c r="D4238" t="s">
        <v>360</v>
      </c>
      <c r="E4238" t="s">
        <v>380</v>
      </c>
    </row>
    <row r="4239" spans="2:5">
      <c r="B4239" t="s">
        <v>6433</v>
      </c>
      <c r="C4239">
        <v>531426</v>
      </c>
      <c r="D4239" t="s">
        <v>6434</v>
      </c>
      <c r="E4239" t="s">
        <v>354</v>
      </c>
    </row>
    <row r="4240" spans="2:5">
      <c r="B4240" t="s">
        <v>6435</v>
      </c>
      <c r="C4240">
        <v>521038</v>
      </c>
      <c r="D4240" t="s">
        <v>360</v>
      </c>
      <c r="E4240" t="s">
        <v>375</v>
      </c>
    </row>
    <row r="4241" spans="2:5">
      <c r="B4241" t="s">
        <v>6436</v>
      </c>
      <c r="C4241">
        <v>500777</v>
      </c>
      <c r="D4241" t="s">
        <v>6437</v>
      </c>
      <c r="E4241" t="s">
        <v>408</v>
      </c>
    </row>
    <row r="4242" spans="2:5">
      <c r="B4242" t="s">
        <v>6438</v>
      </c>
      <c r="C4242">
        <v>513540</v>
      </c>
      <c r="D4242" t="s">
        <v>360</v>
      </c>
      <c r="E4242" t="s">
        <v>683</v>
      </c>
    </row>
    <row r="4243" spans="2:5">
      <c r="B4243" t="s">
        <v>6439</v>
      </c>
      <c r="C4243">
        <v>523419</v>
      </c>
      <c r="D4243" t="s">
        <v>6440</v>
      </c>
      <c r="E4243" t="s">
        <v>630</v>
      </c>
    </row>
    <row r="4244" spans="2:5">
      <c r="B4244" t="s">
        <v>6441</v>
      </c>
      <c r="C4244">
        <v>522229</v>
      </c>
      <c r="D4244" t="s">
        <v>360</v>
      </c>
      <c r="E4244" t="s">
        <v>2844</v>
      </c>
    </row>
    <row r="4245" spans="2:5">
      <c r="B4245" t="s">
        <v>6442</v>
      </c>
      <c r="C4245">
        <v>506854</v>
      </c>
      <c r="D4245" t="s">
        <v>360</v>
      </c>
      <c r="E4245" t="s">
        <v>408</v>
      </c>
    </row>
    <row r="4246" spans="2:5">
      <c r="B4246" t="s">
        <v>6443</v>
      </c>
      <c r="C4246">
        <v>532790</v>
      </c>
      <c r="D4246" t="s">
        <v>6444</v>
      </c>
      <c r="E4246" t="s">
        <v>453</v>
      </c>
    </row>
    <row r="4247" spans="2:5">
      <c r="B4247" t="s">
        <v>6445</v>
      </c>
      <c r="C4247">
        <v>532738</v>
      </c>
      <c r="D4247" t="s">
        <v>6446</v>
      </c>
      <c r="E4247" t="s">
        <v>758</v>
      </c>
    </row>
    <row r="4248" spans="2:5">
      <c r="B4248" t="s">
        <v>6447</v>
      </c>
      <c r="C4248">
        <v>540332</v>
      </c>
      <c r="D4248" t="s">
        <v>360</v>
      </c>
      <c r="E4248" t="s">
        <v>382</v>
      </c>
    </row>
    <row r="4249" spans="2:5">
      <c r="B4249" t="s">
        <v>6448</v>
      </c>
      <c r="C4249">
        <v>540332</v>
      </c>
      <c r="D4249" t="s">
        <v>360</v>
      </c>
      <c r="E4249" t="s">
        <v>382</v>
      </c>
    </row>
    <row r="4250" spans="2:5">
      <c r="B4250" t="s">
        <v>6449</v>
      </c>
      <c r="C4250">
        <v>505685</v>
      </c>
      <c r="D4250" t="s">
        <v>360</v>
      </c>
      <c r="E4250" t="s">
        <v>683</v>
      </c>
    </row>
    <row r="4251" spans="2:5">
      <c r="B4251" t="s">
        <v>6450</v>
      </c>
      <c r="C4251" t="s">
        <v>360</v>
      </c>
      <c r="D4251" t="s">
        <v>6451</v>
      </c>
      <c r="E4251" t="s">
        <v>371</v>
      </c>
    </row>
    <row r="4252" spans="2:5">
      <c r="B4252" t="s">
        <v>6452</v>
      </c>
      <c r="C4252">
        <v>534756</v>
      </c>
      <c r="D4252" t="s">
        <v>6453</v>
      </c>
      <c r="E4252" t="s">
        <v>474</v>
      </c>
    </row>
    <row r="4253" spans="2:5">
      <c r="B4253" t="s">
        <v>6454</v>
      </c>
      <c r="C4253">
        <v>519285</v>
      </c>
      <c r="D4253" t="s">
        <v>360</v>
      </c>
      <c r="E4253" t="s">
        <v>558</v>
      </c>
    </row>
    <row r="4254" spans="2:5">
      <c r="B4254" t="s">
        <v>6455</v>
      </c>
      <c r="C4254">
        <v>533203</v>
      </c>
      <c r="D4254" t="s">
        <v>6456</v>
      </c>
      <c r="E4254" t="s">
        <v>403</v>
      </c>
    </row>
    <row r="4255" spans="2:5">
      <c r="B4255" t="s">
        <v>6457</v>
      </c>
      <c r="C4255">
        <v>538496</v>
      </c>
      <c r="D4255" t="s">
        <v>360</v>
      </c>
      <c r="E4255" t="s">
        <v>444</v>
      </c>
    </row>
    <row r="4256" spans="2:5">
      <c r="B4256" t="s">
        <v>6458</v>
      </c>
      <c r="C4256">
        <v>532869</v>
      </c>
      <c r="D4256" t="s">
        <v>6459</v>
      </c>
      <c r="E4256" t="s">
        <v>758</v>
      </c>
    </row>
    <row r="4257" spans="2:5">
      <c r="B4257" t="s">
        <v>6460</v>
      </c>
      <c r="C4257">
        <v>512271</v>
      </c>
      <c r="D4257" t="s">
        <v>360</v>
      </c>
      <c r="E4257" t="s">
        <v>781</v>
      </c>
    </row>
    <row r="4258" spans="2:5">
      <c r="B4258" t="s">
        <v>6461</v>
      </c>
      <c r="C4258">
        <v>512271</v>
      </c>
      <c r="D4258" t="s">
        <v>360</v>
      </c>
      <c r="E4258" t="s">
        <v>781</v>
      </c>
    </row>
    <row r="4259" spans="2:5">
      <c r="B4259" t="s">
        <v>6462</v>
      </c>
      <c r="C4259">
        <v>519091</v>
      </c>
      <c r="D4259" t="s">
        <v>6463</v>
      </c>
      <c r="E4259" t="s">
        <v>420</v>
      </c>
    </row>
    <row r="4260" spans="2:5">
      <c r="B4260" t="s">
        <v>6464</v>
      </c>
      <c r="C4260">
        <v>540955</v>
      </c>
      <c r="D4260" t="s">
        <v>360</v>
      </c>
      <c r="E4260" t="s">
        <v>420</v>
      </c>
    </row>
    <row r="4261" spans="2:5">
      <c r="B4261" t="s">
        <v>6465</v>
      </c>
      <c r="C4261">
        <v>500770</v>
      </c>
      <c r="D4261" t="s">
        <v>6466</v>
      </c>
      <c r="E4261" t="s">
        <v>408</v>
      </c>
    </row>
    <row r="4262" spans="2:5">
      <c r="B4262" t="s">
        <v>6467</v>
      </c>
      <c r="C4262">
        <v>532301</v>
      </c>
      <c r="D4262" t="s">
        <v>6468</v>
      </c>
      <c r="E4262" t="s">
        <v>767</v>
      </c>
    </row>
    <row r="4263" spans="2:5">
      <c r="B4263" t="s">
        <v>6469</v>
      </c>
      <c r="C4263">
        <v>500483</v>
      </c>
      <c r="D4263" t="s">
        <v>6470</v>
      </c>
      <c r="E4263" t="s">
        <v>6471</v>
      </c>
    </row>
    <row r="4264" spans="2:5">
      <c r="B4264" t="s">
        <v>6472</v>
      </c>
      <c r="C4264">
        <v>532540</v>
      </c>
      <c r="D4264" t="s">
        <v>6473</v>
      </c>
      <c r="E4264" t="s">
        <v>346</v>
      </c>
    </row>
    <row r="4265" spans="2:5">
      <c r="B4265" t="s">
        <v>6474</v>
      </c>
      <c r="C4265">
        <v>500408</v>
      </c>
      <c r="D4265" t="s">
        <v>6475</v>
      </c>
      <c r="E4265" t="s">
        <v>453</v>
      </c>
    </row>
    <row r="4266" spans="2:5">
      <c r="B4266" t="s">
        <v>6476</v>
      </c>
      <c r="C4266">
        <v>500800</v>
      </c>
      <c r="D4266" t="s">
        <v>6477</v>
      </c>
      <c r="E4266" t="s">
        <v>767</v>
      </c>
    </row>
    <row r="4267" spans="2:5">
      <c r="B4267" t="s">
        <v>6478</v>
      </c>
      <c r="C4267">
        <v>501301</v>
      </c>
      <c r="D4267" t="s">
        <v>6479</v>
      </c>
      <c r="E4267" t="s">
        <v>526</v>
      </c>
    </row>
    <row r="4268" spans="2:5">
      <c r="B4268" t="s">
        <v>6480</v>
      </c>
      <c r="C4268">
        <v>513434</v>
      </c>
      <c r="D4268" t="s">
        <v>6481</v>
      </c>
      <c r="E4268" t="s">
        <v>392</v>
      </c>
    </row>
    <row r="4269" spans="2:5">
      <c r="B4269" t="s">
        <v>6482</v>
      </c>
      <c r="C4269">
        <v>500570</v>
      </c>
      <c r="D4269" t="s">
        <v>6483</v>
      </c>
      <c r="E4269" t="s">
        <v>438</v>
      </c>
    </row>
    <row r="4270" spans="2:5">
      <c r="B4270" t="s">
        <v>6482</v>
      </c>
      <c r="C4270">
        <v>570001</v>
      </c>
      <c r="D4270" t="s">
        <v>6484</v>
      </c>
      <c r="E4270" t="s">
        <v>438</v>
      </c>
    </row>
    <row r="4271" spans="2:5">
      <c r="B4271" t="s">
        <v>6485</v>
      </c>
      <c r="C4271">
        <v>500400</v>
      </c>
      <c r="D4271" t="s">
        <v>6486</v>
      </c>
      <c r="E4271" t="s">
        <v>499</v>
      </c>
    </row>
    <row r="4272" spans="2:5">
      <c r="B4272" t="s">
        <v>6487</v>
      </c>
      <c r="C4272">
        <v>513010</v>
      </c>
      <c r="D4272" t="s">
        <v>6488</v>
      </c>
      <c r="E4272" t="s">
        <v>392</v>
      </c>
    </row>
    <row r="4273" spans="2:5">
      <c r="B4273" t="s">
        <v>6489</v>
      </c>
      <c r="C4273" t="s">
        <v>360</v>
      </c>
      <c r="D4273" t="s">
        <v>6490</v>
      </c>
      <c r="E4273" t="s">
        <v>392</v>
      </c>
    </row>
    <row r="4274" spans="2:5">
      <c r="B4274" t="s">
        <v>6491</v>
      </c>
      <c r="C4274">
        <v>500470</v>
      </c>
      <c r="D4274" t="s">
        <v>6492</v>
      </c>
      <c r="E4274" t="s">
        <v>392</v>
      </c>
    </row>
    <row r="4275" spans="2:5">
      <c r="B4275" t="s">
        <v>6493</v>
      </c>
      <c r="C4275">
        <v>532371</v>
      </c>
      <c r="D4275" t="s">
        <v>6494</v>
      </c>
      <c r="E4275" t="s">
        <v>1303</v>
      </c>
    </row>
    <row r="4276" spans="2:5">
      <c r="B4276" t="s">
        <v>6495</v>
      </c>
      <c r="C4276">
        <v>521228</v>
      </c>
      <c r="D4276" t="s">
        <v>360</v>
      </c>
      <c r="E4276" t="s">
        <v>474</v>
      </c>
    </row>
    <row r="4277" spans="2:5">
      <c r="B4277" t="s">
        <v>6496</v>
      </c>
      <c r="C4277">
        <v>531190</v>
      </c>
      <c r="D4277" t="s">
        <v>360</v>
      </c>
      <c r="E4277" t="s">
        <v>375</v>
      </c>
    </row>
    <row r="4278" spans="2:5">
      <c r="B4278" t="s">
        <v>6497</v>
      </c>
      <c r="C4278">
        <v>541228</v>
      </c>
      <c r="D4278" t="s">
        <v>360</v>
      </c>
      <c r="E4278" t="s">
        <v>368</v>
      </c>
    </row>
    <row r="4279" spans="2:5">
      <c r="B4279" t="s">
        <v>6498</v>
      </c>
      <c r="C4279">
        <v>504961</v>
      </c>
      <c r="D4279" t="s">
        <v>360</v>
      </c>
      <c r="E4279" t="s">
        <v>392</v>
      </c>
    </row>
    <row r="4280" spans="2:5">
      <c r="B4280" t="s">
        <v>6499</v>
      </c>
      <c r="C4280">
        <v>532284</v>
      </c>
      <c r="D4280" t="s">
        <v>360</v>
      </c>
      <c r="E4280" t="s">
        <v>343</v>
      </c>
    </row>
    <row r="4281" spans="2:5">
      <c r="B4281" t="s">
        <v>6500</v>
      </c>
      <c r="C4281">
        <v>533393</v>
      </c>
      <c r="D4281" t="s">
        <v>6501</v>
      </c>
      <c r="E4281" t="s">
        <v>446</v>
      </c>
    </row>
    <row r="4282" spans="2:5">
      <c r="B4282" t="s">
        <v>6502</v>
      </c>
      <c r="C4282">
        <v>540212</v>
      </c>
      <c r="D4282" t="s">
        <v>6503</v>
      </c>
      <c r="E4282" t="s">
        <v>681</v>
      </c>
    </row>
    <row r="4283" spans="2:5">
      <c r="B4283" t="s">
        <v>6504</v>
      </c>
      <c r="C4283">
        <v>501242</v>
      </c>
      <c r="D4283" t="s">
        <v>6505</v>
      </c>
      <c r="E4283" t="s">
        <v>377</v>
      </c>
    </row>
    <row r="4284" spans="2:5">
      <c r="B4284" t="s">
        <v>6506</v>
      </c>
      <c r="C4284">
        <v>532262</v>
      </c>
      <c r="D4284" t="s">
        <v>360</v>
      </c>
      <c r="E4284" t="s">
        <v>681</v>
      </c>
    </row>
    <row r="4285" spans="2:5">
      <c r="B4285" t="s">
        <v>6507</v>
      </c>
      <c r="C4285">
        <v>524156</v>
      </c>
      <c r="D4285" t="s">
        <v>360</v>
      </c>
      <c r="E4285" t="s">
        <v>408</v>
      </c>
    </row>
    <row r="4286" spans="2:5">
      <c r="B4286" t="s">
        <v>6508</v>
      </c>
      <c r="C4286">
        <v>541700</v>
      </c>
      <c r="D4286" t="s">
        <v>6509</v>
      </c>
      <c r="E4286" t="s">
        <v>474</v>
      </c>
    </row>
    <row r="4287" spans="2:5">
      <c r="B4287" t="s">
        <v>6510</v>
      </c>
      <c r="C4287">
        <v>523301</v>
      </c>
      <c r="D4287" t="s">
        <v>6511</v>
      </c>
      <c r="E4287" t="s">
        <v>354</v>
      </c>
    </row>
    <row r="4288" spans="2:5">
      <c r="B4288" t="s">
        <v>6512</v>
      </c>
      <c r="C4288" t="s">
        <v>360</v>
      </c>
      <c r="D4288" t="s">
        <v>6513</v>
      </c>
      <c r="E4288" t="s">
        <v>451</v>
      </c>
    </row>
    <row r="4289" spans="2:5">
      <c r="B4289" t="s">
        <v>6514</v>
      </c>
      <c r="C4289">
        <v>512011</v>
      </c>
      <c r="D4289" t="s">
        <v>360</v>
      </c>
      <c r="E4289" t="s">
        <v>382</v>
      </c>
    </row>
    <row r="4290" spans="2:5">
      <c r="B4290" t="s">
        <v>6515</v>
      </c>
      <c r="C4290">
        <v>539658</v>
      </c>
      <c r="D4290" t="s">
        <v>6516</v>
      </c>
      <c r="E4290" t="s">
        <v>3140</v>
      </c>
    </row>
    <row r="4291" spans="2:5">
      <c r="B4291" t="s">
        <v>6517</v>
      </c>
      <c r="C4291">
        <v>532755</v>
      </c>
      <c r="D4291" t="s">
        <v>6518</v>
      </c>
      <c r="E4291" t="s">
        <v>346</v>
      </c>
    </row>
    <row r="4292" spans="2:5">
      <c r="B4292" t="s">
        <v>6519</v>
      </c>
      <c r="C4292">
        <v>526576</v>
      </c>
      <c r="D4292" t="s">
        <v>6520</v>
      </c>
      <c r="E4292" t="s">
        <v>558</v>
      </c>
    </row>
    <row r="4293" spans="2:5">
      <c r="B4293" t="s">
        <v>6521</v>
      </c>
      <c r="C4293">
        <v>542141</v>
      </c>
      <c r="D4293" t="s">
        <v>6522</v>
      </c>
      <c r="E4293" t="s">
        <v>758</v>
      </c>
    </row>
    <row r="4294" spans="2:5">
      <c r="B4294" t="s">
        <v>6523</v>
      </c>
      <c r="C4294">
        <v>532804</v>
      </c>
      <c r="D4294" t="s">
        <v>6524</v>
      </c>
      <c r="E4294" t="s">
        <v>683</v>
      </c>
    </row>
    <row r="4295" spans="2:5">
      <c r="B4295" t="s">
        <v>6525</v>
      </c>
      <c r="C4295">
        <v>532804</v>
      </c>
      <c r="D4295" t="s">
        <v>6524</v>
      </c>
      <c r="E4295" t="s">
        <v>683</v>
      </c>
    </row>
    <row r="4296" spans="2:5">
      <c r="B4296" t="s">
        <v>6526</v>
      </c>
      <c r="C4296">
        <v>533216</v>
      </c>
      <c r="D4296" t="s">
        <v>6527</v>
      </c>
      <c r="E4296" t="s">
        <v>758</v>
      </c>
    </row>
    <row r="4297" spans="2:5">
      <c r="B4297" t="s">
        <v>6528</v>
      </c>
      <c r="C4297">
        <v>509917</v>
      </c>
      <c r="D4297" t="s">
        <v>360</v>
      </c>
      <c r="E4297" t="s">
        <v>902</v>
      </c>
    </row>
    <row r="4298" spans="2:5">
      <c r="B4298" t="s">
        <v>6529</v>
      </c>
      <c r="C4298">
        <v>501421</v>
      </c>
      <c r="D4298" t="s">
        <v>360</v>
      </c>
      <c r="E4298" t="s">
        <v>453</v>
      </c>
    </row>
    <row r="4299" spans="2:5">
      <c r="B4299" t="s">
        <v>6530</v>
      </c>
      <c r="C4299">
        <v>524204</v>
      </c>
      <c r="D4299" t="s">
        <v>360</v>
      </c>
      <c r="E4299" t="s">
        <v>868</v>
      </c>
    </row>
    <row r="4300" spans="2:5">
      <c r="B4300" t="s">
        <v>6531</v>
      </c>
      <c r="C4300">
        <v>540595</v>
      </c>
      <c r="D4300" t="s">
        <v>6532</v>
      </c>
      <c r="E4300" t="s">
        <v>1306</v>
      </c>
    </row>
    <row r="4301" spans="2:5">
      <c r="B4301" t="s">
        <v>6533</v>
      </c>
      <c r="C4301">
        <v>539428</v>
      </c>
      <c r="D4301" t="s">
        <v>360</v>
      </c>
      <c r="E4301" t="s">
        <v>830</v>
      </c>
    </row>
    <row r="4302" spans="2:5">
      <c r="B4302" t="s">
        <v>6534</v>
      </c>
      <c r="C4302">
        <v>530595</v>
      </c>
      <c r="D4302" t="s">
        <v>360</v>
      </c>
      <c r="E4302" t="s">
        <v>453</v>
      </c>
    </row>
    <row r="4303" spans="2:5">
      <c r="B4303" t="s">
        <v>6535</v>
      </c>
      <c r="C4303">
        <v>533982</v>
      </c>
      <c r="D4303" t="s">
        <v>6536</v>
      </c>
      <c r="E4303" t="s">
        <v>346</v>
      </c>
    </row>
    <row r="4304" spans="2:5">
      <c r="B4304" t="s">
        <v>6537</v>
      </c>
      <c r="C4304">
        <v>530533</v>
      </c>
      <c r="D4304" t="s">
        <v>360</v>
      </c>
      <c r="E4304" t="s">
        <v>767</v>
      </c>
    </row>
    <row r="4305" spans="2:5">
      <c r="B4305" t="s">
        <v>6538</v>
      </c>
      <c r="C4305">
        <v>506162</v>
      </c>
      <c r="D4305" t="s">
        <v>360</v>
      </c>
      <c r="E4305" t="s">
        <v>343</v>
      </c>
    </row>
    <row r="4306" spans="2:5">
      <c r="B4306" t="s">
        <v>6539</v>
      </c>
      <c r="C4306">
        <v>512157</v>
      </c>
      <c r="D4306" t="s">
        <v>360</v>
      </c>
      <c r="E4306" t="s">
        <v>781</v>
      </c>
    </row>
    <row r="4307" spans="2:5">
      <c r="B4307" t="s">
        <v>6540</v>
      </c>
      <c r="C4307">
        <v>505400</v>
      </c>
      <c r="D4307" t="s">
        <v>6541</v>
      </c>
      <c r="E4307" t="s">
        <v>446</v>
      </c>
    </row>
    <row r="4308" spans="2:5">
      <c r="B4308" t="s">
        <v>6542</v>
      </c>
      <c r="C4308">
        <v>533326</v>
      </c>
      <c r="D4308" t="s">
        <v>6543</v>
      </c>
      <c r="E4308" t="s">
        <v>758</v>
      </c>
    </row>
    <row r="4309" spans="2:5">
      <c r="B4309" t="s">
        <v>6544</v>
      </c>
      <c r="C4309">
        <v>533164</v>
      </c>
      <c r="D4309" t="s">
        <v>6545</v>
      </c>
      <c r="E4309" t="s">
        <v>480</v>
      </c>
    </row>
    <row r="4310" spans="2:5">
      <c r="B4310" t="s">
        <v>6546</v>
      </c>
      <c r="C4310">
        <v>532845</v>
      </c>
      <c r="D4310" t="s">
        <v>6547</v>
      </c>
      <c r="E4310" t="s">
        <v>561</v>
      </c>
    </row>
    <row r="4311" spans="2:5">
      <c r="B4311" t="s">
        <v>6548</v>
      </c>
      <c r="C4311">
        <v>507753</v>
      </c>
      <c r="D4311" t="s">
        <v>360</v>
      </c>
      <c r="E4311" t="s">
        <v>408</v>
      </c>
    </row>
    <row r="4312" spans="2:5">
      <c r="B4312" t="s">
        <v>6549</v>
      </c>
      <c r="C4312">
        <v>509945</v>
      </c>
      <c r="D4312" t="s">
        <v>360</v>
      </c>
      <c r="E4312" t="s">
        <v>343</v>
      </c>
    </row>
    <row r="4313" spans="2:5">
      <c r="B4313" t="s">
        <v>6550</v>
      </c>
      <c r="C4313">
        <v>526654</v>
      </c>
      <c r="D4313" t="s">
        <v>360</v>
      </c>
      <c r="E4313" t="s">
        <v>446</v>
      </c>
    </row>
    <row r="4314" spans="2:5">
      <c r="B4314" t="s">
        <v>6551</v>
      </c>
      <c r="C4314">
        <v>509015</v>
      </c>
      <c r="D4314" t="s">
        <v>360</v>
      </c>
      <c r="E4314" t="s">
        <v>902</v>
      </c>
    </row>
    <row r="4315" spans="2:5">
      <c r="B4315" t="s">
        <v>6552</v>
      </c>
      <c r="C4315">
        <v>509015</v>
      </c>
      <c r="D4315" t="s">
        <v>360</v>
      </c>
      <c r="E4315" t="s">
        <v>902</v>
      </c>
    </row>
    <row r="4316" spans="2:5">
      <c r="B4316" t="s">
        <v>6553</v>
      </c>
      <c r="C4316">
        <v>514484</v>
      </c>
      <c r="D4316" t="s">
        <v>360</v>
      </c>
      <c r="E4316" t="s">
        <v>375</v>
      </c>
    </row>
    <row r="4317" spans="2:5">
      <c r="B4317" t="s">
        <v>6554</v>
      </c>
      <c r="C4317">
        <v>533158</v>
      </c>
      <c r="D4317" t="s">
        <v>6555</v>
      </c>
      <c r="E4317" t="s">
        <v>474</v>
      </c>
    </row>
    <row r="4318" spans="2:5">
      <c r="B4318" t="s">
        <v>6556</v>
      </c>
      <c r="C4318">
        <v>590062</v>
      </c>
      <c r="D4318" t="s">
        <v>6557</v>
      </c>
      <c r="E4318" t="s">
        <v>408</v>
      </c>
    </row>
    <row r="4319" spans="2:5">
      <c r="B4319" t="s">
        <v>6558</v>
      </c>
      <c r="C4319">
        <v>542460</v>
      </c>
      <c r="D4319" t="s">
        <v>6559</v>
      </c>
      <c r="E4319" t="s">
        <v>368</v>
      </c>
    </row>
    <row r="4320" spans="2:5">
      <c r="B4320" t="s">
        <v>6560</v>
      </c>
      <c r="C4320">
        <v>531373</v>
      </c>
      <c r="D4320" t="s">
        <v>6561</v>
      </c>
      <c r="E4320" t="s">
        <v>561</v>
      </c>
    </row>
    <row r="4321" spans="2:5">
      <c r="B4321" t="s">
        <v>6562</v>
      </c>
      <c r="C4321">
        <v>500469</v>
      </c>
      <c r="D4321" t="s">
        <v>6563</v>
      </c>
      <c r="E4321" t="s">
        <v>678</v>
      </c>
    </row>
    <row r="4322" spans="2:5">
      <c r="B4322" t="s">
        <v>6564</v>
      </c>
      <c r="C4322">
        <v>500620</v>
      </c>
      <c r="D4322" t="s">
        <v>6565</v>
      </c>
      <c r="E4322" t="s">
        <v>1607</v>
      </c>
    </row>
    <row r="4323" spans="2:5">
      <c r="B4323" t="s">
        <v>6566</v>
      </c>
      <c r="C4323" t="s">
        <v>360</v>
      </c>
      <c r="D4323" t="s">
        <v>6567</v>
      </c>
      <c r="E4323" t="s">
        <v>451</v>
      </c>
    </row>
    <row r="4324" spans="2:5">
      <c r="B4324" t="s">
        <v>6568</v>
      </c>
      <c r="C4324">
        <v>522073</v>
      </c>
      <c r="D4324" t="s">
        <v>6569</v>
      </c>
      <c r="E4324" t="s">
        <v>715</v>
      </c>
    </row>
    <row r="4325" spans="2:5">
      <c r="B4325" t="s">
        <v>6570</v>
      </c>
      <c r="C4325">
        <v>530005</v>
      </c>
      <c r="D4325" t="s">
        <v>6571</v>
      </c>
      <c r="E4325" t="s">
        <v>373</v>
      </c>
    </row>
    <row r="4326" spans="2:5">
      <c r="B4326" t="s">
        <v>6572</v>
      </c>
      <c r="C4326">
        <v>500850</v>
      </c>
      <c r="D4326" t="s">
        <v>6573</v>
      </c>
      <c r="E4326" t="s">
        <v>561</v>
      </c>
    </row>
    <row r="4327" spans="2:5">
      <c r="B4327" t="s">
        <v>6574</v>
      </c>
      <c r="C4327">
        <v>540954</v>
      </c>
      <c r="D4327" t="s">
        <v>360</v>
      </c>
      <c r="E4327" t="s">
        <v>855</v>
      </c>
    </row>
    <row r="4328" spans="2:5">
      <c r="B4328" t="s">
        <v>6575</v>
      </c>
      <c r="C4328">
        <v>530023</v>
      </c>
      <c r="D4328" t="s">
        <v>6576</v>
      </c>
      <c r="E4328" t="s">
        <v>377</v>
      </c>
    </row>
    <row r="4329" spans="2:5">
      <c r="B4329" t="s">
        <v>6577</v>
      </c>
      <c r="C4329">
        <v>530023</v>
      </c>
      <c r="D4329" t="s">
        <v>6576</v>
      </c>
      <c r="E4329" t="s">
        <v>377</v>
      </c>
    </row>
    <row r="4330" spans="2:5">
      <c r="B4330" t="s">
        <v>6578</v>
      </c>
      <c r="C4330">
        <v>532209</v>
      </c>
      <c r="D4330" t="s">
        <v>6579</v>
      </c>
      <c r="E4330" t="s">
        <v>678</v>
      </c>
    </row>
    <row r="4331" spans="2:5">
      <c r="B4331" t="s">
        <v>6580</v>
      </c>
      <c r="C4331">
        <v>532652</v>
      </c>
      <c r="D4331" t="s">
        <v>6581</v>
      </c>
      <c r="E4331" t="s">
        <v>678</v>
      </c>
    </row>
    <row r="4332" spans="2:5">
      <c r="B4332" t="s">
        <v>6582</v>
      </c>
      <c r="C4332">
        <v>540210</v>
      </c>
      <c r="D4332" t="s">
        <v>6583</v>
      </c>
      <c r="E4332" t="s">
        <v>361</v>
      </c>
    </row>
    <row r="4333" spans="2:5">
      <c r="B4333" t="s">
        <v>6584</v>
      </c>
      <c r="C4333">
        <v>501343</v>
      </c>
      <c r="D4333" t="s">
        <v>6585</v>
      </c>
      <c r="E4333" t="s">
        <v>377</v>
      </c>
    </row>
    <row r="4334" spans="2:5">
      <c r="B4334" t="s">
        <v>6586</v>
      </c>
      <c r="C4334">
        <v>540769</v>
      </c>
      <c r="D4334" t="s">
        <v>6587</v>
      </c>
      <c r="E4334" t="s">
        <v>2442</v>
      </c>
    </row>
    <row r="4335" spans="2:5">
      <c r="B4335" t="s">
        <v>6588</v>
      </c>
      <c r="C4335">
        <v>590086</v>
      </c>
      <c r="D4335" t="s">
        <v>6589</v>
      </c>
      <c r="E4335" t="s">
        <v>340</v>
      </c>
    </row>
    <row r="4336" spans="2:5">
      <c r="B4336" t="s">
        <v>6590</v>
      </c>
      <c r="C4336" t="s">
        <v>360</v>
      </c>
      <c r="D4336" t="s">
        <v>6591</v>
      </c>
      <c r="E4336" t="s">
        <v>451</v>
      </c>
    </row>
    <row r="4337" spans="2:5">
      <c r="B4337" t="s">
        <v>6592</v>
      </c>
      <c r="C4337">
        <v>503100</v>
      </c>
      <c r="D4337" t="s">
        <v>6593</v>
      </c>
      <c r="E4337" t="s">
        <v>446</v>
      </c>
    </row>
    <row r="4338" spans="2:5">
      <c r="B4338" t="s">
        <v>6594</v>
      </c>
      <c r="C4338">
        <v>542123</v>
      </c>
      <c r="D4338" t="s">
        <v>360</v>
      </c>
      <c r="E4338" t="s">
        <v>868</v>
      </c>
    </row>
    <row r="4339" spans="2:5">
      <c r="B4339" t="s">
        <v>6595</v>
      </c>
      <c r="C4339">
        <v>500260</v>
      </c>
      <c r="D4339" t="s">
        <v>6596</v>
      </c>
      <c r="E4339" t="s">
        <v>373</v>
      </c>
    </row>
    <row r="4340" spans="2:5">
      <c r="B4340" t="s">
        <v>6597</v>
      </c>
      <c r="C4340">
        <v>503169</v>
      </c>
      <c r="D4340" t="s">
        <v>6598</v>
      </c>
      <c r="E4340" t="s">
        <v>375</v>
      </c>
    </row>
    <row r="4341" spans="2:5">
      <c r="B4341" t="s">
        <v>6599</v>
      </c>
      <c r="C4341">
        <v>526725</v>
      </c>
      <c r="D4341" t="s">
        <v>6600</v>
      </c>
      <c r="E4341" t="s">
        <v>884</v>
      </c>
    </row>
    <row r="4342" spans="2:5">
      <c r="B4342" t="s">
        <v>6601</v>
      </c>
      <c r="C4342">
        <v>532218</v>
      </c>
      <c r="D4342" t="s">
        <v>6602</v>
      </c>
      <c r="E4342" t="s">
        <v>678</v>
      </c>
    </row>
    <row r="4343" spans="2:5">
      <c r="B4343" t="s">
        <v>6603</v>
      </c>
      <c r="C4343">
        <v>512531</v>
      </c>
      <c r="D4343" t="s">
        <v>6604</v>
      </c>
      <c r="E4343" t="s">
        <v>382</v>
      </c>
    </row>
    <row r="4344" spans="2:5">
      <c r="B4344" t="s">
        <v>6605</v>
      </c>
      <c r="C4344">
        <v>512531</v>
      </c>
      <c r="D4344" t="s">
        <v>6606</v>
      </c>
      <c r="E4344" t="s">
        <v>382</v>
      </c>
    </row>
    <row r="4345" spans="2:5">
      <c r="B4345" t="s">
        <v>6607</v>
      </c>
      <c r="C4345">
        <v>504966</v>
      </c>
      <c r="D4345" t="s">
        <v>6608</v>
      </c>
      <c r="E4345" t="s">
        <v>555</v>
      </c>
    </row>
    <row r="4346" spans="2:5">
      <c r="B4346" t="s">
        <v>6609</v>
      </c>
      <c r="C4346">
        <v>504966</v>
      </c>
      <c r="D4346" t="s">
        <v>6608</v>
      </c>
      <c r="E4346" t="s">
        <v>555</v>
      </c>
    </row>
    <row r="4347" spans="2:5">
      <c r="B4347" t="s">
        <v>6610</v>
      </c>
      <c r="C4347">
        <v>530363</v>
      </c>
      <c r="D4347" t="s">
        <v>6611</v>
      </c>
      <c r="E4347" t="s">
        <v>1058</v>
      </c>
    </row>
    <row r="4348" spans="2:5">
      <c r="B4348" t="s">
        <v>6612</v>
      </c>
      <c r="C4348" t="s">
        <v>360</v>
      </c>
      <c r="D4348" t="s">
        <v>6613</v>
      </c>
      <c r="E4348" t="s">
        <v>451</v>
      </c>
    </row>
    <row r="4349" spans="2:5">
      <c r="B4349" t="s">
        <v>6614</v>
      </c>
      <c r="C4349" t="s">
        <v>360</v>
      </c>
      <c r="D4349" t="s">
        <v>6615</v>
      </c>
      <c r="E4349" t="s">
        <v>451</v>
      </c>
    </row>
    <row r="4350" spans="2:5">
      <c r="B4350" t="s">
        <v>6616</v>
      </c>
      <c r="C4350">
        <v>540980</v>
      </c>
      <c r="D4350" t="s">
        <v>360</v>
      </c>
      <c r="E4350" t="s">
        <v>382</v>
      </c>
    </row>
    <row r="4351" spans="2:5">
      <c r="B4351" t="s">
        <v>6617</v>
      </c>
      <c r="C4351" t="s">
        <v>360</v>
      </c>
      <c r="D4351" t="s">
        <v>6618</v>
      </c>
      <c r="E4351" t="s">
        <v>371</v>
      </c>
    </row>
    <row r="4352" spans="2:5">
      <c r="B4352" t="s">
        <v>6619</v>
      </c>
      <c r="C4352">
        <v>530199</v>
      </c>
      <c r="D4352" t="s">
        <v>6620</v>
      </c>
      <c r="E4352" t="s">
        <v>398</v>
      </c>
    </row>
    <row r="4353" spans="2:5">
      <c r="B4353" t="s">
        <v>6621</v>
      </c>
      <c r="C4353">
        <v>500411</v>
      </c>
      <c r="D4353" t="s">
        <v>6622</v>
      </c>
      <c r="E4353" t="s">
        <v>403</v>
      </c>
    </row>
    <row r="4354" spans="2:5">
      <c r="B4354" t="s">
        <v>6623</v>
      </c>
      <c r="C4354">
        <v>539310</v>
      </c>
      <c r="D4354" t="s">
        <v>360</v>
      </c>
      <c r="E4354" t="s">
        <v>1962</v>
      </c>
    </row>
    <row r="4355" spans="2:5">
      <c r="B4355" t="s">
        <v>6624</v>
      </c>
      <c r="C4355">
        <v>538464</v>
      </c>
      <c r="D4355" t="s">
        <v>360</v>
      </c>
      <c r="E4355" t="s">
        <v>377</v>
      </c>
    </row>
    <row r="4356" spans="2:5">
      <c r="B4356" t="s">
        <v>6625</v>
      </c>
      <c r="C4356">
        <v>531652</v>
      </c>
      <c r="D4356" t="s">
        <v>360</v>
      </c>
      <c r="E4356" t="s">
        <v>377</v>
      </c>
    </row>
    <row r="4357" spans="2:5">
      <c r="B4357" t="s">
        <v>6626</v>
      </c>
      <c r="C4357">
        <v>507450</v>
      </c>
      <c r="D4357" t="s">
        <v>6627</v>
      </c>
      <c r="E4357" t="s">
        <v>1058</v>
      </c>
    </row>
    <row r="4358" spans="2:5">
      <c r="B4358" t="s">
        <v>6628</v>
      </c>
      <c r="C4358">
        <v>500412</v>
      </c>
      <c r="D4358" t="s">
        <v>6629</v>
      </c>
      <c r="E4358" t="s">
        <v>408</v>
      </c>
    </row>
    <row r="4359" spans="2:5">
      <c r="B4359" t="s">
        <v>6630</v>
      </c>
      <c r="C4359">
        <v>500413</v>
      </c>
      <c r="D4359" t="s">
        <v>6631</v>
      </c>
      <c r="E4359" t="s">
        <v>1362</v>
      </c>
    </row>
    <row r="4360" spans="2:5">
      <c r="B4360" t="s">
        <v>6632</v>
      </c>
      <c r="C4360">
        <v>500413</v>
      </c>
      <c r="D4360" t="s">
        <v>6631</v>
      </c>
      <c r="E4360" t="s">
        <v>1362</v>
      </c>
    </row>
    <row r="4361" spans="2:5">
      <c r="B4361" t="s">
        <v>6633</v>
      </c>
      <c r="C4361">
        <v>533941</v>
      </c>
      <c r="D4361" t="s">
        <v>6634</v>
      </c>
      <c r="E4361" t="s">
        <v>474</v>
      </c>
    </row>
    <row r="4362" spans="2:5">
      <c r="B4362" t="s">
        <v>6635</v>
      </c>
      <c r="C4362">
        <v>533941</v>
      </c>
      <c r="D4362" t="s">
        <v>6634</v>
      </c>
      <c r="E4362" t="s">
        <v>474</v>
      </c>
    </row>
    <row r="4363" spans="2:5">
      <c r="B4363" t="s">
        <v>6636</v>
      </c>
      <c r="C4363">
        <v>539871</v>
      </c>
      <c r="D4363" t="s">
        <v>6637</v>
      </c>
      <c r="E4363" t="s">
        <v>549</v>
      </c>
    </row>
    <row r="4364" spans="2:5">
      <c r="B4364" t="s">
        <v>6638</v>
      </c>
      <c r="C4364">
        <v>504973</v>
      </c>
      <c r="D4364" t="s">
        <v>6639</v>
      </c>
      <c r="E4364" t="s">
        <v>715</v>
      </c>
    </row>
    <row r="4365" spans="2:5">
      <c r="B4365" t="s">
        <v>6640</v>
      </c>
      <c r="C4365">
        <v>540108</v>
      </c>
      <c r="D4365" t="s">
        <v>360</v>
      </c>
      <c r="E4365" t="s">
        <v>343</v>
      </c>
    </row>
    <row r="4366" spans="2:5">
      <c r="B4366" t="s">
        <v>6641</v>
      </c>
      <c r="C4366">
        <v>590005</v>
      </c>
      <c r="D4366" t="s">
        <v>6642</v>
      </c>
      <c r="E4366" t="s">
        <v>570</v>
      </c>
    </row>
    <row r="4367" spans="2:5">
      <c r="B4367" t="s">
        <v>6643</v>
      </c>
      <c r="C4367">
        <v>590005</v>
      </c>
      <c r="D4367" t="s">
        <v>6642</v>
      </c>
      <c r="E4367" t="s">
        <v>570</v>
      </c>
    </row>
    <row r="4368" spans="2:5">
      <c r="B4368" t="s">
        <v>6644</v>
      </c>
      <c r="C4368">
        <v>536264</v>
      </c>
      <c r="D4368" t="s">
        <v>360</v>
      </c>
      <c r="E4368" t="s">
        <v>681</v>
      </c>
    </row>
    <row r="4369" spans="2:5">
      <c r="B4369" t="s">
        <v>6645</v>
      </c>
      <c r="C4369">
        <v>536264</v>
      </c>
      <c r="D4369" t="s">
        <v>360</v>
      </c>
      <c r="E4369" t="s">
        <v>681</v>
      </c>
    </row>
    <row r="4370" spans="2:5">
      <c r="B4370" t="s">
        <v>6646</v>
      </c>
      <c r="C4370">
        <v>533629</v>
      </c>
      <c r="D4370" t="s">
        <v>6647</v>
      </c>
      <c r="E4370" t="s">
        <v>480</v>
      </c>
    </row>
    <row r="4371" spans="2:5">
      <c r="B4371" t="s">
        <v>6648</v>
      </c>
      <c r="C4371">
        <v>505196</v>
      </c>
      <c r="D4371" t="s">
        <v>6649</v>
      </c>
      <c r="E4371" t="s">
        <v>483</v>
      </c>
    </row>
    <row r="4372" spans="2:5">
      <c r="B4372" t="s">
        <v>6650</v>
      </c>
      <c r="C4372">
        <v>503663</v>
      </c>
      <c r="D4372" t="s">
        <v>6651</v>
      </c>
      <c r="E4372" t="s">
        <v>380</v>
      </c>
    </row>
    <row r="4373" spans="2:5">
      <c r="B4373" t="s">
        <v>6652</v>
      </c>
      <c r="C4373">
        <v>507205</v>
      </c>
      <c r="D4373" t="s">
        <v>6653</v>
      </c>
      <c r="E4373" t="s">
        <v>991</v>
      </c>
    </row>
    <row r="4374" spans="2:5">
      <c r="B4374" t="s">
        <v>6654</v>
      </c>
      <c r="C4374">
        <v>532856</v>
      </c>
      <c r="D4374" t="s">
        <v>6655</v>
      </c>
      <c r="E4374" t="s">
        <v>480</v>
      </c>
    </row>
    <row r="4375" spans="2:5">
      <c r="B4375" t="s">
        <v>6656</v>
      </c>
      <c r="C4375">
        <v>511559</v>
      </c>
      <c r="D4375" t="s">
        <v>6657</v>
      </c>
      <c r="E4375" t="s">
        <v>377</v>
      </c>
    </row>
    <row r="4376" spans="2:5">
      <c r="B4376" t="s">
        <v>6658</v>
      </c>
      <c r="C4376">
        <v>500414</v>
      </c>
      <c r="D4376" t="s">
        <v>360</v>
      </c>
      <c r="E4376" t="s">
        <v>474</v>
      </c>
    </row>
    <row r="4377" spans="2:5">
      <c r="B4377" t="s">
        <v>6659</v>
      </c>
      <c r="C4377">
        <v>500414</v>
      </c>
      <c r="D4377" t="s">
        <v>360</v>
      </c>
      <c r="E4377" t="s">
        <v>474</v>
      </c>
    </row>
    <row r="4378" spans="2:5">
      <c r="B4378" t="s">
        <v>6660</v>
      </c>
      <c r="C4378">
        <v>522113</v>
      </c>
      <c r="D4378" t="s">
        <v>6661</v>
      </c>
      <c r="E4378" t="s">
        <v>368</v>
      </c>
    </row>
    <row r="4379" spans="2:5">
      <c r="B4379" t="s">
        <v>6662</v>
      </c>
      <c r="C4379">
        <v>522113</v>
      </c>
      <c r="D4379" t="s">
        <v>6661</v>
      </c>
      <c r="E4379" t="s">
        <v>368</v>
      </c>
    </row>
    <row r="4380" spans="2:5">
      <c r="B4380" t="s">
        <v>6663</v>
      </c>
      <c r="C4380">
        <v>530475</v>
      </c>
      <c r="D4380" t="s">
        <v>360</v>
      </c>
      <c r="E4380" t="s">
        <v>520</v>
      </c>
    </row>
    <row r="4381" spans="2:5">
      <c r="B4381" t="s">
        <v>6664</v>
      </c>
      <c r="C4381">
        <v>541741</v>
      </c>
      <c r="D4381" t="s">
        <v>360</v>
      </c>
      <c r="E4381" t="s">
        <v>382</v>
      </c>
    </row>
    <row r="4382" spans="2:5">
      <c r="B4382" t="s">
        <v>6665</v>
      </c>
      <c r="C4382">
        <v>532375</v>
      </c>
      <c r="D4382" t="s">
        <v>6666</v>
      </c>
      <c r="E4382" t="s">
        <v>363</v>
      </c>
    </row>
    <row r="4383" spans="2:5">
      <c r="B4383" t="s">
        <v>6667</v>
      </c>
      <c r="C4383">
        <v>539488</v>
      </c>
      <c r="D4383" t="s">
        <v>360</v>
      </c>
      <c r="E4383" t="s">
        <v>380</v>
      </c>
    </row>
    <row r="4384" spans="2:5">
      <c r="B4384" t="s">
        <v>6668</v>
      </c>
      <c r="C4384">
        <v>540904</v>
      </c>
      <c r="D4384" t="s">
        <v>360</v>
      </c>
      <c r="E4384" t="s">
        <v>637</v>
      </c>
    </row>
    <row r="4385" spans="2:5">
      <c r="B4385" t="s">
        <v>6669</v>
      </c>
      <c r="C4385" t="s">
        <v>360</v>
      </c>
      <c r="D4385" t="s">
        <v>6670</v>
      </c>
      <c r="E4385" t="s">
        <v>371</v>
      </c>
    </row>
    <row r="4386" spans="2:5">
      <c r="B4386" t="s">
        <v>6671</v>
      </c>
      <c r="C4386">
        <v>531547</v>
      </c>
      <c r="D4386" t="s">
        <v>360</v>
      </c>
      <c r="E4386" t="s">
        <v>558</v>
      </c>
    </row>
    <row r="4387" spans="2:5">
      <c r="B4387" t="s">
        <v>6672</v>
      </c>
      <c r="C4387">
        <v>531547</v>
      </c>
      <c r="D4387" t="s">
        <v>360</v>
      </c>
      <c r="E4387" t="s">
        <v>558</v>
      </c>
    </row>
    <row r="4388" spans="2:5">
      <c r="B4388" t="s">
        <v>6673</v>
      </c>
      <c r="C4388">
        <v>531814</v>
      </c>
      <c r="D4388" t="s">
        <v>360</v>
      </c>
      <c r="E4388" t="s">
        <v>446</v>
      </c>
    </row>
    <row r="4389" spans="2:5">
      <c r="B4389" t="s">
        <v>6674</v>
      </c>
      <c r="C4389">
        <v>524582</v>
      </c>
      <c r="D4389" t="s">
        <v>360</v>
      </c>
      <c r="E4389" t="s">
        <v>440</v>
      </c>
    </row>
    <row r="4390" spans="2:5">
      <c r="B4390" t="s">
        <v>6675</v>
      </c>
      <c r="C4390">
        <v>539040</v>
      </c>
      <c r="D4390" t="s">
        <v>360</v>
      </c>
      <c r="E4390" t="s">
        <v>840</v>
      </c>
    </row>
    <row r="4391" spans="2:5">
      <c r="B4391" t="s">
        <v>6676</v>
      </c>
      <c r="C4391">
        <v>539985</v>
      </c>
      <c r="D4391" t="s">
        <v>360</v>
      </c>
      <c r="E4391" t="s">
        <v>375</v>
      </c>
    </row>
    <row r="4392" spans="2:5">
      <c r="B4392" t="s">
        <v>6677</v>
      </c>
      <c r="C4392">
        <v>532966</v>
      </c>
      <c r="D4392" t="s">
        <v>6678</v>
      </c>
      <c r="E4392" t="s">
        <v>438</v>
      </c>
    </row>
    <row r="4393" spans="2:5">
      <c r="B4393" t="s">
        <v>6679</v>
      </c>
      <c r="C4393">
        <v>524717</v>
      </c>
      <c r="D4393" t="s">
        <v>360</v>
      </c>
      <c r="E4393" t="s">
        <v>520</v>
      </c>
    </row>
    <row r="4394" spans="2:5">
      <c r="B4394" t="s">
        <v>6680</v>
      </c>
      <c r="C4394">
        <v>500114</v>
      </c>
      <c r="D4394" t="s">
        <v>6681</v>
      </c>
      <c r="E4394" t="s">
        <v>474</v>
      </c>
    </row>
    <row r="4395" spans="2:5">
      <c r="B4395" t="s">
        <v>6682</v>
      </c>
      <c r="C4395">
        <v>530045</v>
      </c>
      <c r="D4395" t="s">
        <v>360</v>
      </c>
      <c r="E4395" t="s">
        <v>377</v>
      </c>
    </row>
    <row r="4396" spans="2:5">
      <c r="B4396" t="s">
        <v>6683</v>
      </c>
      <c r="C4396">
        <v>511096</v>
      </c>
      <c r="D4396" t="s">
        <v>360</v>
      </c>
      <c r="E4396" t="s">
        <v>446</v>
      </c>
    </row>
    <row r="4397" spans="2:5">
      <c r="B4397" t="s">
        <v>6684</v>
      </c>
      <c r="C4397">
        <v>531830</v>
      </c>
      <c r="D4397" t="s">
        <v>6685</v>
      </c>
      <c r="E4397" t="s">
        <v>906</v>
      </c>
    </row>
    <row r="4398" spans="2:5">
      <c r="B4398" t="s">
        <v>6686</v>
      </c>
      <c r="C4398">
        <v>531644</v>
      </c>
      <c r="D4398" t="s">
        <v>360</v>
      </c>
      <c r="E4398" t="s">
        <v>377</v>
      </c>
    </row>
    <row r="4399" spans="2:5">
      <c r="B4399" t="s">
        <v>6687</v>
      </c>
      <c r="C4399">
        <v>500418</v>
      </c>
      <c r="D4399" t="s">
        <v>6688</v>
      </c>
      <c r="E4399" t="s">
        <v>480</v>
      </c>
    </row>
    <row r="4400" spans="2:5">
      <c r="B4400" t="s">
        <v>6689</v>
      </c>
      <c r="C4400">
        <v>500420</v>
      </c>
      <c r="D4400" t="s">
        <v>6690</v>
      </c>
      <c r="E4400" t="s">
        <v>398</v>
      </c>
    </row>
    <row r="4401" spans="2:5">
      <c r="B4401" t="s">
        <v>6691</v>
      </c>
      <c r="C4401">
        <v>532779</v>
      </c>
      <c r="D4401" t="s">
        <v>6692</v>
      </c>
      <c r="E4401" t="s">
        <v>499</v>
      </c>
    </row>
    <row r="4402" spans="2:5">
      <c r="B4402" t="s">
        <v>6693</v>
      </c>
      <c r="C4402">
        <v>523878</v>
      </c>
      <c r="D4402" t="s">
        <v>360</v>
      </c>
      <c r="E4402" t="s">
        <v>685</v>
      </c>
    </row>
    <row r="4403" spans="2:5">
      <c r="B4403" t="s">
        <v>6694</v>
      </c>
      <c r="C4403" t="s">
        <v>360</v>
      </c>
      <c r="D4403" t="s">
        <v>6695</v>
      </c>
      <c r="E4403" t="s">
        <v>371</v>
      </c>
    </row>
    <row r="4404" spans="2:5">
      <c r="B4404" t="s">
        <v>6696</v>
      </c>
      <c r="C4404" t="s">
        <v>360</v>
      </c>
      <c r="D4404" t="s">
        <v>6697</v>
      </c>
      <c r="E4404" t="s">
        <v>371</v>
      </c>
    </row>
    <row r="4405" spans="2:5">
      <c r="B4405" t="s">
        <v>6698</v>
      </c>
      <c r="C4405">
        <v>526650</v>
      </c>
      <c r="D4405" t="s">
        <v>6699</v>
      </c>
      <c r="E4405" t="s">
        <v>2692</v>
      </c>
    </row>
    <row r="4406" spans="2:5">
      <c r="B4406" t="s">
        <v>6700</v>
      </c>
      <c r="C4406">
        <v>526650</v>
      </c>
      <c r="D4406" t="s">
        <v>6699</v>
      </c>
      <c r="E4406" t="s">
        <v>2692</v>
      </c>
    </row>
    <row r="4407" spans="2:5">
      <c r="B4407" t="s">
        <v>6701</v>
      </c>
      <c r="C4407">
        <v>531771</v>
      </c>
      <c r="D4407" t="s">
        <v>360</v>
      </c>
      <c r="E4407" t="s">
        <v>658</v>
      </c>
    </row>
    <row r="4408" spans="2:5">
      <c r="B4408" t="s">
        <v>6702</v>
      </c>
      <c r="C4408">
        <v>538607</v>
      </c>
      <c r="D4408" t="s">
        <v>360</v>
      </c>
      <c r="E4408" t="s">
        <v>343</v>
      </c>
    </row>
    <row r="4409" spans="2:5">
      <c r="B4409" t="s">
        <v>6703</v>
      </c>
      <c r="C4409">
        <v>500421</v>
      </c>
      <c r="D4409" t="s">
        <v>360</v>
      </c>
      <c r="E4409" t="s">
        <v>555</v>
      </c>
    </row>
    <row r="4410" spans="2:5">
      <c r="B4410" t="s">
        <v>6704</v>
      </c>
      <c r="C4410">
        <v>500421</v>
      </c>
      <c r="D4410" t="s">
        <v>360</v>
      </c>
      <c r="E4410" t="s">
        <v>555</v>
      </c>
    </row>
    <row r="4411" spans="2:5">
      <c r="B4411" t="s">
        <v>6705</v>
      </c>
      <c r="C4411">
        <v>526582</v>
      </c>
      <c r="D4411" t="s">
        <v>6706</v>
      </c>
      <c r="E4411" t="s">
        <v>480</v>
      </c>
    </row>
    <row r="4412" spans="2:5">
      <c r="B4412" t="s">
        <v>6707</v>
      </c>
      <c r="C4412">
        <v>509953</v>
      </c>
      <c r="D4412" t="s">
        <v>360</v>
      </c>
      <c r="E4412" t="s">
        <v>1362</v>
      </c>
    </row>
    <row r="4413" spans="2:5">
      <c r="B4413" t="s">
        <v>6708</v>
      </c>
      <c r="C4413">
        <v>530783</v>
      </c>
      <c r="D4413" t="s">
        <v>360</v>
      </c>
      <c r="E4413" t="s">
        <v>398</v>
      </c>
    </row>
    <row r="4414" spans="2:5">
      <c r="B4414" t="s">
        <v>6709</v>
      </c>
      <c r="C4414">
        <v>526961</v>
      </c>
      <c r="D4414" t="s">
        <v>6710</v>
      </c>
      <c r="E4414" t="s">
        <v>377</v>
      </c>
    </row>
    <row r="4415" spans="2:5">
      <c r="B4415" t="s">
        <v>6711</v>
      </c>
      <c r="C4415">
        <v>500422</v>
      </c>
      <c r="D4415" t="s">
        <v>360</v>
      </c>
      <c r="E4415" t="s">
        <v>398</v>
      </c>
    </row>
    <row r="4416" spans="2:5">
      <c r="B4416" t="s">
        <v>6712</v>
      </c>
      <c r="C4416">
        <v>532410</v>
      </c>
      <c r="D4416" t="s">
        <v>360</v>
      </c>
      <c r="E4416" t="s">
        <v>343</v>
      </c>
    </row>
    <row r="4417" spans="2:5">
      <c r="B4417" t="s">
        <v>6713</v>
      </c>
      <c r="C4417">
        <v>532928</v>
      </c>
      <c r="D4417" t="s">
        <v>6714</v>
      </c>
      <c r="E4417" t="s">
        <v>403</v>
      </c>
    </row>
    <row r="4418" spans="2:5">
      <c r="B4418" t="s">
        <v>6715</v>
      </c>
      <c r="C4418">
        <v>532928</v>
      </c>
      <c r="D4418" t="s">
        <v>6714</v>
      </c>
      <c r="E4418" t="s">
        <v>403</v>
      </c>
    </row>
    <row r="4419" spans="2:5">
      <c r="B4419" t="s">
        <v>6716</v>
      </c>
      <c r="C4419">
        <v>513063</v>
      </c>
      <c r="D4419" t="s">
        <v>360</v>
      </c>
      <c r="E4419" t="s">
        <v>683</v>
      </c>
    </row>
    <row r="4420" spans="2:5">
      <c r="B4420" t="s">
        <v>6717</v>
      </c>
      <c r="C4420">
        <v>526139</v>
      </c>
      <c r="D4420" t="s">
        <v>360</v>
      </c>
      <c r="E4420" t="s">
        <v>549</v>
      </c>
    </row>
    <row r="4421" spans="2:5">
      <c r="B4421" t="s">
        <v>6718</v>
      </c>
      <c r="C4421">
        <v>519367</v>
      </c>
      <c r="D4421" t="s">
        <v>360</v>
      </c>
      <c r="E4421" t="s">
        <v>795</v>
      </c>
    </row>
    <row r="4422" spans="2:5">
      <c r="B4422" t="s">
        <v>6719</v>
      </c>
      <c r="C4422">
        <v>509003</v>
      </c>
      <c r="D4422" t="s">
        <v>360</v>
      </c>
      <c r="E4422" t="s">
        <v>781</v>
      </c>
    </row>
    <row r="4423" spans="2:5">
      <c r="B4423" t="s">
        <v>6720</v>
      </c>
      <c r="C4423">
        <v>506687</v>
      </c>
      <c r="D4423" t="s">
        <v>360</v>
      </c>
      <c r="E4423" t="s">
        <v>408</v>
      </c>
    </row>
    <row r="4424" spans="2:5">
      <c r="B4424" t="s">
        <v>6721</v>
      </c>
      <c r="C4424">
        <v>532349</v>
      </c>
      <c r="D4424" t="s">
        <v>6722</v>
      </c>
      <c r="E4424" t="s">
        <v>432</v>
      </c>
    </row>
    <row r="4425" spans="2:5">
      <c r="B4425" t="s">
        <v>6723</v>
      </c>
      <c r="C4425">
        <v>532349</v>
      </c>
      <c r="D4425" t="s">
        <v>6722</v>
      </c>
      <c r="E4425" t="s">
        <v>432</v>
      </c>
    </row>
    <row r="4426" spans="2:5">
      <c r="B4426" t="s">
        <v>6724</v>
      </c>
      <c r="C4426">
        <v>532812</v>
      </c>
      <c r="D4426" t="s">
        <v>6725</v>
      </c>
      <c r="E4426" t="s">
        <v>377</v>
      </c>
    </row>
    <row r="4427" spans="2:5">
      <c r="B4427" t="s">
        <v>6726</v>
      </c>
      <c r="C4427" t="s">
        <v>360</v>
      </c>
      <c r="D4427" t="s">
        <v>6727</v>
      </c>
      <c r="E4427" t="s">
        <v>371</v>
      </c>
    </row>
    <row r="4428" spans="2:5">
      <c r="B4428" t="s">
        <v>6728</v>
      </c>
      <c r="C4428">
        <v>533540</v>
      </c>
      <c r="D4428" t="s">
        <v>6729</v>
      </c>
      <c r="E4428" t="s">
        <v>465</v>
      </c>
    </row>
    <row r="4429" spans="2:5">
      <c r="B4429" t="s">
        <v>6730</v>
      </c>
      <c r="C4429">
        <v>542233</v>
      </c>
      <c r="D4429" t="s">
        <v>6731</v>
      </c>
      <c r="E4429" t="s">
        <v>1556</v>
      </c>
    </row>
    <row r="4430" spans="2:5">
      <c r="B4430" t="s">
        <v>6732</v>
      </c>
      <c r="C4430">
        <v>500251</v>
      </c>
      <c r="D4430" t="s">
        <v>6733</v>
      </c>
      <c r="E4430" t="s">
        <v>361</v>
      </c>
    </row>
    <row r="4431" spans="2:5">
      <c r="B4431" t="s">
        <v>6734</v>
      </c>
      <c r="C4431">
        <v>532159</v>
      </c>
      <c r="D4431" t="s">
        <v>360</v>
      </c>
      <c r="E4431" t="s">
        <v>343</v>
      </c>
    </row>
    <row r="4432" spans="2:5">
      <c r="B4432" t="s">
        <v>6735</v>
      </c>
      <c r="C4432">
        <v>505854</v>
      </c>
      <c r="D4432" t="s">
        <v>6736</v>
      </c>
      <c r="E4432" t="s">
        <v>368</v>
      </c>
    </row>
    <row r="4433" spans="2:5">
      <c r="B4433" t="s">
        <v>6737</v>
      </c>
      <c r="C4433">
        <v>534369</v>
      </c>
      <c r="D4433" t="s">
        <v>6738</v>
      </c>
      <c r="E4433" t="s">
        <v>474</v>
      </c>
    </row>
    <row r="4434" spans="2:5">
      <c r="B4434" t="s">
        <v>6739</v>
      </c>
      <c r="C4434">
        <v>531716</v>
      </c>
      <c r="D4434" t="s">
        <v>360</v>
      </c>
      <c r="E4434" t="s">
        <v>440</v>
      </c>
    </row>
    <row r="4435" spans="2:5">
      <c r="B4435" t="s">
        <v>6740</v>
      </c>
      <c r="C4435">
        <v>521064</v>
      </c>
      <c r="D4435" t="s">
        <v>6741</v>
      </c>
      <c r="E4435" t="s">
        <v>375</v>
      </c>
    </row>
    <row r="4436" spans="2:5">
      <c r="B4436" t="s">
        <v>6742</v>
      </c>
      <c r="C4436">
        <v>540726</v>
      </c>
      <c r="D4436" t="s">
        <v>360</v>
      </c>
      <c r="E4436" t="s">
        <v>382</v>
      </c>
    </row>
    <row r="4437" spans="2:5">
      <c r="B4437" t="s">
        <v>6743</v>
      </c>
      <c r="C4437">
        <v>531972</v>
      </c>
      <c r="D4437" t="s">
        <v>360</v>
      </c>
      <c r="E4437" t="s">
        <v>545</v>
      </c>
    </row>
    <row r="4438" spans="2:5">
      <c r="B4438" t="s">
        <v>6744</v>
      </c>
      <c r="C4438">
        <v>517562</v>
      </c>
      <c r="D4438" t="s">
        <v>6745</v>
      </c>
      <c r="E4438" t="s">
        <v>346</v>
      </c>
    </row>
    <row r="4439" spans="2:5">
      <c r="B4439" t="s">
        <v>6746</v>
      </c>
      <c r="C4439">
        <v>531658</v>
      </c>
      <c r="D4439" t="s">
        <v>360</v>
      </c>
      <c r="E4439" t="s">
        <v>377</v>
      </c>
    </row>
    <row r="4440" spans="2:5">
      <c r="B4440" t="s">
        <v>6747</v>
      </c>
      <c r="C4440">
        <v>536565</v>
      </c>
      <c r="D4440" t="s">
        <v>360</v>
      </c>
      <c r="E4440" t="s">
        <v>6748</v>
      </c>
    </row>
    <row r="4441" spans="2:5">
      <c r="B4441" t="s">
        <v>6749</v>
      </c>
      <c r="C4441">
        <v>531846</v>
      </c>
      <c r="D4441" t="s">
        <v>360</v>
      </c>
      <c r="E4441" t="s">
        <v>343</v>
      </c>
    </row>
    <row r="4442" spans="2:5">
      <c r="B4442" t="s">
        <v>6750</v>
      </c>
      <c r="C4442">
        <v>531846</v>
      </c>
      <c r="D4442" t="s">
        <v>360</v>
      </c>
      <c r="E4442" t="s">
        <v>343</v>
      </c>
    </row>
    <row r="4443" spans="2:5">
      <c r="B4443" t="s">
        <v>6751</v>
      </c>
      <c r="C4443">
        <v>534755</v>
      </c>
      <c r="D4443" t="s">
        <v>6752</v>
      </c>
      <c r="E4443" t="s">
        <v>343</v>
      </c>
    </row>
    <row r="4444" spans="2:5">
      <c r="B4444" t="s">
        <v>6753</v>
      </c>
      <c r="C4444">
        <v>512101</v>
      </c>
      <c r="D4444" t="s">
        <v>360</v>
      </c>
      <c r="E4444" t="s">
        <v>398</v>
      </c>
    </row>
    <row r="4445" spans="2:5">
      <c r="B4445" t="s">
        <v>6754</v>
      </c>
      <c r="C4445">
        <v>531279</v>
      </c>
      <c r="D4445" t="s">
        <v>360</v>
      </c>
      <c r="E4445" t="s">
        <v>377</v>
      </c>
    </row>
    <row r="4446" spans="2:5">
      <c r="B4446" t="s">
        <v>6755</v>
      </c>
      <c r="C4446">
        <v>523387</v>
      </c>
      <c r="D4446" t="s">
        <v>360</v>
      </c>
      <c r="E4446" t="s">
        <v>474</v>
      </c>
    </row>
    <row r="4447" spans="2:5">
      <c r="B4447" t="s">
        <v>6756</v>
      </c>
      <c r="C4447">
        <v>505978</v>
      </c>
      <c r="D4447" t="s">
        <v>360</v>
      </c>
      <c r="E4447" t="s">
        <v>715</v>
      </c>
    </row>
    <row r="4448" spans="2:5">
      <c r="B4448" t="s">
        <v>6757</v>
      </c>
      <c r="C4448">
        <v>532356</v>
      </c>
      <c r="D4448" t="s">
        <v>6758</v>
      </c>
      <c r="E4448" t="s">
        <v>1058</v>
      </c>
    </row>
    <row r="4449" spans="2:5">
      <c r="B4449" t="s">
        <v>6759</v>
      </c>
      <c r="C4449">
        <v>538569</v>
      </c>
      <c r="D4449" t="s">
        <v>6760</v>
      </c>
      <c r="E4449" t="s">
        <v>726</v>
      </c>
    </row>
    <row r="4450" spans="2:5">
      <c r="B4450" t="s">
        <v>6761</v>
      </c>
      <c r="C4450">
        <v>502281</v>
      </c>
      <c r="D4450" t="s">
        <v>360</v>
      </c>
      <c r="E4450" t="s">
        <v>888</v>
      </c>
    </row>
    <row r="4451" spans="2:5">
      <c r="B4451" t="s">
        <v>6762</v>
      </c>
      <c r="C4451">
        <v>533655</v>
      </c>
      <c r="D4451" t="s">
        <v>6763</v>
      </c>
      <c r="E4451" t="s">
        <v>403</v>
      </c>
    </row>
    <row r="4452" spans="2:5">
      <c r="B4452" t="s">
        <v>6764</v>
      </c>
      <c r="C4452">
        <v>538579</v>
      </c>
      <c r="D4452" t="s">
        <v>360</v>
      </c>
      <c r="E4452" t="s">
        <v>382</v>
      </c>
    </row>
    <row r="4453" spans="2:5">
      <c r="B4453" t="s">
        <v>6765</v>
      </c>
      <c r="C4453">
        <v>519303</v>
      </c>
      <c r="D4453" t="s">
        <v>360</v>
      </c>
      <c r="E4453" t="s">
        <v>609</v>
      </c>
    </row>
    <row r="4454" spans="2:5">
      <c r="B4454" t="s">
        <v>6766</v>
      </c>
      <c r="C4454">
        <v>538597</v>
      </c>
      <c r="D4454" t="s">
        <v>360</v>
      </c>
      <c r="E4454" t="s">
        <v>377</v>
      </c>
    </row>
    <row r="4455" spans="2:5">
      <c r="B4455" t="s">
        <v>6767</v>
      </c>
      <c r="C4455">
        <v>507747</v>
      </c>
      <c r="D4455" t="s">
        <v>6768</v>
      </c>
      <c r="E4455" t="s">
        <v>398</v>
      </c>
    </row>
    <row r="4456" spans="2:5">
      <c r="B4456" t="s">
        <v>6769</v>
      </c>
      <c r="C4456">
        <v>517506</v>
      </c>
      <c r="D4456" t="s">
        <v>6770</v>
      </c>
      <c r="E4456" t="s">
        <v>1405</v>
      </c>
    </row>
    <row r="4457" spans="2:5">
      <c r="B4457" t="s">
        <v>6771</v>
      </c>
      <c r="C4457">
        <v>514236</v>
      </c>
      <c r="D4457" t="s">
        <v>6772</v>
      </c>
      <c r="E4457" t="s">
        <v>726</v>
      </c>
    </row>
    <row r="4458" spans="2:5">
      <c r="B4458" t="s">
        <v>6773</v>
      </c>
      <c r="C4458">
        <v>540762</v>
      </c>
      <c r="D4458" t="s">
        <v>6774</v>
      </c>
      <c r="E4458" t="s">
        <v>715</v>
      </c>
    </row>
    <row r="4459" spans="2:5">
      <c r="B4459" t="s">
        <v>6775</v>
      </c>
      <c r="C4459">
        <v>540762</v>
      </c>
      <c r="D4459" t="s">
        <v>6776</v>
      </c>
      <c r="E4459" t="s">
        <v>715</v>
      </c>
    </row>
    <row r="4460" spans="2:5">
      <c r="B4460" t="s">
        <v>6777</v>
      </c>
      <c r="C4460">
        <v>524514</v>
      </c>
      <c r="D4460" t="s">
        <v>360</v>
      </c>
      <c r="E4460" t="s">
        <v>408</v>
      </c>
    </row>
    <row r="4461" spans="2:5">
      <c r="B4461" t="s">
        <v>6778</v>
      </c>
      <c r="C4461">
        <v>531088</v>
      </c>
      <c r="D4461" t="s">
        <v>360</v>
      </c>
      <c r="E4461" t="s">
        <v>377</v>
      </c>
    </row>
    <row r="4462" spans="2:5">
      <c r="B4462" t="s">
        <v>6779</v>
      </c>
      <c r="C4462">
        <v>505285</v>
      </c>
      <c r="D4462" t="s">
        <v>360</v>
      </c>
      <c r="E4462" t="s">
        <v>545</v>
      </c>
    </row>
    <row r="4463" spans="2:5">
      <c r="B4463" t="s">
        <v>6780</v>
      </c>
      <c r="C4463">
        <v>532948</v>
      </c>
      <c r="D4463" t="s">
        <v>6781</v>
      </c>
      <c r="E4463" t="s">
        <v>480</v>
      </c>
    </row>
    <row r="4464" spans="2:5">
      <c r="B4464" t="s">
        <v>6782</v>
      </c>
      <c r="C4464">
        <v>504273</v>
      </c>
      <c r="D4464" t="s">
        <v>360</v>
      </c>
      <c r="E4464" t="s">
        <v>658</v>
      </c>
    </row>
    <row r="4465" spans="2:5">
      <c r="B4465" t="s">
        <v>6783</v>
      </c>
      <c r="C4465">
        <v>531411</v>
      </c>
      <c r="D4465" t="s">
        <v>360</v>
      </c>
      <c r="E4465" t="s">
        <v>375</v>
      </c>
    </row>
    <row r="4466" spans="2:5">
      <c r="B4466" t="s">
        <v>6784</v>
      </c>
      <c r="C4466">
        <v>506808</v>
      </c>
      <c r="D4466" t="s">
        <v>360</v>
      </c>
      <c r="E4466" t="s">
        <v>408</v>
      </c>
    </row>
    <row r="4467" spans="2:5">
      <c r="B4467" t="s">
        <v>6785</v>
      </c>
      <c r="C4467">
        <v>532515</v>
      </c>
      <c r="D4467" t="s">
        <v>6786</v>
      </c>
      <c r="E4467" t="s">
        <v>1098</v>
      </c>
    </row>
    <row r="4468" spans="2:5">
      <c r="B4468" t="s">
        <v>6787</v>
      </c>
      <c r="C4468">
        <v>540083</v>
      </c>
      <c r="D4468" t="s">
        <v>6788</v>
      </c>
      <c r="E4468" t="s">
        <v>1098</v>
      </c>
    </row>
    <row r="4469" spans="2:5">
      <c r="B4469" t="s">
        <v>6789</v>
      </c>
      <c r="C4469">
        <v>532800</v>
      </c>
      <c r="D4469" t="s">
        <v>6790</v>
      </c>
      <c r="E4469" t="s">
        <v>1098</v>
      </c>
    </row>
    <row r="4470" spans="2:5">
      <c r="B4470" t="s">
        <v>6791</v>
      </c>
      <c r="C4470">
        <v>532513</v>
      </c>
      <c r="D4470" t="s">
        <v>6792</v>
      </c>
      <c r="E4470" t="s">
        <v>457</v>
      </c>
    </row>
    <row r="4471" spans="2:5">
      <c r="B4471" t="s">
        <v>6793</v>
      </c>
      <c r="C4471">
        <v>532343</v>
      </c>
      <c r="D4471" t="s">
        <v>6794</v>
      </c>
      <c r="E4471" t="s">
        <v>1017</v>
      </c>
    </row>
    <row r="4472" spans="2:5">
      <c r="B4472" t="s">
        <v>6795</v>
      </c>
      <c r="C4472">
        <v>509243</v>
      </c>
      <c r="D4472" t="s">
        <v>6796</v>
      </c>
      <c r="E4472" t="s">
        <v>840</v>
      </c>
    </row>
    <row r="4473" spans="2:5">
      <c r="B4473" t="s">
        <v>6797</v>
      </c>
      <c r="C4473">
        <v>512117</v>
      </c>
      <c r="D4473" t="s">
        <v>360</v>
      </c>
      <c r="E4473" t="s">
        <v>781</v>
      </c>
    </row>
    <row r="4474" spans="2:5">
      <c r="B4474" t="s">
        <v>6798</v>
      </c>
      <c r="C4474">
        <v>531917</v>
      </c>
      <c r="D4474" t="s">
        <v>360</v>
      </c>
      <c r="E4474" t="s">
        <v>453</v>
      </c>
    </row>
    <row r="4475" spans="2:5">
      <c r="B4475" t="s">
        <v>6799</v>
      </c>
      <c r="C4475">
        <v>532384</v>
      </c>
      <c r="D4475" t="s">
        <v>360</v>
      </c>
      <c r="E4475" t="s">
        <v>398</v>
      </c>
    </row>
    <row r="4476" spans="2:5">
      <c r="B4476" t="s">
        <v>6800</v>
      </c>
      <c r="C4476">
        <v>539468</v>
      </c>
      <c r="D4476" t="s">
        <v>360</v>
      </c>
      <c r="E4476" t="s">
        <v>377</v>
      </c>
    </row>
    <row r="4477" spans="2:5">
      <c r="B4477" t="s">
        <v>6801</v>
      </c>
      <c r="C4477">
        <v>512307</v>
      </c>
      <c r="D4477" t="s">
        <v>360</v>
      </c>
      <c r="E4477" t="s">
        <v>375</v>
      </c>
    </row>
    <row r="4478" spans="2:5">
      <c r="B4478" t="s">
        <v>6802</v>
      </c>
      <c r="C4478">
        <v>526945</v>
      </c>
      <c r="D4478" t="s">
        <v>360</v>
      </c>
      <c r="E4478" t="s">
        <v>767</v>
      </c>
    </row>
    <row r="4479" spans="2:5">
      <c r="B4479" t="s">
        <v>6803</v>
      </c>
      <c r="C4479">
        <v>541338</v>
      </c>
      <c r="D4479" t="s">
        <v>360</v>
      </c>
      <c r="E4479" t="s">
        <v>474</v>
      </c>
    </row>
    <row r="4480" spans="2:5">
      <c r="B4480" t="s">
        <v>6804</v>
      </c>
      <c r="C4480">
        <v>500464</v>
      </c>
      <c r="D4480" t="s">
        <v>6805</v>
      </c>
      <c r="E4480" t="s">
        <v>715</v>
      </c>
    </row>
    <row r="4481" spans="2:5">
      <c r="B4481" t="s">
        <v>6806</v>
      </c>
      <c r="C4481">
        <v>532505</v>
      </c>
      <c r="D4481" t="s">
        <v>6807</v>
      </c>
      <c r="E4481" t="s">
        <v>678</v>
      </c>
    </row>
    <row r="4482" spans="2:5">
      <c r="B4482" t="s">
        <v>6808</v>
      </c>
      <c r="C4482">
        <v>530131</v>
      </c>
      <c r="D4482" t="s">
        <v>360</v>
      </c>
      <c r="E4482" t="s">
        <v>373</v>
      </c>
    </row>
    <row r="4483" spans="2:5">
      <c r="B4483" t="s">
        <v>6809</v>
      </c>
      <c r="C4483">
        <v>539518</v>
      </c>
      <c r="D4483" t="s">
        <v>360</v>
      </c>
      <c r="E4483" t="s">
        <v>394</v>
      </c>
    </row>
    <row r="4484" spans="2:5">
      <c r="B4484" t="s">
        <v>6810</v>
      </c>
      <c r="C4484">
        <v>500148</v>
      </c>
      <c r="D4484" t="s">
        <v>6811</v>
      </c>
      <c r="E4484" t="s">
        <v>555</v>
      </c>
    </row>
    <row r="4485" spans="2:5">
      <c r="B4485" t="s">
        <v>6812</v>
      </c>
      <c r="C4485">
        <v>539141</v>
      </c>
      <c r="D4485" t="s">
        <v>6813</v>
      </c>
      <c r="E4485" t="s">
        <v>1098</v>
      </c>
    </row>
    <row r="4486" spans="2:5">
      <c r="B4486" t="s">
        <v>6814</v>
      </c>
      <c r="C4486">
        <v>539141</v>
      </c>
      <c r="D4486" t="s">
        <v>6813</v>
      </c>
      <c r="E4486" t="s">
        <v>1098</v>
      </c>
    </row>
    <row r="4487" spans="2:5">
      <c r="B4487" t="s">
        <v>6815</v>
      </c>
      <c r="C4487">
        <v>511742</v>
      </c>
      <c r="D4487" t="s">
        <v>360</v>
      </c>
      <c r="E4487" t="s">
        <v>377</v>
      </c>
    </row>
    <row r="4488" spans="2:5">
      <c r="B4488" t="s">
        <v>6816</v>
      </c>
      <c r="C4488">
        <v>533644</v>
      </c>
      <c r="D4488" t="s">
        <v>6817</v>
      </c>
      <c r="E4488" t="s">
        <v>403</v>
      </c>
    </row>
    <row r="4489" spans="2:5">
      <c r="B4489" t="s">
        <v>6818</v>
      </c>
      <c r="C4489">
        <v>539874</v>
      </c>
      <c r="D4489" t="s">
        <v>6819</v>
      </c>
      <c r="E4489" t="s">
        <v>377</v>
      </c>
    </row>
    <row r="4490" spans="2:5">
      <c r="B4490" t="s">
        <v>6820</v>
      </c>
      <c r="C4490" t="s">
        <v>360</v>
      </c>
      <c r="D4490" t="s">
        <v>6821</v>
      </c>
      <c r="E4490" t="s">
        <v>371</v>
      </c>
    </row>
    <row r="4491" spans="2:5">
      <c r="B4491" t="s">
        <v>6822</v>
      </c>
      <c r="C4491">
        <v>538706</v>
      </c>
      <c r="D4491" t="s">
        <v>360</v>
      </c>
      <c r="E4491" t="s">
        <v>658</v>
      </c>
    </row>
    <row r="4492" spans="2:5">
      <c r="B4492" t="s">
        <v>6823</v>
      </c>
      <c r="C4492">
        <v>538706</v>
      </c>
      <c r="D4492" t="s">
        <v>360</v>
      </c>
      <c r="E4492" t="s">
        <v>658</v>
      </c>
    </row>
    <row r="4493" spans="2:5">
      <c r="B4493" t="s">
        <v>6824</v>
      </c>
      <c r="C4493">
        <v>506685</v>
      </c>
      <c r="D4493" t="s">
        <v>360</v>
      </c>
      <c r="E4493" t="s">
        <v>520</v>
      </c>
    </row>
    <row r="4494" spans="2:5">
      <c r="B4494" t="s">
        <v>6825</v>
      </c>
      <c r="C4494">
        <v>532538</v>
      </c>
      <c r="D4494" t="s">
        <v>6826</v>
      </c>
      <c r="E4494" t="s">
        <v>373</v>
      </c>
    </row>
    <row r="4495" spans="2:5">
      <c r="B4495" t="s">
        <v>6827</v>
      </c>
      <c r="C4495">
        <v>500231</v>
      </c>
      <c r="D4495" t="s">
        <v>6828</v>
      </c>
      <c r="E4495" t="s">
        <v>420</v>
      </c>
    </row>
    <row r="4496" spans="2:5">
      <c r="B4496" t="s">
        <v>6829</v>
      </c>
      <c r="C4496">
        <v>539798</v>
      </c>
      <c r="D4496" t="s">
        <v>360</v>
      </c>
      <c r="E4496" t="s">
        <v>683</v>
      </c>
    </row>
    <row r="4497" spans="2:5">
      <c r="B4497" t="s">
        <v>6830</v>
      </c>
      <c r="C4497">
        <v>504605</v>
      </c>
      <c r="D4497" t="s">
        <v>360</v>
      </c>
      <c r="E4497" t="s">
        <v>683</v>
      </c>
    </row>
    <row r="4498" spans="2:5">
      <c r="B4498" t="s">
        <v>6831</v>
      </c>
      <c r="C4498">
        <v>506690</v>
      </c>
      <c r="D4498" t="s">
        <v>6832</v>
      </c>
      <c r="E4498" t="s">
        <v>398</v>
      </c>
    </row>
    <row r="4499" spans="2:5">
      <c r="B4499" t="s">
        <v>6833</v>
      </c>
      <c r="C4499">
        <v>541503</v>
      </c>
      <c r="D4499" t="s">
        <v>360</v>
      </c>
      <c r="E4499" t="s">
        <v>2352</v>
      </c>
    </row>
    <row r="4500" spans="2:5">
      <c r="B4500" t="s">
        <v>6834</v>
      </c>
      <c r="C4500" t="s">
        <v>360</v>
      </c>
      <c r="D4500" t="s">
        <v>6835</v>
      </c>
      <c r="E4500" t="s">
        <v>371</v>
      </c>
    </row>
    <row r="4501" spans="2:5">
      <c r="B4501" t="s">
        <v>6836</v>
      </c>
      <c r="C4501">
        <v>503671</v>
      </c>
      <c r="D4501" t="s">
        <v>360</v>
      </c>
      <c r="E4501" t="s">
        <v>343</v>
      </c>
    </row>
    <row r="4502" spans="2:5">
      <c r="B4502" t="s">
        <v>6837</v>
      </c>
      <c r="C4502">
        <v>512595</v>
      </c>
      <c r="D4502" t="s">
        <v>6838</v>
      </c>
      <c r="E4502" t="s">
        <v>916</v>
      </c>
    </row>
    <row r="4503" spans="2:5">
      <c r="B4503" t="s">
        <v>6839</v>
      </c>
      <c r="C4503">
        <v>532477</v>
      </c>
      <c r="D4503" t="s">
        <v>6840</v>
      </c>
      <c r="E4503" t="s">
        <v>678</v>
      </c>
    </row>
    <row r="4504" spans="2:5">
      <c r="B4504" t="s">
        <v>6841</v>
      </c>
      <c r="C4504">
        <v>526799</v>
      </c>
      <c r="D4504" t="s">
        <v>360</v>
      </c>
      <c r="E4504" t="s">
        <v>555</v>
      </c>
    </row>
    <row r="4505" spans="2:5">
      <c r="B4505" t="s">
        <v>6842</v>
      </c>
      <c r="C4505">
        <v>500429</v>
      </c>
      <c r="D4505" t="s">
        <v>6843</v>
      </c>
      <c r="E4505" t="s">
        <v>382</v>
      </c>
    </row>
    <row r="4506" spans="2:5">
      <c r="B4506" t="s">
        <v>6844</v>
      </c>
      <c r="C4506">
        <v>526957</v>
      </c>
      <c r="D4506" t="s">
        <v>360</v>
      </c>
      <c r="E4506" t="s">
        <v>855</v>
      </c>
    </row>
    <row r="4507" spans="2:5">
      <c r="B4507" t="s">
        <v>6845</v>
      </c>
      <c r="C4507">
        <v>532646</v>
      </c>
      <c r="D4507" t="s">
        <v>6846</v>
      </c>
      <c r="E4507" t="s">
        <v>855</v>
      </c>
    </row>
    <row r="4508" spans="2:5">
      <c r="B4508" t="s">
        <v>6847</v>
      </c>
      <c r="C4508">
        <v>530997</v>
      </c>
      <c r="D4508" t="s">
        <v>360</v>
      </c>
      <c r="E4508" t="s">
        <v>558</v>
      </c>
    </row>
    <row r="4509" spans="2:5">
      <c r="B4509" t="s">
        <v>6848</v>
      </c>
      <c r="C4509">
        <v>521226</v>
      </c>
      <c r="D4509" t="s">
        <v>360</v>
      </c>
      <c r="E4509" t="s">
        <v>375</v>
      </c>
    </row>
    <row r="4510" spans="2:5">
      <c r="B4510" t="s">
        <v>6849</v>
      </c>
      <c r="C4510">
        <v>526113</v>
      </c>
      <c r="D4510" t="s">
        <v>360</v>
      </c>
      <c r="E4510" t="s">
        <v>420</v>
      </c>
    </row>
    <row r="4511" spans="2:5">
      <c r="B4511" t="s">
        <v>6850</v>
      </c>
      <c r="C4511">
        <v>537582</v>
      </c>
      <c r="D4511" t="s">
        <v>360</v>
      </c>
      <c r="E4511" t="s">
        <v>446</v>
      </c>
    </row>
    <row r="4512" spans="2:5">
      <c r="B4512" t="s">
        <v>6851</v>
      </c>
      <c r="C4512">
        <v>538610</v>
      </c>
      <c r="D4512" t="s">
        <v>360</v>
      </c>
      <c r="E4512" t="s">
        <v>683</v>
      </c>
    </row>
    <row r="4513" spans="2:5">
      <c r="B4513" t="s">
        <v>6852</v>
      </c>
      <c r="C4513">
        <v>532035</v>
      </c>
      <c r="D4513" t="s">
        <v>360</v>
      </c>
      <c r="E4513" t="s">
        <v>377</v>
      </c>
    </row>
    <row r="4514" spans="2:5">
      <c r="B4514" t="s">
        <v>6853</v>
      </c>
      <c r="C4514">
        <v>531831</v>
      </c>
      <c r="D4514" t="s">
        <v>360</v>
      </c>
      <c r="E4514" t="s">
        <v>418</v>
      </c>
    </row>
    <row r="4515" spans="2:5">
      <c r="B4515" t="s">
        <v>6854</v>
      </c>
      <c r="C4515">
        <v>531867</v>
      </c>
      <c r="D4515" t="s">
        <v>360</v>
      </c>
      <c r="E4515" t="s">
        <v>382</v>
      </c>
    </row>
    <row r="4516" spans="2:5">
      <c r="B4516" t="s">
        <v>6855</v>
      </c>
      <c r="C4516">
        <v>507878</v>
      </c>
      <c r="D4516" t="s">
        <v>6856</v>
      </c>
      <c r="E4516" t="s">
        <v>446</v>
      </c>
    </row>
    <row r="4517" spans="2:5">
      <c r="B4517" t="s">
        <v>6857</v>
      </c>
      <c r="C4517">
        <v>533171</v>
      </c>
      <c r="D4517" t="s">
        <v>6858</v>
      </c>
      <c r="E4517" t="s">
        <v>678</v>
      </c>
    </row>
    <row r="4518" spans="2:5">
      <c r="B4518" t="s">
        <v>6859</v>
      </c>
      <c r="C4518">
        <v>532478</v>
      </c>
      <c r="D4518" t="s">
        <v>6860</v>
      </c>
      <c r="E4518" t="s">
        <v>991</v>
      </c>
    </row>
    <row r="4519" spans="2:5">
      <c r="B4519" t="s">
        <v>6861</v>
      </c>
      <c r="C4519">
        <v>531091</v>
      </c>
      <c r="D4519" t="s">
        <v>360</v>
      </c>
      <c r="E4519" t="s">
        <v>377</v>
      </c>
    </row>
    <row r="4520" spans="2:5">
      <c r="B4520" t="s">
        <v>6862</v>
      </c>
      <c r="C4520">
        <v>522014</v>
      </c>
      <c r="D4520" t="s">
        <v>360</v>
      </c>
      <c r="E4520" t="s">
        <v>545</v>
      </c>
    </row>
    <row r="4521" spans="2:5">
      <c r="B4521" t="s">
        <v>6863</v>
      </c>
      <c r="C4521">
        <v>502893</v>
      </c>
      <c r="D4521" t="s">
        <v>360</v>
      </c>
      <c r="E4521" t="s">
        <v>366</v>
      </c>
    </row>
    <row r="4522" spans="2:5">
      <c r="B4522" t="s">
        <v>6864</v>
      </c>
      <c r="C4522">
        <v>507808</v>
      </c>
      <c r="D4522" t="s">
        <v>360</v>
      </c>
      <c r="E4522" t="s">
        <v>377</v>
      </c>
    </row>
    <row r="4523" spans="2:5">
      <c r="B4523" t="s">
        <v>6865</v>
      </c>
      <c r="C4523" t="s">
        <v>360</v>
      </c>
      <c r="D4523" t="s">
        <v>6866</v>
      </c>
      <c r="E4523" t="s">
        <v>371</v>
      </c>
    </row>
    <row r="4524" spans="2:5">
      <c r="B4524" t="s">
        <v>6867</v>
      </c>
      <c r="C4524">
        <v>532432</v>
      </c>
      <c r="D4524" t="s">
        <v>6868</v>
      </c>
      <c r="E4524" t="s">
        <v>991</v>
      </c>
    </row>
    <row r="4525" spans="2:5">
      <c r="B4525" t="s">
        <v>6869</v>
      </c>
      <c r="C4525">
        <v>521188</v>
      </c>
      <c r="D4525" t="s">
        <v>360</v>
      </c>
      <c r="E4525" t="s">
        <v>375</v>
      </c>
    </row>
    <row r="4526" spans="2:5">
      <c r="B4526" t="s">
        <v>6870</v>
      </c>
      <c r="C4526">
        <v>522091</v>
      </c>
      <c r="D4526" t="s">
        <v>360</v>
      </c>
      <c r="E4526" t="s">
        <v>403</v>
      </c>
    </row>
    <row r="4527" spans="2:5">
      <c r="B4527" t="s">
        <v>6871</v>
      </c>
      <c r="C4527">
        <v>532746</v>
      </c>
      <c r="D4527" t="s">
        <v>6872</v>
      </c>
      <c r="E4527" t="s">
        <v>758</v>
      </c>
    </row>
    <row r="4528" spans="2:5">
      <c r="B4528" t="s">
        <v>6873</v>
      </c>
      <c r="C4528" t="s">
        <v>360</v>
      </c>
      <c r="D4528" t="s">
        <v>6874</v>
      </c>
      <c r="E4528" t="s">
        <v>371</v>
      </c>
    </row>
    <row r="4529" spans="2:5">
      <c r="B4529" t="s">
        <v>6875</v>
      </c>
      <c r="C4529" t="s">
        <v>360</v>
      </c>
      <c r="D4529" t="s">
        <v>6874</v>
      </c>
      <c r="E4529" t="s">
        <v>371</v>
      </c>
    </row>
    <row r="4530" spans="2:5">
      <c r="B4530" t="s">
        <v>6876</v>
      </c>
      <c r="C4530">
        <v>532378</v>
      </c>
      <c r="D4530" t="s">
        <v>360</v>
      </c>
      <c r="E4530" t="s">
        <v>363</v>
      </c>
    </row>
    <row r="4531" spans="2:5">
      <c r="B4531" t="s">
        <v>6877</v>
      </c>
      <c r="C4531">
        <v>539314</v>
      </c>
      <c r="D4531" t="s">
        <v>360</v>
      </c>
      <c r="E4531" t="s">
        <v>715</v>
      </c>
    </row>
    <row r="4532" spans="2:5">
      <c r="B4532" t="s">
        <v>6878</v>
      </c>
      <c r="C4532">
        <v>504212</v>
      </c>
      <c r="D4532" t="s">
        <v>6879</v>
      </c>
      <c r="E4532" t="s">
        <v>658</v>
      </c>
    </row>
    <row r="4533" spans="2:5">
      <c r="B4533" t="s">
        <v>6880</v>
      </c>
      <c r="C4533">
        <v>531963</v>
      </c>
      <c r="D4533" t="s">
        <v>360</v>
      </c>
      <c r="E4533" t="s">
        <v>781</v>
      </c>
    </row>
    <row r="4534" spans="2:5">
      <c r="B4534" t="s">
        <v>6881</v>
      </c>
      <c r="C4534">
        <v>523519</v>
      </c>
      <c r="D4534" t="s">
        <v>360</v>
      </c>
      <c r="E4534" t="s">
        <v>382</v>
      </c>
    </row>
    <row r="4535" spans="2:5">
      <c r="B4535" t="s">
        <v>6882</v>
      </c>
      <c r="C4535">
        <v>504673</v>
      </c>
      <c r="D4535" t="s">
        <v>360</v>
      </c>
      <c r="E4535" t="s">
        <v>665</v>
      </c>
    </row>
    <row r="4536" spans="2:5">
      <c r="B4536" t="s">
        <v>6883</v>
      </c>
      <c r="C4536">
        <v>524408</v>
      </c>
      <c r="D4536" t="s">
        <v>360</v>
      </c>
      <c r="E4536" t="s">
        <v>408</v>
      </c>
    </row>
    <row r="4537" spans="2:5">
      <c r="B4537" t="s">
        <v>6884</v>
      </c>
      <c r="C4537">
        <v>514144</v>
      </c>
      <c r="D4537" t="s">
        <v>360</v>
      </c>
      <c r="E4537" t="s">
        <v>375</v>
      </c>
    </row>
    <row r="4538" spans="2:5">
      <c r="B4538" t="s">
        <v>6885</v>
      </c>
      <c r="C4538">
        <v>512408</v>
      </c>
      <c r="D4538" t="s">
        <v>360</v>
      </c>
      <c r="E4538" t="s">
        <v>375</v>
      </c>
    </row>
    <row r="4539" spans="2:5">
      <c r="B4539" t="s">
        <v>6886</v>
      </c>
      <c r="C4539">
        <v>531762</v>
      </c>
      <c r="D4539" t="s">
        <v>360</v>
      </c>
      <c r="E4539" t="s">
        <v>398</v>
      </c>
    </row>
    <row r="4540" spans="2:5">
      <c r="B4540" t="s">
        <v>6887</v>
      </c>
      <c r="C4540">
        <v>511764</v>
      </c>
      <c r="D4540" t="s">
        <v>360</v>
      </c>
      <c r="E4540" t="s">
        <v>377</v>
      </c>
    </row>
    <row r="4541" spans="2:5">
      <c r="B4541" t="s">
        <v>6888</v>
      </c>
      <c r="C4541">
        <v>512070</v>
      </c>
      <c r="D4541" t="s">
        <v>6889</v>
      </c>
      <c r="E4541" t="s">
        <v>504</v>
      </c>
    </row>
    <row r="4542" spans="2:5">
      <c r="B4542" t="s">
        <v>6890</v>
      </c>
      <c r="C4542">
        <v>531390</v>
      </c>
      <c r="D4542" t="s">
        <v>360</v>
      </c>
      <c r="E4542" t="s">
        <v>377</v>
      </c>
    </row>
    <row r="4543" spans="2:5">
      <c r="B4543" t="s">
        <v>6891</v>
      </c>
      <c r="C4543" t="s">
        <v>360</v>
      </c>
      <c r="D4543" t="s">
        <v>6892</v>
      </c>
      <c r="E4543" t="s">
        <v>371</v>
      </c>
    </row>
    <row r="4544" spans="2:5">
      <c r="B4544" t="s">
        <v>6893</v>
      </c>
      <c r="C4544">
        <v>526987</v>
      </c>
      <c r="D4544" t="s">
        <v>6894</v>
      </c>
      <c r="E4544" t="s">
        <v>382</v>
      </c>
    </row>
    <row r="4545" spans="2:5">
      <c r="B4545" t="s">
        <v>6895</v>
      </c>
      <c r="C4545">
        <v>532402</v>
      </c>
      <c r="D4545" t="s">
        <v>360</v>
      </c>
      <c r="E4545" t="s">
        <v>453</v>
      </c>
    </row>
    <row r="4546" spans="2:5">
      <c r="B4546" t="s">
        <v>6896</v>
      </c>
      <c r="C4546">
        <v>532398</v>
      </c>
      <c r="D4546" t="s">
        <v>6897</v>
      </c>
      <c r="E4546" t="s">
        <v>453</v>
      </c>
    </row>
    <row r="4547" spans="2:5">
      <c r="B4547" t="s">
        <v>6898</v>
      </c>
      <c r="C4547">
        <v>517146</v>
      </c>
      <c r="D4547" t="s">
        <v>6899</v>
      </c>
      <c r="E4547" t="s">
        <v>683</v>
      </c>
    </row>
    <row r="4548" spans="2:5">
      <c r="B4548" t="s">
        <v>6900</v>
      </c>
      <c r="C4548">
        <v>511507</v>
      </c>
      <c r="D4548" t="s">
        <v>360</v>
      </c>
      <c r="E4548" t="s">
        <v>377</v>
      </c>
    </row>
    <row r="4549" spans="2:5">
      <c r="B4549" t="s">
        <v>6901</v>
      </c>
      <c r="C4549" t="s">
        <v>360</v>
      </c>
      <c r="D4549" t="s">
        <v>6902</v>
      </c>
      <c r="E4549" t="s">
        <v>371</v>
      </c>
    </row>
    <row r="4550" spans="2:5">
      <c r="B4550" t="s">
        <v>6903</v>
      </c>
      <c r="C4550">
        <v>511736</v>
      </c>
      <c r="D4550" t="s">
        <v>360</v>
      </c>
      <c r="E4550" t="s">
        <v>382</v>
      </c>
    </row>
    <row r="4551" spans="2:5">
      <c r="B4551" t="s">
        <v>6904</v>
      </c>
      <c r="C4551">
        <v>532765</v>
      </c>
      <c r="D4551" t="s">
        <v>6905</v>
      </c>
      <c r="E4551" t="s">
        <v>558</v>
      </c>
    </row>
    <row r="4552" spans="2:5">
      <c r="B4552" t="s">
        <v>6906</v>
      </c>
      <c r="C4552">
        <v>590101</v>
      </c>
      <c r="D4552" t="s">
        <v>6907</v>
      </c>
      <c r="E4552" t="s">
        <v>343</v>
      </c>
    </row>
    <row r="4553" spans="2:5">
      <c r="B4553" t="s">
        <v>6908</v>
      </c>
      <c r="C4553">
        <v>500426</v>
      </c>
      <c r="D4553" t="s">
        <v>360</v>
      </c>
      <c r="E4553" t="s">
        <v>446</v>
      </c>
    </row>
    <row r="4554" spans="2:5">
      <c r="B4554" t="s">
        <v>6909</v>
      </c>
      <c r="C4554">
        <v>513216</v>
      </c>
      <c r="D4554" t="s">
        <v>6910</v>
      </c>
      <c r="E4554" t="s">
        <v>392</v>
      </c>
    </row>
    <row r="4555" spans="2:5">
      <c r="B4555" t="s">
        <v>6911</v>
      </c>
      <c r="C4555">
        <v>532729</v>
      </c>
      <c r="D4555" t="s">
        <v>6912</v>
      </c>
      <c r="E4555" t="s">
        <v>1058</v>
      </c>
    </row>
    <row r="4556" spans="2:5">
      <c r="B4556" t="s">
        <v>6913</v>
      </c>
      <c r="C4556">
        <v>500254</v>
      </c>
      <c r="D4556" t="s">
        <v>6914</v>
      </c>
      <c r="E4556" t="s">
        <v>392</v>
      </c>
    </row>
    <row r="4557" spans="2:5">
      <c r="B4557" t="s">
        <v>6915</v>
      </c>
      <c r="C4557">
        <v>511110</v>
      </c>
      <c r="D4557" t="s">
        <v>360</v>
      </c>
      <c r="E4557" t="s">
        <v>343</v>
      </c>
    </row>
    <row r="4558" spans="2:5">
      <c r="B4558" t="s">
        <v>6916</v>
      </c>
      <c r="C4558">
        <v>539123</v>
      </c>
      <c r="D4558" t="s">
        <v>360</v>
      </c>
      <c r="E4558" t="s">
        <v>380</v>
      </c>
    </row>
    <row r="4559" spans="2:5">
      <c r="B4559" t="s">
        <v>6917</v>
      </c>
      <c r="C4559">
        <v>542654</v>
      </c>
      <c r="D4559" t="s">
        <v>6918</v>
      </c>
      <c r="E4559" t="s">
        <v>361</v>
      </c>
    </row>
    <row r="4560" spans="2:5">
      <c r="B4560" t="s">
        <v>6919</v>
      </c>
      <c r="C4560">
        <v>523888</v>
      </c>
      <c r="D4560" t="s">
        <v>360</v>
      </c>
      <c r="E4560" t="s">
        <v>840</v>
      </c>
    </row>
    <row r="4561" spans="2:5">
      <c r="B4561" t="s">
        <v>6920</v>
      </c>
      <c r="C4561">
        <v>531266</v>
      </c>
      <c r="D4561" t="s">
        <v>6921</v>
      </c>
      <c r="E4561" t="s">
        <v>438</v>
      </c>
    </row>
    <row r="4562" spans="2:5">
      <c r="B4562" t="s">
        <v>6922</v>
      </c>
      <c r="C4562">
        <v>532867</v>
      </c>
      <c r="D4562" t="s">
        <v>6923</v>
      </c>
      <c r="E4562" t="s">
        <v>529</v>
      </c>
    </row>
    <row r="4563" spans="2:5">
      <c r="B4563" t="s">
        <v>6924</v>
      </c>
      <c r="C4563">
        <v>533269</v>
      </c>
      <c r="D4563" t="s">
        <v>6925</v>
      </c>
      <c r="E4563" t="s">
        <v>385</v>
      </c>
    </row>
    <row r="4564" spans="2:5">
      <c r="B4564" t="s">
        <v>6926</v>
      </c>
      <c r="C4564">
        <v>532320</v>
      </c>
      <c r="D4564" t="s">
        <v>360</v>
      </c>
      <c r="E4564" t="s">
        <v>377</v>
      </c>
    </row>
    <row r="4565" spans="2:5">
      <c r="B4565" t="s">
        <v>6927</v>
      </c>
      <c r="C4565">
        <v>519152</v>
      </c>
      <c r="D4565" t="s">
        <v>360</v>
      </c>
      <c r="E4565" t="s">
        <v>382</v>
      </c>
    </row>
    <row r="4566" spans="2:5">
      <c r="B4566" t="s">
        <v>6928</v>
      </c>
      <c r="C4566">
        <v>519156</v>
      </c>
      <c r="D4566" t="s">
        <v>6929</v>
      </c>
      <c r="E4566" t="s">
        <v>420</v>
      </c>
    </row>
    <row r="4567" spans="2:5">
      <c r="B4567" t="s">
        <v>6930</v>
      </c>
      <c r="C4567" t="s">
        <v>360</v>
      </c>
      <c r="D4567" t="s">
        <v>6931</v>
      </c>
      <c r="E4567" t="s">
        <v>371</v>
      </c>
    </row>
    <row r="4568" spans="2:5">
      <c r="B4568" t="s">
        <v>6932</v>
      </c>
      <c r="C4568">
        <v>531676</v>
      </c>
      <c r="D4568" t="s">
        <v>360</v>
      </c>
      <c r="E4568" t="s">
        <v>420</v>
      </c>
    </row>
    <row r="4569" spans="2:5">
      <c r="B4569" t="s">
        <v>6933</v>
      </c>
      <c r="C4569">
        <v>532156</v>
      </c>
      <c r="D4569" t="s">
        <v>6934</v>
      </c>
      <c r="E4569" t="s">
        <v>474</v>
      </c>
    </row>
    <row r="4570" spans="2:5">
      <c r="B4570" t="s">
        <v>6935</v>
      </c>
      <c r="C4570" t="s">
        <v>360</v>
      </c>
      <c r="D4570" t="s">
        <v>6936</v>
      </c>
      <c r="E4570" t="s">
        <v>371</v>
      </c>
    </row>
    <row r="4571" spans="2:5">
      <c r="B4571" t="s">
        <v>6937</v>
      </c>
      <c r="C4571">
        <v>511431</v>
      </c>
      <c r="D4571" t="s">
        <v>6938</v>
      </c>
      <c r="E4571" t="s">
        <v>361</v>
      </c>
    </row>
    <row r="4572" spans="2:5">
      <c r="B4572" t="s">
        <v>6939</v>
      </c>
      <c r="C4572">
        <v>539402</v>
      </c>
      <c r="D4572" t="s">
        <v>360</v>
      </c>
      <c r="E4572" t="s">
        <v>558</v>
      </c>
    </row>
    <row r="4573" spans="2:5">
      <c r="B4573" t="s">
        <v>6940</v>
      </c>
      <c r="C4573">
        <v>526775</v>
      </c>
      <c r="D4573" t="s">
        <v>360</v>
      </c>
      <c r="E4573" t="s">
        <v>506</v>
      </c>
    </row>
    <row r="4574" spans="2:5">
      <c r="B4574" t="s">
        <v>6941</v>
      </c>
      <c r="C4574">
        <v>540145</v>
      </c>
      <c r="D4574" t="s">
        <v>360</v>
      </c>
      <c r="E4574" t="s">
        <v>398</v>
      </c>
    </row>
    <row r="4575" spans="2:5">
      <c r="B4575" t="s">
        <v>6942</v>
      </c>
      <c r="C4575">
        <v>530403</v>
      </c>
      <c r="D4575" t="s">
        <v>360</v>
      </c>
      <c r="E4575" t="s">
        <v>555</v>
      </c>
    </row>
    <row r="4576" spans="2:5">
      <c r="B4576" t="s">
        <v>6943</v>
      </c>
      <c r="C4576">
        <v>513397</v>
      </c>
      <c r="D4576" t="s">
        <v>360</v>
      </c>
      <c r="E4576" t="s">
        <v>683</v>
      </c>
    </row>
    <row r="4577" spans="2:5">
      <c r="B4577" t="s">
        <v>6944</v>
      </c>
      <c r="C4577">
        <v>539543</v>
      </c>
      <c r="D4577" t="s">
        <v>360</v>
      </c>
      <c r="E4577" t="s">
        <v>380</v>
      </c>
    </row>
    <row r="4578" spans="2:5">
      <c r="B4578" t="s">
        <v>6945</v>
      </c>
      <c r="C4578">
        <v>530459</v>
      </c>
      <c r="D4578" t="s">
        <v>360</v>
      </c>
      <c r="E4578" t="s">
        <v>375</v>
      </c>
    </row>
    <row r="4579" spans="2:5">
      <c r="B4579" t="s">
        <v>6946</v>
      </c>
      <c r="C4579">
        <v>512175</v>
      </c>
      <c r="D4579" t="s">
        <v>360</v>
      </c>
      <c r="E4579" t="s">
        <v>346</v>
      </c>
    </row>
    <row r="4580" spans="2:5">
      <c r="B4580" t="s">
        <v>6947</v>
      </c>
      <c r="C4580">
        <v>530369</v>
      </c>
      <c r="D4580" t="s">
        <v>360</v>
      </c>
      <c r="E4580" t="s">
        <v>840</v>
      </c>
    </row>
    <row r="4581" spans="2:5">
      <c r="B4581" t="s">
        <v>6948</v>
      </c>
      <c r="C4581">
        <v>532090</v>
      </c>
      <c r="D4581" t="s">
        <v>360</v>
      </c>
      <c r="E4581" t="s">
        <v>375</v>
      </c>
    </row>
    <row r="4582" spans="2:5">
      <c r="B4582" t="s">
        <v>6949</v>
      </c>
      <c r="C4582">
        <v>538918</v>
      </c>
      <c r="D4582" t="s">
        <v>360</v>
      </c>
      <c r="E4582" t="s">
        <v>377</v>
      </c>
    </row>
    <row r="4583" spans="2:5">
      <c r="B4583" t="s">
        <v>6950</v>
      </c>
      <c r="C4583">
        <v>540729</v>
      </c>
      <c r="D4583" t="s">
        <v>360</v>
      </c>
      <c r="E4583" t="s">
        <v>398</v>
      </c>
    </row>
    <row r="4584" spans="2:5">
      <c r="B4584" t="s">
        <v>6951</v>
      </c>
      <c r="C4584">
        <v>539761</v>
      </c>
      <c r="D4584" t="s">
        <v>360</v>
      </c>
      <c r="E4584" t="s">
        <v>465</v>
      </c>
    </row>
    <row r="4585" spans="2:5">
      <c r="B4585" t="s">
        <v>6952</v>
      </c>
      <c r="C4585">
        <v>502589</v>
      </c>
      <c r="D4585" t="s">
        <v>360</v>
      </c>
      <c r="E4585" t="s">
        <v>354</v>
      </c>
    </row>
    <row r="4586" spans="2:5">
      <c r="B4586" t="s">
        <v>6953</v>
      </c>
      <c r="C4586">
        <v>524796</v>
      </c>
      <c r="D4586" t="s">
        <v>360</v>
      </c>
      <c r="E4586" t="s">
        <v>398</v>
      </c>
    </row>
    <row r="4587" spans="2:5">
      <c r="B4587" t="s">
        <v>6954</v>
      </c>
      <c r="C4587" t="s">
        <v>360</v>
      </c>
      <c r="D4587" t="s">
        <v>6955</v>
      </c>
      <c r="E4587" t="s">
        <v>451</v>
      </c>
    </row>
    <row r="4588" spans="2:5">
      <c r="B4588" t="s">
        <v>6956</v>
      </c>
      <c r="C4588">
        <v>531444</v>
      </c>
      <c r="D4588" t="s">
        <v>360</v>
      </c>
      <c r="E4588" t="s">
        <v>373</v>
      </c>
    </row>
    <row r="4589" spans="2:5">
      <c r="B4589" t="s">
        <v>6957</v>
      </c>
      <c r="C4589">
        <v>500439</v>
      </c>
      <c r="D4589" t="s">
        <v>6958</v>
      </c>
      <c r="E4589" t="s">
        <v>377</v>
      </c>
    </row>
    <row r="4590" spans="2:5">
      <c r="B4590" t="s">
        <v>6959</v>
      </c>
      <c r="C4590">
        <v>513534</v>
      </c>
      <c r="D4590" t="s">
        <v>360</v>
      </c>
      <c r="E4590" t="s">
        <v>392</v>
      </c>
    </row>
    <row r="4591" spans="2:5">
      <c r="B4591" t="s">
        <v>6960</v>
      </c>
      <c r="C4591">
        <v>514175</v>
      </c>
      <c r="D4591" t="s">
        <v>6961</v>
      </c>
      <c r="E4591" t="s">
        <v>375</v>
      </c>
    </row>
    <row r="4592" spans="2:5">
      <c r="B4592" t="s">
        <v>6962</v>
      </c>
      <c r="C4592">
        <v>534392</v>
      </c>
      <c r="D4592" t="s">
        <v>6963</v>
      </c>
      <c r="E4592" t="s">
        <v>683</v>
      </c>
    </row>
    <row r="4593" spans="2:5">
      <c r="B4593" t="s">
        <v>6964</v>
      </c>
      <c r="C4593">
        <v>502986</v>
      </c>
      <c r="D4593" t="s">
        <v>6965</v>
      </c>
      <c r="E4593" t="s">
        <v>375</v>
      </c>
    </row>
    <row r="4594" spans="2:5">
      <c r="B4594" t="s">
        <v>6966</v>
      </c>
      <c r="C4594">
        <v>541578</v>
      </c>
      <c r="D4594" t="s">
        <v>6967</v>
      </c>
      <c r="E4594" t="s">
        <v>715</v>
      </c>
    </row>
    <row r="4595" spans="2:5">
      <c r="B4595" t="s">
        <v>6968</v>
      </c>
      <c r="C4595">
        <v>540180</v>
      </c>
      <c r="D4595" t="s">
        <v>6969</v>
      </c>
      <c r="E4595" t="s">
        <v>555</v>
      </c>
    </row>
    <row r="4596" spans="2:5">
      <c r="B4596" t="s">
        <v>6970</v>
      </c>
      <c r="C4596">
        <v>512511</v>
      </c>
      <c r="D4596" t="s">
        <v>360</v>
      </c>
      <c r="E4596" t="s">
        <v>781</v>
      </c>
    </row>
    <row r="4597" spans="2:5">
      <c r="B4597" t="s">
        <v>6971</v>
      </c>
      <c r="C4597">
        <v>531574</v>
      </c>
      <c r="D4597" t="s">
        <v>360</v>
      </c>
      <c r="E4597" t="s">
        <v>446</v>
      </c>
    </row>
    <row r="4598" spans="2:5">
      <c r="B4598" t="s">
        <v>6972</v>
      </c>
      <c r="C4598" t="s">
        <v>360</v>
      </c>
      <c r="D4598" t="s">
        <v>6973</v>
      </c>
      <c r="E4598" t="s">
        <v>371</v>
      </c>
    </row>
    <row r="4599" spans="2:5">
      <c r="B4599" t="s">
        <v>6974</v>
      </c>
      <c r="C4599">
        <v>533156</v>
      </c>
      <c r="D4599" t="s">
        <v>6975</v>
      </c>
      <c r="E4599" t="s">
        <v>446</v>
      </c>
    </row>
    <row r="4600" spans="2:5">
      <c r="B4600" t="s">
        <v>6976</v>
      </c>
      <c r="C4600">
        <v>538634</v>
      </c>
      <c r="D4600" t="s">
        <v>360</v>
      </c>
      <c r="E4600" t="s">
        <v>398</v>
      </c>
    </row>
    <row r="4601" spans="2:5">
      <c r="B4601" t="s">
        <v>6977</v>
      </c>
      <c r="C4601">
        <v>533576</v>
      </c>
      <c r="D4601" t="s">
        <v>6978</v>
      </c>
      <c r="E4601" t="s">
        <v>392</v>
      </c>
    </row>
    <row r="4602" spans="2:5">
      <c r="B4602" t="s">
        <v>6979</v>
      </c>
      <c r="C4602">
        <v>531650</v>
      </c>
      <c r="D4602" t="s">
        <v>360</v>
      </c>
      <c r="E4602" t="s">
        <v>781</v>
      </c>
    </row>
    <row r="4603" spans="2:5">
      <c r="B4603" t="s">
        <v>6980</v>
      </c>
      <c r="C4603">
        <v>513005</v>
      </c>
      <c r="D4603" t="s">
        <v>360</v>
      </c>
      <c r="E4603" t="s">
        <v>392</v>
      </c>
    </row>
    <row r="4604" spans="2:5">
      <c r="B4604" t="s">
        <v>6981</v>
      </c>
      <c r="C4604">
        <v>511493</v>
      </c>
      <c r="D4604" t="s">
        <v>360</v>
      </c>
      <c r="E4604" t="s">
        <v>377</v>
      </c>
    </row>
    <row r="4605" spans="2:5">
      <c r="B4605" t="s">
        <v>6982</v>
      </c>
      <c r="C4605">
        <v>536672</v>
      </c>
      <c r="D4605" t="s">
        <v>360</v>
      </c>
      <c r="E4605" t="s">
        <v>1986</v>
      </c>
    </row>
    <row r="4606" spans="2:5">
      <c r="B4606" t="s">
        <v>6983</v>
      </c>
      <c r="C4606">
        <v>500295</v>
      </c>
      <c r="D4606" t="s">
        <v>6984</v>
      </c>
      <c r="E4606" t="s">
        <v>2875</v>
      </c>
    </row>
    <row r="4607" spans="2:5">
      <c r="B4607" t="s">
        <v>6985</v>
      </c>
      <c r="C4607">
        <v>533056</v>
      </c>
      <c r="D4607" t="s">
        <v>360</v>
      </c>
      <c r="E4607" t="s">
        <v>366</v>
      </c>
    </row>
    <row r="4608" spans="2:5">
      <c r="B4608" t="s">
        <v>6986</v>
      </c>
      <c r="C4608">
        <v>522267</v>
      </c>
      <c r="D4608" t="s">
        <v>360</v>
      </c>
      <c r="E4608" t="s">
        <v>368</v>
      </c>
    </row>
    <row r="4609" spans="2:5">
      <c r="B4609" t="s">
        <v>6987</v>
      </c>
      <c r="C4609">
        <v>503657</v>
      </c>
      <c r="D4609" t="s">
        <v>360</v>
      </c>
      <c r="E4609" t="s">
        <v>499</v>
      </c>
    </row>
    <row r="4610" spans="2:5">
      <c r="B4610" t="s">
        <v>6988</v>
      </c>
      <c r="C4610">
        <v>542046</v>
      </c>
      <c r="D4610" t="s">
        <v>360</v>
      </c>
      <c r="E4610" t="s">
        <v>446</v>
      </c>
    </row>
    <row r="4611" spans="2:5">
      <c r="B4611" t="s">
        <v>6989</v>
      </c>
      <c r="C4611">
        <v>540252</v>
      </c>
      <c r="D4611" t="s">
        <v>360</v>
      </c>
      <c r="E4611" t="s">
        <v>474</v>
      </c>
    </row>
    <row r="4612" spans="2:5">
      <c r="B4612" t="s">
        <v>6990</v>
      </c>
      <c r="C4612">
        <v>511523</v>
      </c>
      <c r="D4612" t="s">
        <v>360</v>
      </c>
      <c r="E4612" t="s">
        <v>398</v>
      </c>
    </row>
    <row r="4613" spans="2:5">
      <c r="B4613" t="s">
        <v>6991</v>
      </c>
      <c r="C4613">
        <v>539132</v>
      </c>
      <c r="D4613" t="s">
        <v>360</v>
      </c>
      <c r="E4613" t="s">
        <v>609</v>
      </c>
    </row>
    <row r="4614" spans="2:5">
      <c r="B4614" t="s">
        <v>6992</v>
      </c>
      <c r="C4614">
        <v>526755</v>
      </c>
      <c r="D4614" t="s">
        <v>360</v>
      </c>
      <c r="E4614" t="s">
        <v>561</v>
      </c>
    </row>
    <row r="4615" spans="2:5">
      <c r="B4615" t="s">
        <v>6993</v>
      </c>
      <c r="C4615">
        <v>505232</v>
      </c>
      <c r="D4615" t="s">
        <v>360</v>
      </c>
      <c r="E4615" t="s">
        <v>715</v>
      </c>
    </row>
    <row r="4616" spans="2:5">
      <c r="B4616" t="s">
        <v>6994</v>
      </c>
      <c r="C4616">
        <v>523261</v>
      </c>
      <c r="D4616" t="s">
        <v>6995</v>
      </c>
      <c r="E4616" t="s">
        <v>420</v>
      </c>
    </row>
    <row r="4617" spans="2:5">
      <c r="B4617" t="s">
        <v>6996</v>
      </c>
      <c r="C4617">
        <v>523261</v>
      </c>
      <c r="D4617" t="s">
        <v>6995</v>
      </c>
      <c r="E4617" t="s">
        <v>420</v>
      </c>
    </row>
    <row r="4618" spans="2:5">
      <c r="B4618" t="s">
        <v>6997</v>
      </c>
      <c r="C4618">
        <v>524038</v>
      </c>
      <c r="D4618" t="s">
        <v>360</v>
      </c>
      <c r="E4618" t="s">
        <v>408</v>
      </c>
    </row>
    <row r="4619" spans="2:5">
      <c r="B4619" t="s">
        <v>6998</v>
      </c>
      <c r="C4619">
        <v>512060</v>
      </c>
      <c r="D4619" t="s">
        <v>6999</v>
      </c>
      <c r="E4619" t="s">
        <v>781</v>
      </c>
    </row>
    <row r="4620" spans="2:5">
      <c r="B4620" t="s">
        <v>7000</v>
      </c>
      <c r="C4620">
        <v>516098</v>
      </c>
      <c r="D4620" t="s">
        <v>360</v>
      </c>
      <c r="E4620" t="s">
        <v>375</v>
      </c>
    </row>
    <row r="4621" spans="2:5">
      <c r="B4621" t="s">
        <v>7001</v>
      </c>
      <c r="C4621">
        <v>526953</v>
      </c>
      <c r="D4621" t="s">
        <v>7002</v>
      </c>
      <c r="E4621" t="s">
        <v>398</v>
      </c>
    </row>
    <row r="4622" spans="2:5">
      <c r="B4622" t="s">
        <v>7003</v>
      </c>
      <c r="C4622" t="s">
        <v>360</v>
      </c>
      <c r="D4622" t="s">
        <v>7004</v>
      </c>
      <c r="E4622" t="s">
        <v>371</v>
      </c>
    </row>
    <row r="4623" spans="2:5">
      <c r="B4623" t="s">
        <v>7005</v>
      </c>
      <c r="C4623">
        <v>512229</v>
      </c>
      <c r="D4623" t="s">
        <v>360</v>
      </c>
      <c r="E4623" t="s">
        <v>382</v>
      </c>
    </row>
    <row r="4624" spans="2:5">
      <c r="B4624" t="s">
        <v>7006</v>
      </c>
      <c r="C4624">
        <v>512229</v>
      </c>
      <c r="D4624" t="s">
        <v>360</v>
      </c>
      <c r="E4624" t="s">
        <v>382</v>
      </c>
    </row>
    <row r="4625" spans="2:5">
      <c r="B4625" t="s">
        <v>7007</v>
      </c>
      <c r="C4625">
        <v>531695</v>
      </c>
      <c r="D4625" t="s">
        <v>360</v>
      </c>
      <c r="E4625" t="s">
        <v>363</v>
      </c>
    </row>
    <row r="4626" spans="2:5">
      <c r="B4626" t="s">
        <v>7008</v>
      </c>
      <c r="C4626">
        <v>531950</v>
      </c>
      <c r="D4626" t="s">
        <v>360</v>
      </c>
      <c r="E4626" t="s">
        <v>343</v>
      </c>
    </row>
    <row r="4627" spans="2:5">
      <c r="B4627" t="s">
        <v>7009</v>
      </c>
      <c r="C4627">
        <v>515099</v>
      </c>
      <c r="D4627" t="s">
        <v>360</v>
      </c>
      <c r="E4627" t="s">
        <v>888</v>
      </c>
    </row>
    <row r="4628" spans="2:5">
      <c r="B4628" t="s">
        <v>7010</v>
      </c>
      <c r="C4628" t="s">
        <v>360</v>
      </c>
      <c r="D4628" t="s">
        <v>7011</v>
      </c>
      <c r="E4628" t="s">
        <v>371</v>
      </c>
    </row>
    <row r="4629" spans="2:5">
      <c r="B4629" t="s">
        <v>7012</v>
      </c>
      <c r="C4629">
        <v>520113</v>
      </c>
      <c r="D4629" t="s">
        <v>7013</v>
      </c>
      <c r="E4629" t="s">
        <v>545</v>
      </c>
    </row>
    <row r="4630" spans="2:5">
      <c r="B4630" t="s">
        <v>7014</v>
      </c>
      <c r="C4630">
        <v>520113</v>
      </c>
      <c r="D4630" t="s">
        <v>7013</v>
      </c>
      <c r="E4630" t="s">
        <v>545</v>
      </c>
    </row>
    <row r="4631" spans="2:5">
      <c r="B4631" t="s">
        <v>7015</v>
      </c>
      <c r="C4631">
        <v>539331</v>
      </c>
      <c r="D4631" t="s">
        <v>7016</v>
      </c>
      <c r="E4631" t="s">
        <v>658</v>
      </c>
    </row>
    <row r="4632" spans="2:5">
      <c r="B4632" t="s">
        <v>7017</v>
      </c>
      <c r="C4632">
        <v>532953</v>
      </c>
      <c r="D4632" t="s">
        <v>7018</v>
      </c>
      <c r="E4632" t="s">
        <v>658</v>
      </c>
    </row>
    <row r="4633" spans="2:5">
      <c r="B4633" t="s">
        <v>7019</v>
      </c>
      <c r="C4633">
        <v>537524</v>
      </c>
      <c r="D4633" t="s">
        <v>360</v>
      </c>
      <c r="E4633" t="s">
        <v>1405</v>
      </c>
    </row>
    <row r="4634" spans="2:5">
      <c r="B4634" t="s">
        <v>7020</v>
      </c>
      <c r="C4634">
        <v>538732</v>
      </c>
      <c r="D4634" t="s">
        <v>360</v>
      </c>
      <c r="E4634" t="s">
        <v>377</v>
      </c>
    </row>
    <row r="4635" spans="2:5">
      <c r="B4635" t="s">
        <v>7021</v>
      </c>
      <c r="C4635">
        <v>523796</v>
      </c>
      <c r="D4635" t="s">
        <v>7022</v>
      </c>
      <c r="E4635" t="s">
        <v>561</v>
      </c>
    </row>
    <row r="4636" spans="2:5">
      <c r="B4636" t="s">
        <v>7023</v>
      </c>
      <c r="C4636">
        <v>503349</v>
      </c>
      <c r="D4636" t="s">
        <v>360</v>
      </c>
      <c r="E4636" t="s">
        <v>375</v>
      </c>
    </row>
    <row r="4637" spans="2:5">
      <c r="B4637" t="s">
        <v>7024</v>
      </c>
      <c r="C4637">
        <v>531234</v>
      </c>
      <c r="D4637" t="s">
        <v>360</v>
      </c>
      <c r="E4637" t="s">
        <v>354</v>
      </c>
    </row>
    <row r="4638" spans="2:5">
      <c r="B4638" t="s">
        <v>7025</v>
      </c>
      <c r="C4638">
        <v>531234</v>
      </c>
      <c r="D4638" t="s">
        <v>360</v>
      </c>
      <c r="E4638" t="s">
        <v>354</v>
      </c>
    </row>
    <row r="4639" spans="2:5">
      <c r="B4639" t="s">
        <v>7026</v>
      </c>
      <c r="C4639">
        <v>511389</v>
      </c>
      <c r="D4639" t="s">
        <v>7027</v>
      </c>
      <c r="E4639" t="s">
        <v>729</v>
      </c>
    </row>
    <row r="4640" spans="2:5">
      <c r="B4640" t="s">
        <v>7028</v>
      </c>
      <c r="C4640">
        <v>531717</v>
      </c>
      <c r="D4640" t="s">
        <v>7029</v>
      </c>
      <c r="E4640" t="s">
        <v>520</v>
      </c>
    </row>
    <row r="4641" spans="2:5">
      <c r="B4641" t="s">
        <v>7030</v>
      </c>
      <c r="C4641">
        <v>539659</v>
      </c>
      <c r="D4641" t="s">
        <v>360</v>
      </c>
      <c r="E4641" t="s">
        <v>849</v>
      </c>
    </row>
    <row r="4642" spans="2:5">
      <c r="B4642" t="s">
        <v>7031</v>
      </c>
      <c r="C4642">
        <v>523724</v>
      </c>
      <c r="D4642" t="s">
        <v>7032</v>
      </c>
      <c r="E4642" t="s">
        <v>446</v>
      </c>
    </row>
    <row r="4643" spans="2:5">
      <c r="B4643" t="s">
        <v>7033</v>
      </c>
      <c r="C4643">
        <v>531069</v>
      </c>
      <c r="D4643" t="s">
        <v>360</v>
      </c>
      <c r="E4643" t="s">
        <v>609</v>
      </c>
    </row>
    <row r="4644" spans="2:5">
      <c r="B4644" t="s">
        <v>7034</v>
      </c>
      <c r="C4644">
        <v>530151</v>
      </c>
      <c r="D4644" t="s">
        <v>360</v>
      </c>
      <c r="E4644" t="s">
        <v>382</v>
      </c>
    </row>
    <row r="4645" spans="2:5">
      <c r="B4645" t="s">
        <v>7035</v>
      </c>
      <c r="C4645">
        <v>532401</v>
      </c>
      <c r="D4645" t="s">
        <v>7036</v>
      </c>
      <c r="E4645" t="s">
        <v>678</v>
      </c>
    </row>
    <row r="4646" spans="2:5">
      <c r="B4646" t="s">
        <v>7037</v>
      </c>
      <c r="C4646">
        <v>537820</v>
      </c>
      <c r="D4646" t="s">
        <v>7038</v>
      </c>
      <c r="E4646" t="s">
        <v>377</v>
      </c>
    </row>
    <row r="4647" spans="2:5">
      <c r="B4647" t="s">
        <v>7039</v>
      </c>
      <c r="C4647">
        <v>531334</v>
      </c>
      <c r="D4647" t="s">
        <v>360</v>
      </c>
      <c r="E4647" t="s">
        <v>781</v>
      </c>
    </row>
    <row r="4648" spans="2:5">
      <c r="B4648" t="s">
        <v>7040</v>
      </c>
      <c r="C4648">
        <v>530961</v>
      </c>
      <c r="D4648" t="s">
        <v>7041</v>
      </c>
      <c r="E4648" t="s">
        <v>520</v>
      </c>
    </row>
    <row r="4649" spans="2:5">
      <c r="B4649" t="s">
        <v>7042</v>
      </c>
      <c r="C4649">
        <v>542655</v>
      </c>
      <c r="D4649" t="s">
        <v>7043</v>
      </c>
      <c r="E4649" t="s">
        <v>726</v>
      </c>
    </row>
    <row r="4650" spans="2:5">
      <c r="B4650" t="s">
        <v>7044</v>
      </c>
      <c r="C4650">
        <v>531518</v>
      </c>
      <c r="D4650" t="s">
        <v>360</v>
      </c>
      <c r="E4650" t="s">
        <v>558</v>
      </c>
    </row>
    <row r="4651" spans="2:5">
      <c r="B4651" t="s">
        <v>7045</v>
      </c>
      <c r="C4651">
        <v>519307</v>
      </c>
      <c r="D4651" t="s">
        <v>360</v>
      </c>
      <c r="E4651" t="s">
        <v>520</v>
      </c>
    </row>
    <row r="4652" spans="2:5">
      <c r="B4652" t="s">
        <v>7046</v>
      </c>
      <c r="C4652">
        <v>530477</v>
      </c>
      <c r="D4652" t="s">
        <v>360</v>
      </c>
      <c r="E4652" t="s">
        <v>398</v>
      </c>
    </row>
    <row r="4653" spans="2:5">
      <c r="B4653" t="s">
        <v>7047</v>
      </c>
      <c r="C4653">
        <v>530477</v>
      </c>
      <c r="D4653" t="s">
        <v>360</v>
      </c>
      <c r="E4653" t="s">
        <v>398</v>
      </c>
    </row>
    <row r="4654" spans="2:5">
      <c r="B4654" t="s">
        <v>7048</v>
      </c>
      <c r="C4654">
        <v>506196</v>
      </c>
      <c r="D4654" t="s">
        <v>360</v>
      </c>
      <c r="E4654" t="s">
        <v>382</v>
      </c>
    </row>
    <row r="4655" spans="2:5">
      <c r="B4655" t="s">
        <v>7049</v>
      </c>
      <c r="C4655">
        <v>519373</v>
      </c>
      <c r="D4655" t="s">
        <v>7050</v>
      </c>
      <c r="E4655" t="s">
        <v>609</v>
      </c>
    </row>
    <row r="4656" spans="2:5">
      <c r="B4656" t="s">
        <v>7051</v>
      </c>
      <c r="C4656">
        <v>524394</v>
      </c>
      <c r="D4656" t="s">
        <v>7052</v>
      </c>
      <c r="E4656" t="s">
        <v>549</v>
      </c>
    </row>
    <row r="4657" spans="2:5">
      <c r="B4657" t="s">
        <v>7053</v>
      </c>
      <c r="C4657">
        <v>504380</v>
      </c>
      <c r="D4657" t="s">
        <v>360</v>
      </c>
      <c r="E4657" t="s">
        <v>382</v>
      </c>
    </row>
    <row r="4658" spans="2:5">
      <c r="B4658" t="s">
        <v>7054</v>
      </c>
      <c r="C4658">
        <v>524200</v>
      </c>
      <c r="D4658" t="s">
        <v>7055</v>
      </c>
      <c r="E4658" t="s">
        <v>408</v>
      </c>
    </row>
    <row r="4659" spans="2:5">
      <c r="B4659" t="s">
        <v>7056</v>
      </c>
      <c r="C4659">
        <v>534639</v>
      </c>
      <c r="D4659" t="s">
        <v>360</v>
      </c>
      <c r="E4659" t="s">
        <v>555</v>
      </c>
    </row>
    <row r="4660" spans="2:5">
      <c r="B4660" t="s">
        <v>7057</v>
      </c>
      <c r="C4660">
        <v>517015</v>
      </c>
      <c r="D4660" t="s">
        <v>7058</v>
      </c>
      <c r="E4660" t="s">
        <v>630</v>
      </c>
    </row>
    <row r="4661" spans="2:5">
      <c r="B4661" t="s">
        <v>7059</v>
      </c>
      <c r="C4661" t="s">
        <v>360</v>
      </c>
      <c r="D4661" t="s">
        <v>7060</v>
      </c>
      <c r="E4661" t="s">
        <v>371</v>
      </c>
    </row>
    <row r="4662" spans="2:5">
      <c r="B4662" t="s">
        <v>7061</v>
      </c>
      <c r="C4662">
        <v>531051</v>
      </c>
      <c r="D4662" t="s">
        <v>360</v>
      </c>
      <c r="E4662" t="s">
        <v>377</v>
      </c>
    </row>
    <row r="4663" spans="2:5">
      <c r="B4663" t="s">
        <v>7062</v>
      </c>
      <c r="C4663">
        <v>524129</v>
      </c>
      <c r="D4663" t="s">
        <v>7063</v>
      </c>
      <c r="E4663" t="s">
        <v>737</v>
      </c>
    </row>
    <row r="4664" spans="2:5">
      <c r="B4664" t="s">
        <v>7064</v>
      </c>
      <c r="C4664">
        <v>524129</v>
      </c>
      <c r="D4664" t="s">
        <v>7065</v>
      </c>
      <c r="E4664" t="s">
        <v>737</v>
      </c>
    </row>
    <row r="4665" spans="2:5">
      <c r="B4665" t="s">
        <v>7066</v>
      </c>
      <c r="C4665">
        <v>530401</v>
      </c>
      <c r="D4665" t="s">
        <v>360</v>
      </c>
      <c r="E4665" t="s">
        <v>408</v>
      </c>
    </row>
    <row r="4666" spans="2:5">
      <c r="B4666" t="s">
        <v>7067</v>
      </c>
      <c r="C4666">
        <v>532613</v>
      </c>
      <c r="D4666" t="s">
        <v>7068</v>
      </c>
      <c r="E4666" t="s">
        <v>382</v>
      </c>
    </row>
    <row r="4667" spans="2:5">
      <c r="B4667" t="s">
        <v>7069</v>
      </c>
      <c r="C4667">
        <v>507880</v>
      </c>
      <c r="D4667" t="s">
        <v>7070</v>
      </c>
      <c r="E4667" t="s">
        <v>474</v>
      </c>
    </row>
    <row r="4668" spans="2:5">
      <c r="B4668" t="s">
        <v>7071</v>
      </c>
      <c r="C4668">
        <v>514302</v>
      </c>
      <c r="D4668" t="s">
        <v>360</v>
      </c>
      <c r="E4668" t="s">
        <v>375</v>
      </c>
    </row>
    <row r="4669" spans="2:5">
      <c r="B4669" t="s">
        <v>7072</v>
      </c>
      <c r="C4669">
        <v>511726</v>
      </c>
      <c r="D4669" t="s">
        <v>7073</v>
      </c>
      <c r="E4669" t="s">
        <v>446</v>
      </c>
    </row>
    <row r="4670" spans="2:5">
      <c r="B4670" t="s">
        <v>7074</v>
      </c>
      <c r="C4670">
        <v>530627</v>
      </c>
      <c r="D4670" t="s">
        <v>360</v>
      </c>
      <c r="E4670" t="s">
        <v>520</v>
      </c>
    </row>
    <row r="4671" spans="2:5">
      <c r="B4671" t="s">
        <v>7075</v>
      </c>
      <c r="C4671">
        <v>519457</v>
      </c>
      <c r="D4671" t="s">
        <v>360</v>
      </c>
      <c r="E4671" t="s">
        <v>420</v>
      </c>
    </row>
    <row r="4672" spans="2:5">
      <c r="B4672" t="s">
        <v>7076</v>
      </c>
      <c r="C4672">
        <v>530521</v>
      </c>
      <c r="D4672" t="s">
        <v>360</v>
      </c>
      <c r="E4672" t="s">
        <v>474</v>
      </c>
    </row>
    <row r="4673" spans="2:5">
      <c r="B4673" t="s">
        <v>7077</v>
      </c>
      <c r="C4673">
        <v>539167</v>
      </c>
      <c r="D4673" t="s">
        <v>360</v>
      </c>
      <c r="E4673" t="s">
        <v>377</v>
      </c>
    </row>
    <row r="4674" spans="2:5">
      <c r="B4674" t="s">
        <v>7078</v>
      </c>
      <c r="C4674">
        <v>532354</v>
      </c>
      <c r="D4674" t="s">
        <v>360</v>
      </c>
      <c r="E4674" t="s">
        <v>453</v>
      </c>
    </row>
    <row r="4675" spans="2:5">
      <c r="B4675" t="s">
        <v>7079</v>
      </c>
      <c r="C4675">
        <v>532372</v>
      </c>
      <c r="D4675" t="s">
        <v>360</v>
      </c>
      <c r="E4675" t="s">
        <v>453</v>
      </c>
    </row>
    <row r="4676" spans="2:5">
      <c r="B4676" t="s">
        <v>7080</v>
      </c>
      <c r="C4676">
        <v>534741</v>
      </c>
      <c r="D4676" t="s">
        <v>360</v>
      </c>
      <c r="E4676" t="s">
        <v>465</v>
      </c>
    </row>
    <row r="4677" spans="2:5">
      <c r="B4677" t="s">
        <v>7081</v>
      </c>
      <c r="C4677">
        <v>531126</v>
      </c>
      <c r="D4677" t="s">
        <v>360</v>
      </c>
      <c r="E4677" t="s">
        <v>453</v>
      </c>
    </row>
    <row r="4678" spans="2:5">
      <c r="B4678" t="s">
        <v>7082</v>
      </c>
      <c r="C4678">
        <v>532721</v>
      </c>
      <c r="D4678" t="s">
        <v>7083</v>
      </c>
      <c r="E4678" t="s">
        <v>392</v>
      </c>
    </row>
    <row r="4679" spans="2:5">
      <c r="B4679" t="s">
        <v>7084</v>
      </c>
      <c r="C4679">
        <v>531025</v>
      </c>
      <c r="D4679" t="s">
        <v>360</v>
      </c>
      <c r="E4679" t="s">
        <v>343</v>
      </c>
    </row>
    <row r="4680" spans="2:5">
      <c r="B4680" t="s">
        <v>7085</v>
      </c>
      <c r="C4680">
        <v>506146</v>
      </c>
      <c r="D4680" t="s">
        <v>7086</v>
      </c>
      <c r="E4680" t="s">
        <v>375</v>
      </c>
    </row>
    <row r="4681" spans="2:5">
      <c r="B4681" t="s">
        <v>7087</v>
      </c>
      <c r="C4681">
        <v>509055</v>
      </c>
      <c r="D4681" t="s">
        <v>7088</v>
      </c>
      <c r="E4681" t="s">
        <v>373</v>
      </c>
    </row>
    <row r="4682" spans="2:5">
      <c r="B4682" t="s">
        <v>7089</v>
      </c>
      <c r="C4682">
        <v>540097</v>
      </c>
      <c r="D4682" t="s">
        <v>360</v>
      </c>
      <c r="E4682" t="s">
        <v>343</v>
      </c>
    </row>
    <row r="4683" spans="2:5">
      <c r="B4683" t="s">
        <v>7090</v>
      </c>
      <c r="C4683">
        <v>532411</v>
      </c>
      <c r="D4683" t="s">
        <v>7091</v>
      </c>
      <c r="E4683" t="s">
        <v>453</v>
      </c>
    </row>
    <row r="4684" spans="2:5">
      <c r="B4684" t="s">
        <v>7092</v>
      </c>
      <c r="C4684">
        <v>539398</v>
      </c>
      <c r="D4684" t="s">
        <v>360</v>
      </c>
      <c r="E4684" t="s">
        <v>368</v>
      </c>
    </row>
    <row r="4685" spans="2:5">
      <c r="B4685" t="s">
        <v>7093</v>
      </c>
      <c r="C4685">
        <v>538598</v>
      </c>
      <c r="D4685" t="s">
        <v>360</v>
      </c>
      <c r="E4685" t="s">
        <v>375</v>
      </c>
    </row>
    <row r="4686" spans="2:5">
      <c r="B4686" t="s">
        <v>7094</v>
      </c>
      <c r="C4686">
        <v>516072</v>
      </c>
      <c r="D4686" t="s">
        <v>7095</v>
      </c>
      <c r="E4686" t="s">
        <v>408</v>
      </c>
    </row>
    <row r="4687" spans="2:5">
      <c r="B4687" t="s">
        <v>7096</v>
      </c>
      <c r="C4687">
        <v>512064</v>
      </c>
      <c r="D4687" t="s">
        <v>7097</v>
      </c>
      <c r="E4687" t="s">
        <v>781</v>
      </c>
    </row>
    <row r="4688" spans="2:5">
      <c r="B4688" t="s">
        <v>7098</v>
      </c>
      <c r="C4688">
        <v>526441</v>
      </c>
      <c r="D4688" t="s">
        <v>360</v>
      </c>
      <c r="E4688" t="s">
        <v>1962</v>
      </c>
    </row>
    <row r="4689" spans="2:5">
      <c r="B4689" t="s">
        <v>7099</v>
      </c>
      <c r="C4689">
        <v>531668</v>
      </c>
      <c r="D4689" t="s">
        <v>360</v>
      </c>
      <c r="E4689" t="s">
        <v>363</v>
      </c>
    </row>
    <row r="4690" spans="2:5">
      <c r="B4690" t="s">
        <v>7100</v>
      </c>
      <c r="C4690">
        <v>524711</v>
      </c>
      <c r="D4690" t="s">
        <v>360</v>
      </c>
      <c r="E4690" t="s">
        <v>398</v>
      </c>
    </row>
    <row r="4691" spans="2:5">
      <c r="B4691" t="s">
        <v>7101</v>
      </c>
      <c r="C4691">
        <v>538565</v>
      </c>
      <c r="D4691" t="s">
        <v>360</v>
      </c>
      <c r="E4691" t="s">
        <v>377</v>
      </c>
    </row>
    <row r="4692" spans="2:5">
      <c r="B4692" t="s">
        <v>7102</v>
      </c>
      <c r="C4692">
        <v>540823</v>
      </c>
      <c r="D4692" t="s">
        <v>360</v>
      </c>
      <c r="E4692" t="s">
        <v>382</v>
      </c>
    </row>
    <row r="4693" spans="2:5">
      <c r="B4693" t="s">
        <v>7103</v>
      </c>
      <c r="C4693">
        <v>541735</v>
      </c>
      <c r="D4693" t="s">
        <v>360</v>
      </c>
      <c r="E4693" t="s">
        <v>758</v>
      </c>
    </row>
    <row r="4694" spans="2:5">
      <c r="B4694" t="s">
        <v>7104</v>
      </c>
      <c r="C4694">
        <v>530057</v>
      </c>
      <c r="D4694" t="s">
        <v>360</v>
      </c>
      <c r="E4694" t="s">
        <v>398</v>
      </c>
    </row>
    <row r="4695" spans="2:5">
      <c r="B4695" t="s">
        <v>7105</v>
      </c>
      <c r="C4695">
        <v>524576</v>
      </c>
      <c r="D4695" t="s">
        <v>360</v>
      </c>
      <c r="E4695" t="s">
        <v>408</v>
      </c>
    </row>
    <row r="4696" spans="2:5">
      <c r="B4696" t="s">
        <v>7106</v>
      </c>
      <c r="C4696">
        <v>532660</v>
      </c>
      <c r="D4696" t="s">
        <v>7107</v>
      </c>
      <c r="E4696" t="s">
        <v>398</v>
      </c>
    </row>
    <row r="4697" spans="2:5">
      <c r="B4697" t="s">
        <v>7108</v>
      </c>
      <c r="C4697">
        <v>511509</v>
      </c>
      <c r="D4697" t="s">
        <v>360</v>
      </c>
      <c r="E4697" t="s">
        <v>698</v>
      </c>
    </row>
    <row r="4698" spans="2:5">
      <c r="B4698" t="s">
        <v>7109</v>
      </c>
      <c r="C4698">
        <v>509026</v>
      </c>
      <c r="D4698" t="s">
        <v>360</v>
      </c>
      <c r="E4698" t="s">
        <v>465</v>
      </c>
    </row>
    <row r="4699" spans="2:5">
      <c r="B4699" t="s">
        <v>7110</v>
      </c>
      <c r="C4699">
        <v>536128</v>
      </c>
      <c r="D4699" t="s">
        <v>360</v>
      </c>
      <c r="E4699" t="s">
        <v>758</v>
      </c>
    </row>
    <row r="4700" spans="2:5">
      <c r="B4700" t="s">
        <v>7111</v>
      </c>
      <c r="C4700">
        <v>511333</v>
      </c>
      <c r="D4700" t="s">
        <v>7112</v>
      </c>
      <c r="E4700" t="s">
        <v>343</v>
      </c>
    </row>
    <row r="4701" spans="2:5">
      <c r="B4701" t="s">
        <v>7113</v>
      </c>
      <c r="C4701">
        <v>534976</v>
      </c>
      <c r="D4701" t="s">
        <v>7114</v>
      </c>
      <c r="E4701" t="s">
        <v>529</v>
      </c>
    </row>
    <row r="4702" spans="2:5">
      <c r="B4702" t="s">
        <v>7115</v>
      </c>
      <c r="C4702">
        <v>533427</v>
      </c>
      <c r="D4702" t="s">
        <v>360</v>
      </c>
      <c r="E4702" t="s">
        <v>496</v>
      </c>
    </row>
    <row r="4703" spans="2:5">
      <c r="B4703" t="s">
        <v>7116</v>
      </c>
      <c r="C4703">
        <v>539222</v>
      </c>
      <c r="D4703" t="s">
        <v>360</v>
      </c>
      <c r="E4703" t="s">
        <v>1362</v>
      </c>
    </row>
    <row r="4704" spans="2:5">
      <c r="B4704" t="s">
        <v>7117</v>
      </c>
      <c r="C4704">
        <v>532822</v>
      </c>
      <c r="D4704" t="s">
        <v>7118</v>
      </c>
      <c r="E4704" t="s">
        <v>1303</v>
      </c>
    </row>
    <row r="4705" spans="2:5">
      <c r="B4705" t="s">
        <v>7119</v>
      </c>
      <c r="C4705">
        <v>522122</v>
      </c>
      <c r="D4705" t="s">
        <v>360</v>
      </c>
      <c r="E4705" t="s">
        <v>375</v>
      </c>
    </row>
    <row r="4706" spans="2:5">
      <c r="B4706" t="s">
        <v>7120</v>
      </c>
      <c r="C4706">
        <v>522122</v>
      </c>
      <c r="D4706" t="s">
        <v>360</v>
      </c>
      <c r="E4706" t="s">
        <v>375</v>
      </c>
    </row>
    <row r="4707" spans="2:5">
      <c r="B4707" t="s">
        <v>7121</v>
      </c>
      <c r="C4707">
        <v>509038</v>
      </c>
      <c r="D4707" t="s">
        <v>360</v>
      </c>
      <c r="E4707" t="s">
        <v>377</v>
      </c>
    </row>
    <row r="4708" spans="2:5">
      <c r="B4708" t="s">
        <v>7122</v>
      </c>
      <c r="C4708">
        <v>532757</v>
      </c>
      <c r="D4708" t="s">
        <v>7123</v>
      </c>
      <c r="E4708" t="s">
        <v>403</v>
      </c>
    </row>
    <row r="4709" spans="2:5">
      <c r="B4709" t="s">
        <v>7124</v>
      </c>
      <c r="C4709">
        <v>500575</v>
      </c>
      <c r="D4709" t="s">
        <v>7125</v>
      </c>
      <c r="E4709" t="s">
        <v>729</v>
      </c>
    </row>
    <row r="4710" spans="2:5">
      <c r="B4710" t="s">
        <v>7126</v>
      </c>
      <c r="C4710">
        <v>512215</v>
      </c>
      <c r="D4710" t="s">
        <v>360</v>
      </c>
      <c r="E4710" t="s">
        <v>343</v>
      </c>
    </row>
    <row r="4711" spans="2:5">
      <c r="B4711" t="s">
        <v>7127</v>
      </c>
      <c r="C4711">
        <v>539118</v>
      </c>
      <c r="D4711" t="s">
        <v>7128</v>
      </c>
      <c r="E4711" t="s">
        <v>681</v>
      </c>
    </row>
    <row r="4712" spans="2:5">
      <c r="B4712" t="s">
        <v>7129</v>
      </c>
      <c r="C4712">
        <v>519331</v>
      </c>
      <c r="D4712" t="s">
        <v>360</v>
      </c>
      <c r="E4712" t="s">
        <v>758</v>
      </c>
    </row>
    <row r="4713" spans="2:5">
      <c r="B4713" t="s">
        <v>7130</v>
      </c>
      <c r="C4713">
        <v>509966</v>
      </c>
      <c r="D4713" t="s">
        <v>7131</v>
      </c>
      <c r="E4713" t="s">
        <v>2530</v>
      </c>
    </row>
    <row r="4714" spans="2:5">
      <c r="B4714" t="s">
        <v>7132</v>
      </c>
      <c r="C4714">
        <v>532893</v>
      </c>
      <c r="D4714" t="s">
        <v>360</v>
      </c>
      <c r="E4714" t="s">
        <v>375</v>
      </c>
    </row>
    <row r="4715" spans="2:5">
      <c r="B4715" t="s">
        <v>7133</v>
      </c>
      <c r="C4715">
        <v>517399</v>
      </c>
      <c r="D4715" t="s">
        <v>7134</v>
      </c>
      <c r="E4715" t="s">
        <v>729</v>
      </c>
    </row>
    <row r="4716" spans="2:5">
      <c r="B4716" t="s">
        <v>7135</v>
      </c>
      <c r="C4716">
        <v>506142</v>
      </c>
      <c r="D4716" t="s">
        <v>360</v>
      </c>
      <c r="E4716" t="s">
        <v>343</v>
      </c>
    </row>
    <row r="4717" spans="2:5">
      <c r="B4717" t="s">
        <v>7136</v>
      </c>
      <c r="C4717">
        <v>501391</v>
      </c>
      <c r="D4717" t="s">
        <v>360</v>
      </c>
      <c r="E4717" t="s">
        <v>382</v>
      </c>
    </row>
    <row r="4718" spans="2:5">
      <c r="B4718" t="s">
        <v>7137</v>
      </c>
      <c r="C4718">
        <v>504220</v>
      </c>
      <c r="D4718" t="s">
        <v>360</v>
      </c>
      <c r="E4718" t="s">
        <v>368</v>
      </c>
    </row>
    <row r="4719" spans="2:5">
      <c r="B4719" t="s">
        <v>7138</v>
      </c>
      <c r="C4719" t="s">
        <v>360</v>
      </c>
      <c r="D4719" t="s">
        <v>7139</v>
      </c>
      <c r="E4719" t="s">
        <v>451</v>
      </c>
    </row>
    <row r="4720" spans="2:5">
      <c r="B4720" t="s">
        <v>7140</v>
      </c>
      <c r="C4720">
        <v>504220</v>
      </c>
      <c r="D4720" t="s">
        <v>360</v>
      </c>
      <c r="E4720" t="s">
        <v>368</v>
      </c>
    </row>
    <row r="4721" spans="2:5">
      <c r="B4721" t="s">
        <v>7141</v>
      </c>
      <c r="C4721">
        <v>505583</v>
      </c>
      <c r="D4721" t="s">
        <v>360</v>
      </c>
      <c r="E4721" t="s">
        <v>446</v>
      </c>
    </row>
    <row r="4722" spans="2:5">
      <c r="B4722" t="s">
        <v>7142</v>
      </c>
      <c r="C4722">
        <v>541445</v>
      </c>
      <c r="D4722" t="s">
        <v>360</v>
      </c>
      <c r="E4722" t="s">
        <v>658</v>
      </c>
    </row>
    <row r="4723" spans="2:5">
      <c r="B4723" t="s">
        <v>7143</v>
      </c>
      <c r="C4723">
        <v>533023</v>
      </c>
      <c r="D4723" t="s">
        <v>7144</v>
      </c>
      <c r="E4723" t="s">
        <v>715</v>
      </c>
    </row>
    <row r="4724" spans="2:5">
      <c r="B4724" t="s">
        <v>7145</v>
      </c>
      <c r="C4724">
        <v>533023</v>
      </c>
      <c r="D4724" t="s">
        <v>7146</v>
      </c>
      <c r="E4724" t="s">
        <v>715</v>
      </c>
    </row>
    <row r="4725" spans="2:5">
      <c r="B4725" t="s">
        <v>7147</v>
      </c>
      <c r="C4725">
        <v>503675</v>
      </c>
      <c r="D4725" t="s">
        <v>360</v>
      </c>
      <c r="E4725" t="s">
        <v>781</v>
      </c>
    </row>
    <row r="4726" spans="2:5">
      <c r="B4726" t="s">
        <v>7148</v>
      </c>
      <c r="C4726">
        <v>501370</v>
      </c>
      <c r="D4726" t="s">
        <v>360</v>
      </c>
      <c r="E4726" t="s">
        <v>444</v>
      </c>
    </row>
    <row r="4727" spans="2:5">
      <c r="B4727" t="s">
        <v>7149</v>
      </c>
      <c r="C4727">
        <v>507410</v>
      </c>
      <c r="D4727" t="s">
        <v>7150</v>
      </c>
      <c r="E4727" t="s">
        <v>349</v>
      </c>
    </row>
    <row r="4728" spans="2:5">
      <c r="B4728" t="s">
        <v>7151</v>
      </c>
      <c r="C4728">
        <v>511147</v>
      </c>
      <c r="D4728" t="s">
        <v>360</v>
      </c>
      <c r="E4728" t="s">
        <v>377</v>
      </c>
    </row>
    <row r="4729" spans="2:5">
      <c r="B4729" t="s">
        <v>7152</v>
      </c>
      <c r="C4729">
        <v>532053</v>
      </c>
      <c r="D4729" t="s">
        <v>360</v>
      </c>
      <c r="E4729" t="s">
        <v>343</v>
      </c>
    </row>
    <row r="4730" spans="2:5">
      <c r="B4730" t="s">
        <v>7153</v>
      </c>
      <c r="C4730">
        <v>524212</v>
      </c>
      <c r="D4730" t="s">
        <v>7154</v>
      </c>
      <c r="E4730" t="s">
        <v>398</v>
      </c>
    </row>
    <row r="4731" spans="2:5">
      <c r="B4731" t="s">
        <v>7155</v>
      </c>
      <c r="C4731">
        <v>511690</v>
      </c>
      <c r="D4731" t="s">
        <v>360</v>
      </c>
      <c r="E4731" t="s">
        <v>377</v>
      </c>
    </row>
    <row r="4732" spans="2:5">
      <c r="B4732" t="s">
        <v>7156</v>
      </c>
      <c r="C4732">
        <v>508494</v>
      </c>
      <c r="D4732" t="s">
        <v>360</v>
      </c>
      <c r="E4732" t="s">
        <v>767</v>
      </c>
    </row>
    <row r="4733" spans="2:5">
      <c r="B4733" t="s">
        <v>7157</v>
      </c>
      <c r="C4733">
        <v>523660</v>
      </c>
      <c r="D4733" t="s">
        <v>360</v>
      </c>
      <c r="E4733" t="s">
        <v>440</v>
      </c>
    </row>
    <row r="4734" spans="2:5">
      <c r="B4734" t="s">
        <v>7158</v>
      </c>
      <c r="C4734" t="s">
        <v>360</v>
      </c>
      <c r="D4734" t="s">
        <v>7159</v>
      </c>
      <c r="E4734" t="s">
        <v>371</v>
      </c>
    </row>
    <row r="4735" spans="2:5">
      <c r="B4735" t="s">
        <v>7160</v>
      </c>
      <c r="C4735">
        <v>780016</v>
      </c>
      <c r="D4735" t="s">
        <v>360</v>
      </c>
      <c r="E4735" t="s">
        <v>451</v>
      </c>
    </row>
    <row r="4736" spans="2:5">
      <c r="B4736" t="s">
        <v>7161</v>
      </c>
      <c r="C4736">
        <v>517498</v>
      </c>
      <c r="D4736" t="s">
        <v>7162</v>
      </c>
      <c r="E4736" t="s">
        <v>658</v>
      </c>
    </row>
    <row r="4737" spans="2:5">
      <c r="B4737" t="s">
        <v>7163</v>
      </c>
      <c r="C4737">
        <v>511074</v>
      </c>
      <c r="D4737" t="s">
        <v>360</v>
      </c>
      <c r="E4737" t="s">
        <v>377</v>
      </c>
    </row>
    <row r="4738" spans="2:5">
      <c r="B4738" t="s">
        <v>7164</v>
      </c>
      <c r="C4738">
        <v>533452</v>
      </c>
      <c r="D4738" t="s">
        <v>7165</v>
      </c>
      <c r="E4738" t="s">
        <v>343</v>
      </c>
    </row>
    <row r="4739" spans="2:5">
      <c r="B4739" t="s">
        <v>7166</v>
      </c>
      <c r="C4739">
        <v>523011</v>
      </c>
      <c r="D4739" t="s">
        <v>7167</v>
      </c>
      <c r="E4739" t="s">
        <v>382</v>
      </c>
    </row>
    <row r="4740" spans="2:5">
      <c r="B4740" t="s">
        <v>7168</v>
      </c>
      <c r="C4740">
        <v>504988</v>
      </c>
      <c r="D4740" t="s">
        <v>360</v>
      </c>
      <c r="E4740" t="s">
        <v>1279</v>
      </c>
    </row>
    <row r="4741" spans="2:5">
      <c r="B4741" t="s">
        <v>7169</v>
      </c>
      <c r="C4741">
        <v>524661</v>
      </c>
      <c r="D4741" t="s">
        <v>360</v>
      </c>
      <c r="E4741" t="s">
        <v>398</v>
      </c>
    </row>
    <row r="4742" spans="2:5">
      <c r="B4742" t="s">
        <v>7170</v>
      </c>
      <c r="C4742">
        <v>532016</v>
      </c>
      <c r="D4742" t="s">
        <v>360</v>
      </c>
      <c r="E4742" t="s">
        <v>446</v>
      </c>
    </row>
    <row r="4743" spans="2:5">
      <c r="B4743" t="s">
        <v>7171</v>
      </c>
      <c r="C4743">
        <v>531211</v>
      </c>
      <c r="D4743" t="s">
        <v>360</v>
      </c>
      <c r="E4743" t="s">
        <v>343</v>
      </c>
    </row>
    <row r="4744" spans="2:5">
      <c r="B4744" t="s">
        <v>7172</v>
      </c>
      <c r="C4744">
        <v>514162</v>
      </c>
      <c r="D4744" t="s">
        <v>7173</v>
      </c>
      <c r="E4744" t="s">
        <v>375</v>
      </c>
    </row>
    <row r="4745" spans="2:5">
      <c r="B4745" t="s">
        <v>7174</v>
      </c>
      <c r="C4745">
        <v>532144</v>
      </c>
      <c r="D4745" t="s">
        <v>7175</v>
      </c>
      <c r="E4745" t="s">
        <v>758</v>
      </c>
    </row>
    <row r="4746" spans="2:5">
      <c r="B4746" t="s">
        <v>7176</v>
      </c>
      <c r="C4746">
        <v>532553</v>
      </c>
      <c r="D4746" t="s">
        <v>7177</v>
      </c>
      <c r="E4746" t="s">
        <v>758</v>
      </c>
    </row>
    <row r="4747" spans="2:5">
      <c r="B4747" t="s">
        <v>7178</v>
      </c>
      <c r="C4747">
        <v>514162</v>
      </c>
      <c r="D4747" t="s">
        <v>7173</v>
      </c>
      <c r="E4747" t="s">
        <v>375</v>
      </c>
    </row>
    <row r="4748" spans="2:5">
      <c r="B4748" t="s">
        <v>7179</v>
      </c>
      <c r="C4748">
        <v>533252</v>
      </c>
      <c r="D4748" t="s">
        <v>7180</v>
      </c>
      <c r="E4748" t="s">
        <v>343</v>
      </c>
    </row>
    <row r="4749" spans="2:5">
      <c r="B4749" t="s">
        <v>7181</v>
      </c>
      <c r="C4749">
        <v>526431</v>
      </c>
      <c r="D4749" t="s">
        <v>360</v>
      </c>
      <c r="E4749" t="s">
        <v>786</v>
      </c>
    </row>
    <row r="4750" spans="2:5">
      <c r="B4750" t="s">
        <v>7182</v>
      </c>
      <c r="C4750">
        <v>505412</v>
      </c>
      <c r="D4750" t="s">
        <v>7183</v>
      </c>
      <c r="E4750" t="s">
        <v>368</v>
      </c>
    </row>
    <row r="4751" spans="2:5">
      <c r="B4751" t="s">
        <v>7184</v>
      </c>
      <c r="C4751">
        <v>505412</v>
      </c>
      <c r="D4751" t="s">
        <v>7183</v>
      </c>
      <c r="E4751" t="s">
        <v>368</v>
      </c>
    </row>
    <row r="4752" spans="2:5">
      <c r="B4752" t="s">
        <v>7185</v>
      </c>
      <c r="C4752">
        <v>532373</v>
      </c>
      <c r="D4752" t="s">
        <v>360</v>
      </c>
      <c r="E4752" t="s">
        <v>382</v>
      </c>
    </row>
    <row r="4753" spans="2:5">
      <c r="B4753" t="s">
        <v>7186</v>
      </c>
      <c r="C4753">
        <v>500444</v>
      </c>
      <c r="D4753" t="s">
        <v>7187</v>
      </c>
      <c r="E4753" t="s">
        <v>354</v>
      </c>
    </row>
    <row r="4754" spans="2:5">
      <c r="B4754" t="s">
        <v>7188</v>
      </c>
      <c r="C4754">
        <v>538382</v>
      </c>
      <c r="D4754" t="s">
        <v>360</v>
      </c>
      <c r="E4754" t="s">
        <v>382</v>
      </c>
    </row>
    <row r="4755" spans="2:5">
      <c r="B4755" t="s">
        <v>7189</v>
      </c>
      <c r="C4755">
        <v>504998</v>
      </c>
      <c r="D4755" t="s">
        <v>360</v>
      </c>
      <c r="E4755" t="s">
        <v>392</v>
      </c>
    </row>
    <row r="4756" spans="2:5">
      <c r="B4756" t="s">
        <v>7190</v>
      </c>
      <c r="C4756">
        <v>505533</v>
      </c>
      <c r="D4756" t="s">
        <v>360</v>
      </c>
      <c r="E4756" t="s">
        <v>849</v>
      </c>
    </row>
    <row r="4757" spans="2:5">
      <c r="B4757" t="s">
        <v>7191</v>
      </c>
      <c r="C4757">
        <v>590073</v>
      </c>
      <c r="D4757" t="s">
        <v>7192</v>
      </c>
      <c r="E4757" t="s">
        <v>715</v>
      </c>
    </row>
    <row r="4758" spans="2:5">
      <c r="B4758" t="s">
        <v>7193</v>
      </c>
      <c r="C4758">
        <v>590073</v>
      </c>
      <c r="D4758" t="s">
        <v>7192</v>
      </c>
      <c r="E4758" t="s">
        <v>715</v>
      </c>
    </row>
    <row r="4759" spans="2:5">
      <c r="B4759" t="s">
        <v>7194</v>
      </c>
      <c r="C4759">
        <v>500238</v>
      </c>
      <c r="D4759" t="s">
        <v>7195</v>
      </c>
      <c r="E4759" t="s">
        <v>729</v>
      </c>
    </row>
    <row r="4760" spans="2:5">
      <c r="B4760" t="s">
        <v>7196</v>
      </c>
      <c r="C4760">
        <v>500238</v>
      </c>
      <c r="D4760" t="s">
        <v>7195</v>
      </c>
      <c r="E4760" t="s">
        <v>729</v>
      </c>
    </row>
    <row r="4761" spans="2:5">
      <c r="B4761" t="s">
        <v>7197</v>
      </c>
      <c r="C4761">
        <v>513713</v>
      </c>
      <c r="D4761" t="s">
        <v>360</v>
      </c>
      <c r="E4761" t="s">
        <v>474</v>
      </c>
    </row>
    <row r="4762" spans="2:5">
      <c r="B4762" t="s">
        <v>7198</v>
      </c>
      <c r="C4762">
        <v>542667</v>
      </c>
      <c r="D4762" t="s">
        <v>7199</v>
      </c>
      <c r="E4762" t="s">
        <v>726</v>
      </c>
    </row>
    <row r="4763" spans="2:5">
      <c r="B4763" t="s">
        <v>7200</v>
      </c>
      <c r="C4763">
        <v>519214</v>
      </c>
      <c r="D4763" t="s">
        <v>360</v>
      </c>
      <c r="E4763" t="s">
        <v>377</v>
      </c>
    </row>
    <row r="4764" spans="2:5">
      <c r="B4764" t="s">
        <v>7201</v>
      </c>
      <c r="C4764">
        <v>519224</v>
      </c>
      <c r="D4764" t="s">
        <v>7202</v>
      </c>
      <c r="E4764" t="s">
        <v>382</v>
      </c>
    </row>
    <row r="4765" spans="2:5">
      <c r="B4765" t="s">
        <v>7203</v>
      </c>
      <c r="C4765">
        <v>526586</v>
      </c>
      <c r="D4765" t="s">
        <v>360</v>
      </c>
      <c r="E4765" t="s">
        <v>480</v>
      </c>
    </row>
    <row r="4766" spans="2:5">
      <c r="B4766" t="s">
        <v>7204</v>
      </c>
      <c r="C4766">
        <v>522029</v>
      </c>
      <c r="D4766" t="s">
        <v>7205</v>
      </c>
      <c r="E4766" t="s">
        <v>368</v>
      </c>
    </row>
    <row r="4767" spans="2:5">
      <c r="B4767" t="s">
        <v>7206</v>
      </c>
      <c r="C4767">
        <v>512022</v>
      </c>
      <c r="D4767" t="s">
        <v>360</v>
      </c>
      <c r="E4767" t="s">
        <v>343</v>
      </c>
    </row>
    <row r="4768" spans="2:5">
      <c r="B4768" t="s">
        <v>7207</v>
      </c>
      <c r="C4768">
        <v>512022</v>
      </c>
      <c r="D4768" t="s">
        <v>360</v>
      </c>
      <c r="E4768" t="s">
        <v>343</v>
      </c>
    </row>
    <row r="4769" spans="2:5">
      <c r="B4769" t="s">
        <v>7208</v>
      </c>
      <c r="C4769">
        <v>526471</v>
      </c>
      <c r="D4769" t="s">
        <v>360</v>
      </c>
      <c r="E4769" t="s">
        <v>991</v>
      </c>
    </row>
    <row r="4770" spans="2:5">
      <c r="B4770" t="s">
        <v>7209</v>
      </c>
      <c r="C4770">
        <v>514470</v>
      </c>
      <c r="D4770" t="s">
        <v>360</v>
      </c>
      <c r="E4770" t="s">
        <v>375</v>
      </c>
    </row>
    <row r="4771" spans="2:5">
      <c r="B4771" t="s">
        <v>7210</v>
      </c>
      <c r="C4771">
        <v>514348</v>
      </c>
      <c r="D4771" t="s">
        <v>7211</v>
      </c>
      <c r="E4771" t="s">
        <v>375</v>
      </c>
    </row>
    <row r="4772" spans="2:5">
      <c r="B4772" t="s">
        <v>7212</v>
      </c>
      <c r="C4772">
        <v>524758</v>
      </c>
      <c r="D4772" t="s">
        <v>360</v>
      </c>
      <c r="E4772" t="s">
        <v>398</v>
      </c>
    </row>
    <row r="4773" spans="2:5">
      <c r="B4773" t="s">
        <v>7213</v>
      </c>
      <c r="C4773">
        <v>538873</v>
      </c>
      <c r="D4773" t="s">
        <v>360</v>
      </c>
      <c r="E4773" t="s">
        <v>377</v>
      </c>
    </row>
    <row r="4774" spans="2:5">
      <c r="B4774" t="s">
        <v>7214</v>
      </c>
      <c r="C4774">
        <v>507685</v>
      </c>
      <c r="D4774" t="s">
        <v>7215</v>
      </c>
      <c r="E4774" t="s">
        <v>346</v>
      </c>
    </row>
    <row r="4775" spans="2:5">
      <c r="B4775" t="s">
        <v>7216</v>
      </c>
      <c r="C4775">
        <v>507817</v>
      </c>
      <c r="D4775" t="s">
        <v>360</v>
      </c>
      <c r="E4775" t="s">
        <v>375</v>
      </c>
    </row>
    <row r="4776" spans="2:5">
      <c r="B4776" t="s">
        <v>7217</v>
      </c>
      <c r="C4776">
        <v>511642</v>
      </c>
      <c r="D4776" t="s">
        <v>360</v>
      </c>
      <c r="E4776" t="s">
        <v>377</v>
      </c>
    </row>
    <row r="4777" spans="2:5">
      <c r="B4777" t="s">
        <v>7218</v>
      </c>
      <c r="C4777">
        <v>532300</v>
      </c>
      <c r="D4777" t="s">
        <v>7219</v>
      </c>
      <c r="E4777" t="s">
        <v>398</v>
      </c>
    </row>
    <row r="4778" spans="2:5">
      <c r="B4778" t="s">
        <v>7220</v>
      </c>
      <c r="C4778">
        <v>531396</v>
      </c>
      <c r="D4778" t="s">
        <v>360</v>
      </c>
      <c r="E4778" t="s">
        <v>453</v>
      </c>
    </row>
    <row r="4779" spans="2:5">
      <c r="B4779" t="s">
        <v>7221</v>
      </c>
      <c r="C4779">
        <v>538128</v>
      </c>
      <c r="D4779" t="s">
        <v>360</v>
      </c>
      <c r="E4779" t="s">
        <v>474</v>
      </c>
    </row>
    <row r="4780" spans="2:5">
      <c r="B4780" t="s">
        <v>7222</v>
      </c>
      <c r="C4780">
        <v>538268</v>
      </c>
      <c r="D4780" t="s">
        <v>7223</v>
      </c>
      <c r="E4780" t="s">
        <v>538</v>
      </c>
    </row>
    <row r="4781" spans="2:5">
      <c r="B4781" t="s">
        <v>7224</v>
      </c>
      <c r="C4781">
        <v>526959</v>
      </c>
      <c r="D4781" t="s">
        <v>360</v>
      </c>
      <c r="E4781" t="s">
        <v>561</v>
      </c>
    </row>
    <row r="4782" spans="2:5">
      <c r="B4782" t="s">
        <v>7225</v>
      </c>
      <c r="C4782">
        <v>526525</v>
      </c>
      <c r="D4782" t="s">
        <v>360</v>
      </c>
      <c r="E4782" t="s">
        <v>474</v>
      </c>
    </row>
    <row r="4783" spans="2:5">
      <c r="B4783" t="s">
        <v>7226</v>
      </c>
      <c r="C4783">
        <v>538451</v>
      </c>
      <c r="D4783" t="s">
        <v>360</v>
      </c>
      <c r="E4783" t="s">
        <v>380</v>
      </c>
    </row>
    <row r="4784" spans="2:5">
      <c r="B4784" t="s">
        <v>7227</v>
      </c>
      <c r="C4784" t="s">
        <v>360</v>
      </c>
      <c r="D4784" t="s">
        <v>7228</v>
      </c>
      <c r="E4784" t="s">
        <v>371</v>
      </c>
    </row>
    <row r="4785" spans="2:5">
      <c r="B4785" t="s">
        <v>7229</v>
      </c>
      <c r="C4785">
        <v>505872</v>
      </c>
      <c r="D4785" t="s">
        <v>360</v>
      </c>
      <c r="E4785" t="s">
        <v>368</v>
      </c>
    </row>
    <row r="4786" spans="2:5">
      <c r="B4786" t="s">
        <v>7230</v>
      </c>
      <c r="C4786">
        <v>532616</v>
      </c>
      <c r="D4786" t="s">
        <v>7231</v>
      </c>
      <c r="E4786" t="s">
        <v>690</v>
      </c>
    </row>
    <row r="4787" spans="2:5">
      <c r="B4787" t="s">
        <v>7232</v>
      </c>
      <c r="C4787">
        <v>542367</v>
      </c>
      <c r="D4787" t="s">
        <v>7233</v>
      </c>
      <c r="E4787" t="s">
        <v>5484</v>
      </c>
    </row>
    <row r="4788" spans="2:5">
      <c r="B4788" t="s">
        <v>7234</v>
      </c>
      <c r="C4788">
        <v>532788</v>
      </c>
      <c r="D4788" t="s">
        <v>7235</v>
      </c>
      <c r="E4788" t="s">
        <v>506</v>
      </c>
    </row>
    <row r="4789" spans="2:5">
      <c r="B4789" t="s">
        <v>7236</v>
      </c>
      <c r="C4789">
        <v>590013</v>
      </c>
      <c r="D4789" t="s">
        <v>7237</v>
      </c>
      <c r="E4789" t="s">
        <v>408</v>
      </c>
    </row>
    <row r="4790" spans="2:5">
      <c r="B4790" t="s">
        <v>7238</v>
      </c>
      <c r="C4790">
        <v>590013</v>
      </c>
      <c r="D4790" t="s">
        <v>7239</v>
      </c>
      <c r="E4790" t="s">
        <v>408</v>
      </c>
    </row>
    <row r="4791" spans="2:5">
      <c r="B4791" t="s">
        <v>7240</v>
      </c>
      <c r="C4791">
        <v>511012</v>
      </c>
      <c r="D4791" t="s">
        <v>360</v>
      </c>
      <c r="E4791" t="s">
        <v>380</v>
      </c>
    </row>
    <row r="4792" spans="2:5">
      <c r="B4792" t="s">
        <v>7241</v>
      </c>
      <c r="C4792">
        <v>514378</v>
      </c>
      <c r="D4792" t="s">
        <v>360</v>
      </c>
      <c r="E4792" t="s">
        <v>382</v>
      </c>
    </row>
    <row r="4793" spans="2:5">
      <c r="B4793" t="s">
        <v>7242</v>
      </c>
      <c r="C4793">
        <v>539939</v>
      </c>
      <c r="D4793" t="s">
        <v>360</v>
      </c>
      <c r="E4793" t="s">
        <v>520</v>
      </c>
    </row>
    <row r="4794" spans="2:5">
      <c r="B4794" t="s">
        <v>7243</v>
      </c>
      <c r="C4794">
        <v>511601</v>
      </c>
      <c r="D4794" t="s">
        <v>360</v>
      </c>
      <c r="E4794" t="s">
        <v>382</v>
      </c>
    </row>
    <row r="4795" spans="2:5">
      <c r="B4795" t="s">
        <v>7244</v>
      </c>
      <c r="C4795">
        <v>516030</v>
      </c>
      <c r="D4795" t="s">
        <v>360</v>
      </c>
      <c r="E4795" t="s">
        <v>354</v>
      </c>
    </row>
    <row r="4796" spans="2:5">
      <c r="B4796" t="s">
        <v>7245</v>
      </c>
      <c r="C4796">
        <v>541167</v>
      </c>
      <c r="D4796" t="s">
        <v>360</v>
      </c>
      <c r="E4796" t="s">
        <v>520</v>
      </c>
    </row>
    <row r="4797" spans="2:5">
      <c r="B4797" t="s">
        <v>7246</v>
      </c>
      <c r="C4797">
        <v>530063</v>
      </c>
      <c r="D4797" t="s">
        <v>360</v>
      </c>
      <c r="E4797" t="s">
        <v>555</v>
      </c>
    </row>
    <row r="4798" spans="2:5">
      <c r="B4798" t="s">
        <v>7247</v>
      </c>
      <c r="C4798">
        <v>532648</v>
      </c>
      <c r="D4798" t="s">
        <v>7248</v>
      </c>
      <c r="E4798" t="s">
        <v>678</v>
      </c>
    </row>
    <row r="4799" spans="2:5">
      <c r="B4799" t="s">
        <v>7249</v>
      </c>
      <c r="C4799">
        <v>531260</v>
      </c>
      <c r="D4799" t="s">
        <v>360</v>
      </c>
      <c r="E4799" t="s">
        <v>420</v>
      </c>
    </row>
    <row r="4800" spans="2:5">
      <c r="B4800" t="s">
        <v>7250</v>
      </c>
      <c r="C4800">
        <v>522209</v>
      </c>
      <c r="D4800" t="s">
        <v>360</v>
      </c>
      <c r="E4800" t="s">
        <v>343</v>
      </c>
    </row>
    <row r="4801" spans="2:5">
      <c r="B4801" t="s">
        <v>7251</v>
      </c>
      <c r="C4801">
        <v>522209</v>
      </c>
      <c r="D4801" t="s">
        <v>360</v>
      </c>
      <c r="E4801" t="s">
        <v>343</v>
      </c>
    </row>
    <row r="4802" spans="2:5">
      <c r="B4802" t="s">
        <v>7252</v>
      </c>
      <c r="C4802">
        <v>539097</v>
      </c>
      <c r="D4802" t="s">
        <v>360</v>
      </c>
      <c r="E4802" t="s">
        <v>382</v>
      </c>
    </row>
    <row r="4803" spans="2:5">
      <c r="B4803" t="s">
        <v>7253</v>
      </c>
      <c r="C4803">
        <v>530675</v>
      </c>
      <c r="D4803" t="s">
        <v>360</v>
      </c>
      <c r="E4803" t="s">
        <v>474</v>
      </c>
    </row>
    <row r="4804" spans="2:5">
      <c r="B4804" t="s">
        <v>7254</v>
      </c>
      <c r="C4804">
        <v>540550</v>
      </c>
      <c r="D4804" t="s">
        <v>360</v>
      </c>
      <c r="E4804" t="s">
        <v>520</v>
      </c>
    </row>
    <row r="4805" spans="2:5">
      <c r="B4805" t="s">
        <v>7255</v>
      </c>
      <c r="C4805">
        <v>522108</v>
      </c>
      <c r="D4805" t="s">
        <v>360</v>
      </c>
      <c r="E4805" t="s">
        <v>715</v>
      </c>
    </row>
    <row r="4806" spans="2:5">
      <c r="B4806" t="s">
        <v>7256</v>
      </c>
      <c r="C4806">
        <v>522108</v>
      </c>
      <c r="D4806" t="s">
        <v>360</v>
      </c>
      <c r="E4806" t="s">
        <v>715</v>
      </c>
    </row>
    <row r="4807" spans="2:5">
      <c r="B4807" t="s">
        <v>7257</v>
      </c>
      <c r="C4807">
        <v>536846</v>
      </c>
      <c r="D4807" t="s">
        <v>360</v>
      </c>
      <c r="E4807" t="s">
        <v>758</v>
      </c>
    </row>
    <row r="4808" spans="2:5">
      <c r="B4808" t="s">
        <v>7258</v>
      </c>
      <c r="C4808">
        <v>531663</v>
      </c>
      <c r="D4808" t="s">
        <v>7259</v>
      </c>
      <c r="E4808" t="s">
        <v>2178</v>
      </c>
    </row>
    <row r="4809" spans="2:5">
      <c r="B4809" t="s">
        <v>7260</v>
      </c>
      <c r="C4809">
        <v>505163</v>
      </c>
      <c r="D4809" t="s">
        <v>360</v>
      </c>
      <c r="E4809" t="s">
        <v>715</v>
      </c>
    </row>
    <row r="4810" spans="2:5">
      <c r="B4810" t="s">
        <v>7261</v>
      </c>
      <c r="C4810">
        <v>505163</v>
      </c>
      <c r="D4810" t="s">
        <v>360</v>
      </c>
      <c r="E4810" t="s">
        <v>715</v>
      </c>
    </row>
    <row r="4811" spans="2:5">
      <c r="B4811" t="s">
        <v>7262</v>
      </c>
      <c r="C4811">
        <v>539963</v>
      </c>
      <c r="D4811" t="s">
        <v>360</v>
      </c>
      <c r="E4811" t="s">
        <v>440</v>
      </c>
    </row>
    <row r="4812" spans="2:5">
      <c r="B4812" t="s">
        <v>7263</v>
      </c>
      <c r="C4812">
        <v>505537</v>
      </c>
      <c r="D4812" t="s">
        <v>7264</v>
      </c>
      <c r="E4812" t="s">
        <v>1098</v>
      </c>
    </row>
    <row r="4813" spans="2:5">
      <c r="B4813" t="s">
        <v>7265</v>
      </c>
      <c r="C4813">
        <v>533287</v>
      </c>
      <c r="D4813" t="s">
        <v>7266</v>
      </c>
      <c r="E4813" t="s">
        <v>465</v>
      </c>
    </row>
    <row r="4814" spans="2:5">
      <c r="B4814" t="s">
        <v>7267</v>
      </c>
      <c r="C4814">
        <v>532794</v>
      </c>
      <c r="D4814" t="s">
        <v>7268</v>
      </c>
      <c r="E4814" t="s">
        <v>1098</v>
      </c>
    </row>
    <row r="4815" spans="2:5">
      <c r="B4815" t="s">
        <v>7269</v>
      </c>
      <c r="C4815">
        <v>533339</v>
      </c>
      <c r="D4815" t="s">
        <v>7270</v>
      </c>
      <c r="E4815" t="s">
        <v>453</v>
      </c>
    </row>
    <row r="4816" spans="2:5">
      <c r="B4816" t="s">
        <v>7271</v>
      </c>
      <c r="C4816">
        <v>531845</v>
      </c>
      <c r="D4816" t="s">
        <v>7272</v>
      </c>
      <c r="E4816" t="s">
        <v>758</v>
      </c>
    </row>
    <row r="4817" spans="2:5">
      <c r="B4817" t="s">
        <v>7273</v>
      </c>
      <c r="C4817">
        <v>531845</v>
      </c>
      <c r="D4817" t="s">
        <v>7272</v>
      </c>
      <c r="E4817" t="s">
        <v>758</v>
      </c>
    </row>
    <row r="4818" spans="2:5">
      <c r="B4818" t="s">
        <v>7274</v>
      </c>
      <c r="C4818">
        <v>512553</v>
      </c>
      <c r="D4818" t="s">
        <v>7275</v>
      </c>
      <c r="E4818" t="s">
        <v>375</v>
      </c>
    </row>
    <row r="4819" spans="2:5">
      <c r="B4819" t="s">
        <v>7276</v>
      </c>
      <c r="C4819">
        <v>514266</v>
      </c>
      <c r="D4819" t="s">
        <v>360</v>
      </c>
      <c r="E4819" t="s">
        <v>375</v>
      </c>
    </row>
    <row r="4820" spans="2:5">
      <c r="B4820" t="s">
        <v>7277</v>
      </c>
      <c r="C4820">
        <v>530665</v>
      </c>
      <c r="D4820" t="s">
        <v>360</v>
      </c>
      <c r="E4820" t="s">
        <v>398</v>
      </c>
    </row>
    <row r="4821" spans="2:5">
      <c r="B4821" t="s">
        <v>7278</v>
      </c>
      <c r="C4821">
        <v>530697</v>
      </c>
      <c r="D4821" t="s">
        <v>360</v>
      </c>
      <c r="E4821" t="s">
        <v>781</v>
      </c>
    </row>
    <row r="4822" spans="2:5">
      <c r="B4822" t="s">
        <v>7279</v>
      </c>
      <c r="C4822">
        <v>532039</v>
      </c>
      <c r="D4822" t="s">
        <v>360</v>
      </c>
      <c r="E4822" t="s">
        <v>398</v>
      </c>
    </row>
    <row r="4823" spans="2:5">
      <c r="B4823" t="s">
        <v>7280</v>
      </c>
      <c r="C4823">
        <v>504067</v>
      </c>
      <c r="D4823" t="s">
        <v>7281</v>
      </c>
      <c r="E4823" t="s">
        <v>346</v>
      </c>
    </row>
    <row r="4824" spans="2:5">
      <c r="B4824" t="s">
        <v>7282</v>
      </c>
      <c r="C4824">
        <v>531404</v>
      </c>
      <c r="D4824" t="s">
        <v>7283</v>
      </c>
      <c r="E4824" t="s">
        <v>902</v>
      </c>
    </row>
    <row r="4825" spans="2:5">
      <c r="B4825" t="s">
        <v>7284</v>
      </c>
      <c r="C4825">
        <v>541400</v>
      </c>
      <c r="D4825" t="s">
        <v>360</v>
      </c>
      <c r="E4825" t="s">
        <v>398</v>
      </c>
    </row>
    <row r="4826" spans="2:5">
      <c r="B4826" t="s">
        <v>7285</v>
      </c>
      <c r="C4826">
        <v>521163</v>
      </c>
      <c r="D4826" t="s">
        <v>7286</v>
      </c>
      <c r="E4826" t="s">
        <v>474</v>
      </c>
    </row>
    <row r="4827" spans="2:5">
      <c r="B4827" t="s">
        <v>7287</v>
      </c>
      <c r="C4827" t="s">
        <v>360</v>
      </c>
      <c r="D4827" t="s">
        <v>7288</v>
      </c>
      <c r="E4827" t="s">
        <v>371</v>
      </c>
    </row>
    <row r="4828" spans="2:5">
      <c r="B4828" t="s">
        <v>7289</v>
      </c>
      <c r="C4828">
        <v>512587</v>
      </c>
      <c r="D4828" t="s">
        <v>7290</v>
      </c>
      <c r="E4828" t="s">
        <v>474</v>
      </c>
    </row>
    <row r="4829" spans="2:5">
      <c r="B4829" t="s">
        <v>7291</v>
      </c>
      <c r="C4829">
        <v>503641</v>
      </c>
      <c r="D4829" t="s">
        <v>7292</v>
      </c>
      <c r="E4829" t="s">
        <v>444</v>
      </c>
    </row>
    <row r="4830" spans="2:5">
      <c r="B4830" t="s">
        <v>7293</v>
      </c>
      <c r="C4830" t="s">
        <v>360</v>
      </c>
      <c r="D4830" t="s">
        <v>7294</v>
      </c>
      <c r="E4830" t="s">
        <v>371</v>
      </c>
    </row>
    <row r="4831" spans="2:5">
      <c r="B4831" t="s">
        <v>7295</v>
      </c>
      <c r="C4831">
        <v>534742</v>
      </c>
      <c r="D4831" t="s">
        <v>7296</v>
      </c>
      <c r="E4831" t="s">
        <v>868</v>
      </c>
    </row>
    <row r="4832" spans="2:5">
      <c r="B4832" t="s">
        <v>7297</v>
      </c>
      <c r="C4832">
        <v>500780</v>
      </c>
      <c r="D4832" t="s">
        <v>7298</v>
      </c>
      <c r="E4832" t="s">
        <v>868</v>
      </c>
    </row>
    <row r="4833" spans="2:5">
      <c r="B4833" t="s">
        <v>7299</v>
      </c>
      <c r="C4833">
        <v>531335</v>
      </c>
      <c r="D4833" t="s">
        <v>7300</v>
      </c>
      <c r="E4833" t="s">
        <v>420</v>
      </c>
    </row>
    <row r="4834" spans="2:5">
      <c r="B4834" t="s">
        <v>7301</v>
      </c>
      <c r="C4834">
        <v>532883</v>
      </c>
      <c r="D4834" t="s">
        <v>7302</v>
      </c>
      <c r="E4834" t="s">
        <v>453</v>
      </c>
    </row>
    <row r="4835" spans="2:5">
      <c r="B4835" t="s">
        <v>7303</v>
      </c>
      <c r="C4835">
        <v>500202</v>
      </c>
      <c r="D4835" t="s">
        <v>7304</v>
      </c>
      <c r="E4835" t="s">
        <v>377</v>
      </c>
    </row>
    <row r="4836" spans="2:5">
      <c r="B4836" t="s">
        <v>7305</v>
      </c>
      <c r="C4836">
        <v>500458</v>
      </c>
      <c r="D4836" t="s">
        <v>7306</v>
      </c>
      <c r="E4836" t="s">
        <v>440</v>
      </c>
    </row>
    <row r="4837" spans="2:5">
      <c r="B4837" t="s">
        <v>7307</v>
      </c>
      <c r="C4837">
        <v>501111</v>
      </c>
      <c r="D4837" t="s">
        <v>7308</v>
      </c>
      <c r="E4837" t="s">
        <v>382</v>
      </c>
    </row>
    <row r="4838" spans="2:5">
      <c r="B4838" t="s">
        <v>7309</v>
      </c>
      <c r="C4838">
        <v>501151</v>
      </c>
      <c r="D4838" t="s">
        <v>7310</v>
      </c>
      <c r="E4838" t="s">
        <v>343</v>
      </c>
    </row>
    <row r="4839" spans="2:5">
      <c r="B4839" t="s">
        <v>7311</v>
      </c>
      <c r="C4839">
        <v>501311</v>
      </c>
      <c r="D4839" t="s">
        <v>7312</v>
      </c>
      <c r="E4839" t="s">
        <v>377</v>
      </c>
    </row>
    <row r="4840" spans="2:5">
      <c r="B4840" t="s">
        <v>7313</v>
      </c>
      <c r="C4840">
        <v>501622</v>
      </c>
      <c r="D4840" t="s">
        <v>7314</v>
      </c>
      <c r="E4840" t="s">
        <v>7315</v>
      </c>
    </row>
    <row r="4841" spans="2:5">
      <c r="B4841" t="s">
        <v>7316</v>
      </c>
      <c r="C4841">
        <v>502850</v>
      </c>
      <c r="D4841" t="s">
        <v>7317</v>
      </c>
      <c r="E4841" t="s">
        <v>375</v>
      </c>
    </row>
    <row r="4842" spans="2:5">
      <c r="B4842" t="s">
        <v>7318</v>
      </c>
      <c r="C4842">
        <v>503669</v>
      </c>
      <c r="D4842" t="s">
        <v>7319</v>
      </c>
      <c r="E4842" t="s">
        <v>7315</v>
      </c>
    </row>
    <row r="4843" spans="2:5">
      <c r="B4843" t="s">
        <v>7320</v>
      </c>
      <c r="C4843">
        <v>506975</v>
      </c>
      <c r="D4843" t="s">
        <v>7321</v>
      </c>
      <c r="E4843" t="s">
        <v>375</v>
      </c>
    </row>
    <row r="4844" spans="2:5">
      <c r="B4844" t="s">
        <v>7322</v>
      </c>
      <c r="C4844">
        <v>508924</v>
      </c>
      <c r="D4844" t="s">
        <v>7323</v>
      </c>
      <c r="E4844" t="s">
        <v>7315</v>
      </c>
    </row>
    <row r="4845" spans="2:5">
      <c r="B4845" t="s">
        <v>7324</v>
      </c>
      <c r="C4845">
        <v>511260</v>
      </c>
      <c r="D4845" t="s">
        <v>7325</v>
      </c>
      <c r="E4845" t="s">
        <v>343</v>
      </c>
    </row>
    <row r="4846" spans="2:5">
      <c r="B4846" t="s">
        <v>7326</v>
      </c>
      <c r="C4846">
        <v>511730</v>
      </c>
      <c r="D4846" t="s">
        <v>7327</v>
      </c>
      <c r="E4846" t="s">
        <v>377</v>
      </c>
    </row>
    <row r="4847" spans="2:5">
      <c r="B4847" t="s">
        <v>7328</v>
      </c>
      <c r="C4847">
        <v>512221</v>
      </c>
      <c r="D4847" t="s">
        <v>7329</v>
      </c>
      <c r="E4847" t="s">
        <v>377</v>
      </c>
    </row>
    <row r="4848" spans="2:5">
      <c r="B4848" t="s">
        <v>7330</v>
      </c>
      <c r="C4848">
        <v>512344</v>
      </c>
      <c r="D4848" t="s">
        <v>7331</v>
      </c>
      <c r="E4848" t="s">
        <v>382</v>
      </c>
    </row>
    <row r="4849" spans="2:5">
      <c r="B4849" t="s">
        <v>7332</v>
      </c>
      <c r="C4849">
        <v>512345</v>
      </c>
      <c r="D4849" t="s">
        <v>7333</v>
      </c>
      <c r="E4849" t="s">
        <v>343</v>
      </c>
    </row>
    <row r="4850" spans="2:5">
      <c r="B4850" t="s">
        <v>7334</v>
      </c>
      <c r="C4850">
        <v>512479</v>
      </c>
      <c r="D4850" t="s">
        <v>7335</v>
      </c>
      <c r="E4850" t="s">
        <v>446</v>
      </c>
    </row>
    <row r="4851" spans="2:5">
      <c r="B4851" t="s">
        <v>7336</v>
      </c>
      <c r="C4851">
        <v>513343</v>
      </c>
      <c r="D4851" t="s">
        <v>7337</v>
      </c>
      <c r="E4851" t="s">
        <v>683</v>
      </c>
    </row>
    <row r="4852" spans="2:5">
      <c r="B4852" t="s">
        <v>7338</v>
      </c>
      <c r="C4852">
        <v>513418</v>
      </c>
      <c r="D4852" t="s">
        <v>7339</v>
      </c>
      <c r="E4852" t="s">
        <v>1279</v>
      </c>
    </row>
    <row r="4853" spans="2:5">
      <c r="B4853" t="s">
        <v>7340</v>
      </c>
      <c r="C4853">
        <v>515008</v>
      </c>
      <c r="D4853" t="s">
        <v>7341</v>
      </c>
      <c r="E4853" t="s">
        <v>658</v>
      </c>
    </row>
    <row r="4854" spans="2:5">
      <c r="B4854" t="s">
        <v>7342</v>
      </c>
      <c r="C4854">
        <v>517273</v>
      </c>
      <c r="D4854" t="s">
        <v>7343</v>
      </c>
      <c r="E4854" t="s">
        <v>658</v>
      </c>
    </row>
    <row r="4855" spans="2:5">
      <c r="B4855" t="s">
        <v>7344</v>
      </c>
      <c r="C4855">
        <v>517360</v>
      </c>
      <c r="D4855" t="s">
        <v>7345</v>
      </c>
      <c r="E4855" t="s">
        <v>382</v>
      </c>
    </row>
    <row r="4856" spans="2:5">
      <c r="B4856" t="s">
        <v>7346</v>
      </c>
      <c r="C4856">
        <v>517393</v>
      </c>
      <c r="D4856" t="s">
        <v>7347</v>
      </c>
      <c r="E4856" t="s">
        <v>685</v>
      </c>
    </row>
    <row r="4857" spans="2:5">
      <c r="B4857" t="s">
        <v>7348</v>
      </c>
      <c r="C4857">
        <v>519397</v>
      </c>
      <c r="D4857" t="s">
        <v>7349</v>
      </c>
      <c r="E4857" t="s">
        <v>420</v>
      </c>
    </row>
    <row r="4858" spans="2:5">
      <c r="B4858" t="s">
        <v>7350</v>
      </c>
      <c r="C4858">
        <v>519500</v>
      </c>
      <c r="D4858" t="s">
        <v>7351</v>
      </c>
      <c r="E4858" t="s">
        <v>420</v>
      </c>
    </row>
    <row r="4859" spans="2:5">
      <c r="B4859" t="s">
        <v>7352</v>
      </c>
      <c r="C4859">
        <v>522171</v>
      </c>
      <c r="D4859" t="s">
        <v>7353</v>
      </c>
      <c r="E4859" t="s">
        <v>368</v>
      </c>
    </row>
    <row r="4860" spans="2:5">
      <c r="B4860" t="s">
        <v>7354</v>
      </c>
      <c r="C4860">
        <v>524572</v>
      </c>
      <c r="D4860" t="s">
        <v>7355</v>
      </c>
      <c r="E4860" t="s">
        <v>398</v>
      </c>
    </row>
    <row r="4861" spans="2:5">
      <c r="B4861" t="s">
        <v>7356</v>
      </c>
      <c r="C4861">
        <v>526211</v>
      </c>
      <c r="D4861" t="s">
        <v>7357</v>
      </c>
      <c r="E4861" t="s">
        <v>609</v>
      </c>
    </row>
    <row r="4862" spans="2:5">
      <c r="B4862" t="s">
        <v>7358</v>
      </c>
      <c r="C4862">
        <v>526638</v>
      </c>
      <c r="D4862" t="s">
        <v>7359</v>
      </c>
      <c r="E4862" t="s">
        <v>480</v>
      </c>
    </row>
    <row r="4863" spans="2:5">
      <c r="B4863" t="s">
        <v>7360</v>
      </c>
      <c r="C4863">
        <v>530291</v>
      </c>
      <c r="D4863" t="s">
        <v>7361</v>
      </c>
      <c r="E4863" t="s">
        <v>609</v>
      </c>
    </row>
    <row r="4864" spans="2:5">
      <c r="B4864" t="s">
        <v>7362</v>
      </c>
      <c r="C4864">
        <v>530439</v>
      </c>
      <c r="D4864" t="s">
        <v>7363</v>
      </c>
      <c r="E4864" t="s">
        <v>377</v>
      </c>
    </row>
    <row r="4865" spans="2:5">
      <c r="B4865" t="s">
        <v>7364</v>
      </c>
      <c r="C4865">
        <v>530443</v>
      </c>
      <c r="D4865" t="s">
        <v>7365</v>
      </c>
      <c r="E4865" t="s">
        <v>375</v>
      </c>
    </row>
    <row r="4866" spans="2:5">
      <c r="B4866" t="s">
        <v>7366</v>
      </c>
      <c r="C4866">
        <v>531205</v>
      </c>
      <c r="D4866" t="s">
        <v>7367</v>
      </c>
      <c r="E4866" t="s">
        <v>382</v>
      </c>
    </row>
    <row r="4867" spans="2:5">
      <c r="B4867" t="s">
        <v>7368</v>
      </c>
      <c r="C4867">
        <v>531225</v>
      </c>
      <c r="D4867" t="s">
        <v>7369</v>
      </c>
      <c r="E4867" t="s">
        <v>453</v>
      </c>
    </row>
    <row r="4868" spans="2:5">
      <c r="B4868" t="s">
        <v>7370</v>
      </c>
      <c r="C4868">
        <v>531436</v>
      </c>
      <c r="D4868" t="s">
        <v>7371</v>
      </c>
      <c r="E4868" t="s">
        <v>354</v>
      </c>
    </row>
    <row r="4869" spans="2:5">
      <c r="B4869" t="s">
        <v>7372</v>
      </c>
      <c r="C4869">
        <v>531621</v>
      </c>
      <c r="D4869" t="s">
        <v>7373</v>
      </c>
      <c r="E4869" t="s">
        <v>366</v>
      </c>
    </row>
    <row r="4870" spans="2:5">
      <c r="B4870" t="s">
        <v>7374</v>
      </c>
      <c r="C4870">
        <v>531944</v>
      </c>
      <c r="D4870" t="s">
        <v>7375</v>
      </c>
      <c r="E4870" t="s">
        <v>368</v>
      </c>
    </row>
    <row r="4871" spans="2:5">
      <c r="B4871" t="s">
        <v>7376</v>
      </c>
      <c r="C4871">
        <v>532138</v>
      </c>
      <c r="D4871" t="s">
        <v>7377</v>
      </c>
      <c r="E4871" t="s">
        <v>377</v>
      </c>
    </row>
    <row r="4872" spans="2:5">
      <c r="B4872" t="s">
        <v>7378</v>
      </c>
      <c r="C4872">
        <v>533093</v>
      </c>
      <c r="D4872" t="s">
        <v>7379</v>
      </c>
      <c r="E4872" t="s">
        <v>609</v>
      </c>
    </row>
    <row r="4873" spans="2:5">
      <c r="B4873" t="s">
        <v>7380</v>
      </c>
      <c r="C4873">
        <v>533570</v>
      </c>
      <c r="D4873" t="s">
        <v>7381</v>
      </c>
      <c r="E4873" t="s">
        <v>38</v>
      </c>
    </row>
    <row r="4874" spans="2:5">
      <c r="B4874" t="s">
        <v>7382</v>
      </c>
      <c r="C4874">
        <v>533719</v>
      </c>
      <c r="D4874" t="s">
        <v>7383</v>
      </c>
      <c r="E4874" t="s">
        <v>38</v>
      </c>
    </row>
    <row r="4875" spans="2:5">
      <c r="B4875" t="s">
        <v>7384</v>
      </c>
      <c r="C4875">
        <v>535276</v>
      </c>
      <c r="D4875" t="s">
        <v>7385</v>
      </c>
      <c r="E4875" t="s">
        <v>38</v>
      </c>
    </row>
    <row r="4876" spans="2:5">
      <c r="B4876" t="s">
        <v>7386</v>
      </c>
      <c r="C4876">
        <v>536960</v>
      </c>
      <c r="D4876" t="s">
        <v>7387</v>
      </c>
      <c r="E4876" t="s">
        <v>38</v>
      </c>
    </row>
    <row r="4877" spans="2:5">
      <c r="B4877" t="s">
        <v>7388</v>
      </c>
      <c r="C4877">
        <v>537007</v>
      </c>
      <c r="D4877" t="s">
        <v>7389</v>
      </c>
      <c r="E4877" t="s">
        <v>38</v>
      </c>
    </row>
    <row r="4878" spans="2:5">
      <c r="B4878" t="s">
        <v>7390</v>
      </c>
      <c r="C4878">
        <v>537008</v>
      </c>
      <c r="D4878" t="s">
        <v>7391</v>
      </c>
      <c r="E4878" t="s">
        <v>38</v>
      </c>
    </row>
    <row r="4879" spans="2:5">
      <c r="B4879" t="s">
        <v>7392</v>
      </c>
      <c r="C4879">
        <v>537483</v>
      </c>
      <c r="D4879" t="s">
        <v>7393</v>
      </c>
      <c r="E4879" t="s">
        <v>38</v>
      </c>
    </row>
    <row r="4880" spans="2:5">
      <c r="B4880" t="s">
        <v>7394</v>
      </c>
      <c r="C4880">
        <v>537708</v>
      </c>
      <c r="D4880" t="s">
        <v>7395</v>
      </c>
      <c r="E4880" t="s">
        <v>38</v>
      </c>
    </row>
    <row r="4881" spans="2:5">
      <c r="B4881" t="s">
        <v>7396</v>
      </c>
      <c r="C4881">
        <v>538057</v>
      </c>
      <c r="D4881" t="s">
        <v>7397</v>
      </c>
      <c r="E4881" t="s">
        <v>38</v>
      </c>
    </row>
    <row r="4882" spans="2:5">
      <c r="B4882" t="s">
        <v>7398</v>
      </c>
      <c r="C4882">
        <v>538273</v>
      </c>
      <c r="D4882" t="s">
        <v>7399</v>
      </c>
      <c r="E4882" t="s">
        <v>453</v>
      </c>
    </row>
    <row r="4883" spans="2:5">
      <c r="B4883" t="s">
        <v>7400</v>
      </c>
      <c r="C4883">
        <v>538452</v>
      </c>
      <c r="D4883" t="s">
        <v>7401</v>
      </c>
      <c r="E4883" t="s">
        <v>382</v>
      </c>
    </row>
    <row r="4884" spans="2:5">
      <c r="B4884" t="s">
        <v>7402</v>
      </c>
      <c r="C4884">
        <v>538501</v>
      </c>
      <c r="D4884" t="s">
        <v>7403</v>
      </c>
      <c r="E4884" t="s">
        <v>38</v>
      </c>
    </row>
    <row r="4885" spans="2:5">
      <c r="B4885" t="s">
        <v>7404</v>
      </c>
      <c r="C4885">
        <v>538502</v>
      </c>
      <c r="D4885" t="s">
        <v>7405</v>
      </c>
      <c r="E4885" t="s">
        <v>38</v>
      </c>
    </row>
    <row r="4886" spans="2:5">
      <c r="B4886" t="s">
        <v>7406</v>
      </c>
      <c r="C4886">
        <v>538577</v>
      </c>
      <c r="D4886" t="s">
        <v>7407</v>
      </c>
      <c r="E4886" t="s">
        <v>38</v>
      </c>
    </row>
    <row r="4887" spans="2:5">
      <c r="B4887" t="s">
        <v>7408</v>
      </c>
      <c r="C4887">
        <v>538578</v>
      </c>
      <c r="D4887" t="s">
        <v>7409</v>
      </c>
      <c r="E4887" t="s">
        <v>38</v>
      </c>
    </row>
    <row r="4888" spans="2:5">
      <c r="B4888" t="s">
        <v>7410</v>
      </c>
      <c r="C4888">
        <v>538646</v>
      </c>
      <c r="D4888" t="s">
        <v>7411</v>
      </c>
      <c r="E4888" t="s">
        <v>377</v>
      </c>
    </row>
    <row r="4889" spans="2:5">
      <c r="B4889" t="s">
        <v>7412</v>
      </c>
      <c r="C4889">
        <v>538683</v>
      </c>
      <c r="D4889" t="s">
        <v>7413</v>
      </c>
      <c r="E4889" t="s">
        <v>38</v>
      </c>
    </row>
    <row r="4890" spans="2:5">
      <c r="B4890" t="s">
        <v>7414</v>
      </c>
      <c r="C4890">
        <v>538728</v>
      </c>
      <c r="D4890" t="s">
        <v>7415</v>
      </c>
      <c r="E4890" t="s">
        <v>38</v>
      </c>
    </row>
    <row r="4891" spans="2:5">
      <c r="B4891" t="s">
        <v>7416</v>
      </c>
      <c r="C4891">
        <v>538729</v>
      </c>
      <c r="D4891" t="s">
        <v>7417</v>
      </c>
      <c r="E4891" t="s">
        <v>38</v>
      </c>
    </row>
    <row r="4892" spans="2:5">
      <c r="B4892" t="s">
        <v>7418</v>
      </c>
      <c r="C4892">
        <v>538808</v>
      </c>
      <c r="D4892" t="s">
        <v>7419</v>
      </c>
      <c r="E4892" t="s">
        <v>38</v>
      </c>
    </row>
    <row r="4893" spans="2:5">
      <c r="B4893" t="s">
        <v>7420</v>
      </c>
      <c r="C4893">
        <v>538809</v>
      </c>
      <c r="D4893" t="s">
        <v>7421</v>
      </c>
      <c r="E4893" t="s">
        <v>38</v>
      </c>
    </row>
    <row r="4894" spans="2:5">
      <c r="B4894" t="s">
        <v>7422</v>
      </c>
      <c r="C4894">
        <v>538810</v>
      </c>
      <c r="D4894" t="s">
        <v>7423</v>
      </c>
      <c r="E4894" t="s">
        <v>38</v>
      </c>
    </row>
    <row r="4895" spans="2:5">
      <c r="B4895" t="s">
        <v>7424</v>
      </c>
      <c r="C4895">
        <v>538811</v>
      </c>
      <c r="D4895" t="s">
        <v>7425</v>
      </c>
      <c r="E4895" t="s">
        <v>38</v>
      </c>
    </row>
    <row r="4896" spans="2:5">
      <c r="B4896" t="s">
        <v>7426</v>
      </c>
      <c r="C4896">
        <v>539031</v>
      </c>
      <c r="D4896" t="s">
        <v>7427</v>
      </c>
      <c r="E4896" t="s">
        <v>38</v>
      </c>
    </row>
    <row r="4897" spans="2:5">
      <c r="B4897" t="s">
        <v>7428</v>
      </c>
      <c r="C4897">
        <v>539090</v>
      </c>
      <c r="D4897" t="s">
        <v>7429</v>
      </c>
      <c r="E4897" t="s">
        <v>377</v>
      </c>
    </row>
    <row r="4898" spans="2:5">
      <c r="B4898" t="s">
        <v>7430</v>
      </c>
      <c r="C4898">
        <v>539142</v>
      </c>
      <c r="D4898" t="s">
        <v>7431</v>
      </c>
      <c r="E4898" t="s">
        <v>38</v>
      </c>
    </row>
    <row r="4899" spans="2:5">
      <c r="B4899" t="s">
        <v>7432</v>
      </c>
      <c r="C4899">
        <v>539274</v>
      </c>
      <c r="D4899" t="s">
        <v>7433</v>
      </c>
      <c r="E4899" t="s">
        <v>377</v>
      </c>
    </row>
    <row r="4900" spans="2:5">
      <c r="B4900" t="s">
        <v>7434</v>
      </c>
      <c r="C4900">
        <v>539312</v>
      </c>
      <c r="D4900" t="s">
        <v>7435</v>
      </c>
      <c r="E4900" t="s">
        <v>38</v>
      </c>
    </row>
    <row r="4901" spans="2:5">
      <c r="B4901" t="s">
        <v>7436</v>
      </c>
      <c r="C4901">
        <v>539313</v>
      </c>
      <c r="D4901" t="s">
        <v>7437</v>
      </c>
      <c r="E4901" t="s">
        <v>38</v>
      </c>
    </row>
    <row r="4902" spans="2:5">
      <c r="B4902" t="s">
        <v>7438</v>
      </c>
      <c r="C4902">
        <v>539480</v>
      </c>
      <c r="D4902" t="s">
        <v>7439</v>
      </c>
      <c r="E4902" t="s">
        <v>38</v>
      </c>
    </row>
    <row r="4903" spans="2:5">
      <c r="B4903" t="s">
        <v>7440</v>
      </c>
      <c r="C4903">
        <v>539487</v>
      </c>
      <c r="D4903" t="s">
        <v>7441</v>
      </c>
      <c r="E4903" t="s">
        <v>38</v>
      </c>
    </row>
    <row r="4904" spans="2:5">
      <c r="B4904" t="s">
        <v>7442</v>
      </c>
      <c r="C4904">
        <v>539516</v>
      </c>
      <c r="D4904" t="s">
        <v>7443</v>
      </c>
      <c r="E4904" t="s">
        <v>38</v>
      </c>
    </row>
    <row r="4905" spans="2:5">
      <c r="B4905" t="s">
        <v>7444</v>
      </c>
      <c r="C4905">
        <v>539517</v>
      </c>
      <c r="D4905" t="s">
        <v>7445</v>
      </c>
      <c r="E4905" t="s">
        <v>38</v>
      </c>
    </row>
    <row r="4906" spans="2:5">
      <c r="B4906" t="s">
        <v>7446</v>
      </c>
      <c r="C4906">
        <v>539561</v>
      </c>
      <c r="D4906" t="s">
        <v>7447</v>
      </c>
      <c r="E4906" t="s">
        <v>382</v>
      </c>
    </row>
    <row r="4907" spans="2:5">
      <c r="B4907" t="s">
        <v>7448</v>
      </c>
      <c r="C4907">
        <v>539784</v>
      </c>
      <c r="D4907" t="s">
        <v>7449</v>
      </c>
      <c r="E4907" t="s">
        <v>38</v>
      </c>
    </row>
    <row r="4908" spans="2:5">
      <c r="B4908" t="s">
        <v>7450</v>
      </c>
      <c r="C4908">
        <v>539945</v>
      </c>
      <c r="D4908" t="s">
        <v>7451</v>
      </c>
      <c r="E4908" t="s">
        <v>38</v>
      </c>
    </row>
    <row r="4909" spans="2:5">
      <c r="B4909" t="s">
        <v>7452</v>
      </c>
      <c r="C4909">
        <v>539980</v>
      </c>
      <c r="D4909" t="s">
        <v>7453</v>
      </c>
      <c r="E4909" t="s">
        <v>38</v>
      </c>
    </row>
    <row r="4910" spans="2:5">
      <c r="B4910" t="s">
        <v>7454</v>
      </c>
      <c r="C4910">
        <v>540008</v>
      </c>
      <c r="D4910" t="s">
        <v>7455</v>
      </c>
      <c r="E4910" t="s">
        <v>38</v>
      </c>
    </row>
    <row r="4911" spans="2:5">
      <c r="B4911" t="s">
        <v>7456</v>
      </c>
      <c r="C4911">
        <v>540154</v>
      </c>
      <c r="D4911" t="s">
        <v>7457</v>
      </c>
      <c r="E4911" t="s">
        <v>38</v>
      </c>
    </row>
    <row r="4912" spans="2:5">
      <c r="B4912" t="s">
        <v>7458</v>
      </c>
      <c r="C4912">
        <v>540333</v>
      </c>
      <c r="D4912" t="s">
        <v>7459</v>
      </c>
      <c r="E4912" t="s">
        <v>38</v>
      </c>
    </row>
    <row r="4913" spans="2:5">
      <c r="B4913" t="s">
        <v>7460</v>
      </c>
      <c r="C4913">
        <v>540334</v>
      </c>
      <c r="D4913" t="s">
        <v>7461</v>
      </c>
      <c r="E4913" t="s">
        <v>38</v>
      </c>
    </row>
    <row r="4914" spans="2:5">
      <c r="B4914" t="s">
        <v>7462</v>
      </c>
      <c r="C4914">
        <v>540335</v>
      </c>
      <c r="D4914" t="s">
        <v>7463</v>
      </c>
      <c r="E4914" t="s">
        <v>38</v>
      </c>
    </row>
    <row r="4915" spans="2:5">
      <c r="B4915" t="s">
        <v>7464</v>
      </c>
      <c r="C4915">
        <v>540336</v>
      </c>
      <c r="D4915" t="s">
        <v>7465</v>
      </c>
      <c r="E4915" t="s">
        <v>38</v>
      </c>
    </row>
    <row r="4916" spans="2:5">
      <c r="B4916" t="s">
        <v>7466</v>
      </c>
      <c r="C4916">
        <v>540469</v>
      </c>
      <c r="D4916" t="s">
        <v>7467</v>
      </c>
      <c r="E4916" t="s">
        <v>38</v>
      </c>
    </row>
    <row r="4917" spans="2:5">
      <c r="B4917" t="s">
        <v>7468</v>
      </c>
      <c r="C4917">
        <v>540470</v>
      </c>
      <c r="D4917" t="s">
        <v>7469</v>
      </c>
      <c r="E4917" t="s">
        <v>38</v>
      </c>
    </row>
    <row r="4918" spans="2:5">
      <c r="B4918" t="s">
        <v>7470</v>
      </c>
      <c r="C4918">
        <v>540538</v>
      </c>
      <c r="D4918" t="s">
        <v>7471</v>
      </c>
      <c r="E4918" t="s">
        <v>38</v>
      </c>
    </row>
    <row r="4919" spans="2:5">
      <c r="B4919" t="s">
        <v>7472</v>
      </c>
      <c r="C4919">
        <v>540539</v>
      </c>
      <c r="D4919" t="s">
        <v>7473</v>
      </c>
      <c r="E4919" t="s">
        <v>38</v>
      </c>
    </row>
    <row r="4920" spans="2:5">
      <c r="B4920" t="s">
        <v>7474</v>
      </c>
      <c r="C4920">
        <v>540551</v>
      </c>
      <c r="D4920" t="s">
        <v>7475</v>
      </c>
      <c r="E4920" t="s">
        <v>38</v>
      </c>
    </row>
    <row r="4921" spans="2:5">
      <c r="B4921" t="s">
        <v>7476</v>
      </c>
      <c r="C4921">
        <v>540552</v>
      </c>
      <c r="D4921" t="s">
        <v>7477</v>
      </c>
      <c r="E4921" t="s">
        <v>38</v>
      </c>
    </row>
    <row r="4922" spans="2:5">
      <c r="B4922" t="s">
        <v>7478</v>
      </c>
      <c r="C4922">
        <v>540586</v>
      </c>
      <c r="D4922" t="s">
        <v>7479</v>
      </c>
      <c r="E4922" t="s">
        <v>38</v>
      </c>
    </row>
    <row r="4923" spans="2:5">
      <c r="B4923" t="s">
        <v>7480</v>
      </c>
      <c r="C4923">
        <v>540587</v>
      </c>
      <c r="D4923" t="s">
        <v>7481</v>
      </c>
      <c r="E4923" t="s">
        <v>38</v>
      </c>
    </row>
    <row r="4924" spans="2:5">
      <c r="B4924" t="s">
        <v>7482</v>
      </c>
      <c r="C4924">
        <v>540588</v>
      </c>
      <c r="D4924" t="s">
        <v>7483</v>
      </c>
      <c r="E4924" t="s">
        <v>38</v>
      </c>
    </row>
    <row r="4925" spans="2:5">
      <c r="B4925" t="s">
        <v>7484</v>
      </c>
      <c r="C4925">
        <v>540589</v>
      </c>
      <c r="D4925" t="s">
        <v>7485</v>
      </c>
      <c r="E4925" t="s">
        <v>38</v>
      </c>
    </row>
    <row r="4926" spans="2:5">
      <c r="B4926" t="s">
        <v>7486</v>
      </c>
      <c r="C4926">
        <v>540591</v>
      </c>
      <c r="D4926" t="s">
        <v>7487</v>
      </c>
      <c r="E4926" t="s">
        <v>38</v>
      </c>
    </row>
    <row r="4927" spans="2:5">
      <c r="B4927" t="s">
        <v>7488</v>
      </c>
      <c r="C4927">
        <v>540592</v>
      </c>
      <c r="D4927" t="s">
        <v>7489</v>
      </c>
      <c r="E4927" t="s">
        <v>38</v>
      </c>
    </row>
    <row r="4928" spans="2:5">
      <c r="B4928" t="s">
        <v>7490</v>
      </c>
      <c r="C4928">
        <v>540593</v>
      </c>
      <c r="D4928" t="s">
        <v>7491</v>
      </c>
      <c r="E4928" t="s">
        <v>38</v>
      </c>
    </row>
    <row r="4929" spans="2:5">
      <c r="B4929" t="s">
        <v>7492</v>
      </c>
      <c r="C4929">
        <v>540594</v>
      </c>
      <c r="D4929" t="s">
        <v>7493</v>
      </c>
      <c r="E4929" t="s">
        <v>38</v>
      </c>
    </row>
    <row r="4930" spans="2:5">
      <c r="B4930" t="s">
        <v>7494</v>
      </c>
      <c r="C4930">
        <v>540612</v>
      </c>
      <c r="D4930" t="s">
        <v>7495</v>
      </c>
      <c r="E4930" t="s">
        <v>38</v>
      </c>
    </row>
    <row r="4931" spans="2:5">
      <c r="B4931" t="s">
        <v>7496</v>
      </c>
      <c r="C4931">
        <v>540617</v>
      </c>
      <c r="D4931" t="s">
        <v>7497</v>
      </c>
      <c r="E4931" t="s">
        <v>38</v>
      </c>
    </row>
    <row r="4932" spans="2:5">
      <c r="B4932" t="s">
        <v>7498</v>
      </c>
      <c r="C4932">
        <v>540618</v>
      </c>
      <c r="D4932" t="s">
        <v>7499</v>
      </c>
      <c r="E4932" t="s">
        <v>38</v>
      </c>
    </row>
    <row r="4933" spans="2:5">
      <c r="B4933" t="s">
        <v>7500</v>
      </c>
      <c r="C4933">
        <v>540619</v>
      </c>
      <c r="D4933" t="s">
        <v>7501</v>
      </c>
      <c r="E4933" t="s">
        <v>38</v>
      </c>
    </row>
    <row r="4934" spans="2:5">
      <c r="B4934" t="s">
        <v>7502</v>
      </c>
      <c r="C4934">
        <v>540620</v>
      </c>
      <c r="D4934" t="s">
        <v>7503</v>
      </c>
      <c r="E4934" t="s">
        <v>38</v>
      </c>
    </row>
    <row r="4935" spans="2:5">
      <c r="B4935" t="s">
        <v>7504</v>
      </c>
      <c r="C4935">
        <v>540626</v>
      </c>
      <c r="D4935" t="s">
        <v>7505</v>
      </c>
      <c r="E4935" t="s">
        <v>38</v>
      </c>
    </row>
    <row r="4936" spans="2:5">
      <c r="B4936" t="s">
        <v>7506</v>
      </c>
      <c r="C4936">
        <v>540627</v>
      </c>
      <c r="D4936" t="s">
        <v>7507</v>
      </c>
      <c r="E4936" t="s">
        <v>38</v>
      </c>
    </row>
    <row r="4937" spans="2:5">
      <c r="B4937" t="s">
        <v>7508</v>
      </c>
      <c r="C4937">
        <v>540629</v>
      </c>
      <c r="D4937" t="s">
        <v>7509</v>
      </c>
      <c r="E4937" t="s">
        <v>38</v>
      </c>
    </row>
    <row r="4938" spans="2:5">
      <c r="B4938" t="s">
        <v>7510</v>
      </c>
      <c r="C4938">
        <v>540631</v>
      </c>
      <c r="D4938" t="s">
        <v>7511</v>
      </c>
      <c r="E4938" t="s">
        <v>38</v>
      </c>
    </row>
    <row r="4939" spans="2:5">
      <c r="B4939" t="s">
        <v>7512</v>
      </c>
      <c r="C4939">
        <v>540634</v>
      </c>
      <c r="D4939" t="s">
        <v>7513</v>
      </c>
      <c r="E4939" t="s">
        <v>38</v>
      </c>
    </row>
    <row r="4940" spans="2:5">
      <c r="B4940" t="s">
        <v>7514</v>
      </c>
      <c r="C4940">
        <v>540635</v>
      </c>
      <c r="D4940" t="s">
        <v>7515</v>
      </c>
      <c r="E4940" t="s">
        <v>38</v>
      </c>
    </row>
    <row r="4941" spans="2:5">
      <c r="B4941" t="s">
        <v>7516</v>
      </c>
      <c r="C4941">
        <v>540636</v>
      </c>
      <c r="D4941" t="s">
        <v>7517</v>
      </c>
      <c r="E4941" t="s">
        <v>38</v>
      </c>
    </row>
    <row r="4942" spans="2:5">
      <c r="B4942" t="s">
        <v>7518</v>
      </c>
      <c r="C4942">
        <v>540637</v>
      </c>
      <c r="D4942" t="s">
        <v>7519</v>
      </c>
      <c r="E4942" t="s">
        <v>38</v>
      </c>
    </row>
    <row r="4943" spans="2:5">
      <c r="B4943" t="s">
        <v>7520</v>
      </c>
      <c r="C4943">
        <v>540669</v>
      </c>
      <c r="D4943" t="s">
        <v>7521</v>
      </c>
      <c r="E4943" t="s">
        <v>38</v>
      </c>
    </row>
    <row r="4944" spans="2:5">
      <c r="B4944" t="s">
        <v>7522</v>
      </c>
      <c r="C4944">
        <v>540671</v>
      </c>
      <c r="D4944" t="s">
        <v>7523</v>
      </c>
      <c r="E4944" t="s">
        <v>38</v>
      </c>
    </row>
    <row r="4945" spans="2:5">
      <c r="B4945" t="s">
        <v>7524</v>
      </c>
      <c r="C4945">
        <v>540672</v>
      </c>
      <c r="D4945" t="s">
        <v>7525</v>
      </c>
      <c r="E4945" t="s">
        <v>38</v>
      </c>
    </row>
    <row r="4946" spans="2:5">
      <c r="B4946" t="s">
        <v>7526</v>
      </c>
      <c r="C4946">
        <v>540682</v>
      </c>
      <c r="D4946" t="s">
        <v>7527</v>
      </c>
      <c r="E4946" t="s">
        <v>38</v>
      </c>
    </row>
    <row r="4947" spans="2:5">
      <c r="B4947" t="s">
        <v>7528</v>
      </c>
      <c r="C4947">
        <v>540683</v>
      </c>
      <c r="D4947" t="s">
        <v>7529</v>
      </c>
      <c r="E4947" t="s">
        <v>38</v>
      </c>
    </row>
    <row r="4948" spans="2:5">
      <c r="B4948" t="s">
        <v>7530</v>
      </c>
      <c r="C4948">
        <v>540684</v>
      </c>
      <c r="D4948" t="s">
        <v>7531</v>
      </c>
      <c r="E4948" t="s">
        <v>38</v>
      </c>
    </row>
    <row r="4949" spans="2:5">
      <c r="B4949" t="s">
        <v>7532</v>
      </c>
      <c r="C4949">
        <v>540685</v>
      </c>
      <c r="D4949" t="s">
        <v>7533</v>
      </c>
      <c r="E4949" t="s">
        <v>38</v>
      </c>
    </row>
    <row r="4950" spans="2:5">
      <c r="B4950" t="s">
        <v>7534</v>
      </c>
      <c r="C4950">
        <v>540711</v>
      </c>
      <c r="D4950" t="s">
        <v>7535</v>
      </c>
      <c r="E4950" t="s">
        <v>38</v>
      </c>
    </row>
    <row r="4951" spans="2:5">
      <c r="B4951" t="s">
        <v>7536</v>
      </c>
      <c r="C4951">
        <v>540712</v>
      </c>
      <c r="D4951" t="s">
        <v>7537</v>
      </c>
      <c r="E4951" t="s">
        <v>38</v>
      </c>
    </row>
    <row r="4952" spans="2:5">
      <c r="B4952" t="s">
        <v>7538</v>
      </c>
      <c r="C4952">
        <v>540713</v>
      </c>
      <c r="D4952" t="s">
        <v>7539</v>
      </c>
      <c r="E4952" t="s">
        <v>38</v>
      </c>
    </row>
    <row r="4953" spans="2:5">
      <c r="B4953" t="s">
        <v>7540</v>
      </c>
      <c r="C4953">
        <v>540714</v>
      </c>
      <c r="D4953" t="s">
        <v>7541</v>
      </c>
      <c r="E4953" t="s">
        <v>38</v>
      </c>
    </row>
    <row r="4954" spans="2:5">
      <c r="B4954" t="s">
        <v>7542</v>
      </c>
      <c r="C4954">
        <v>540739</v>
      </c>
      <c r="D4954" t="s">
        <v>7543</v>
      </c>
      <c r="E4954" t="s">
        <v>38</v>
      </c>
    </row>
    <row r="4955" spans="2:5">
      <c r="B4955" t="s">
        <v>7544</v>
      </c>
      <c r="C4955">
        <v>540740</v>
      </c>
      <c r="D4955" t="s">
        <v>7545</v>
      </c>
      <c r="E4955" t="s">
        <v>38</v>
      </c>
    </row>
    <row r="4956" spans="2:5">
      <c r="B4956" t="s">
        <v>7546</v>
      </c>
      <c r="C4956">
        <v>540741</v>
      </c>
      <c r="D4956" t="s">
        <v>7547</v>
      </c>
      <c r="E4956" t="s">
        <v>38</v>
      </c>
    </row>
    <row r="4957" spans="2:5">
      <c r="B4957" t="s">
        <v>7548</v>
      </c>
      <c r="C4957">
        <v>540742</v>
      </c>
      <c r="D4957" t="s">
        <v>7549</v>
      </c>
      <c r="E4957" t="s">
        <v>38</v>
      </c>
    </row>
    <row r="4958" spans="2:5">
      <c r="B4958" t="s">
        <v>7550</v>
      </c>
      <c r="C4958">
        <v>540763</v>
      </c>
      <c r="D4958" t="s">
        <v>7551</v>
      </c>
      <c r="E4958" t="s">
        <v>38</v>
      </c>
    </row>
    <row r="4959" spans="2:5">
      <c r="B4959" t="s">
        <v>7552</v>
      </c>
      <c r="C4959">
        <v>540764</v>
      </c>
      <c r="D4959" t="s">
        <v>7553</v>
      </c>
      <c r="E4959" t="s">
        <v>38</v>
      </c>
    </row>
    <row r="4960" spans="2:5">
      <c r="B4960" t="s">
        <v>7554</v>
      </c>
      <c r="C4960">
        <v>540765</v>
      </c>
      <c r="D4960" t="s">
        <v>7555</v>
      </c>
      <c r="E4960" t="s">
        <v>38</v>
      </c>
    </row>
    <row r="4961" spans="2:5">
      <c r="B4961" t="s">
        <v>7556</v>
      </c>
      <c r="C4961">
        <v>540766</v>
      </c>
      <c r="D4961" t="s">
        <v>7557</v>
      </c>
      <c r="E4961" t="s">
        <v>38</v>
      </c>
    </row>
    <row r="4962" spans="2:5">
      <c r="B4962" t="s">
        <v>7558</v>
      </c>
      <c r="C4962">
        <v>540778</v>
      </c>
      <c r="D4962" t="s">
        <v>7559</v>
      </c>
      <c r="E4962" t="s">
        <v>38</v>
      </c>
    </row>
    <row r="4963" spans="2:5">
      <c r="B4963" t="s">
        <v>7560</v>
      </c>
      <c r="C4963">
        <v>540779</v>
      </c>
      <c r="D4963" t="s">
        <v>7561</v>
      </c>
      <c r="E4963" t="s">
        <v>38</v>
      </c>
    </row>
    <row r="4964" spans="2:5">
      <c r="B4964" t="s">
        <v>7562</v>
      </c>
      <c r="C4964">
        <v>540780</v>
      </c>
      <c r="D4964" t="s">
        <v>7563</v>
      </c>
      <c r="E4964" t="s">
        <v>38</v>
      </c>
    </row>
    <row r="4965" spans="2:5">
      <c r="B4965" t="s">
        <v>7564</v>
      </c>
      <c r="C4965">
        <v>540781</v>
      </c>
      <c r="D4965" t="s">
        <v>7565</v>
      </c>
      <c r="E4965" t="s">
        <v>38</v>
      </c>
    </row>
    <row r="4966" spans="2:5">
      <c r="B4966" t="s">
        <v>7566</v>
      </c>
      <c r="C4966">
        <v>540787</v>
      </c>
      <c r="D4966" t="s">
        <v>7567</v>
      </c>
      <c r="E4966" t="s">
        <v>38</v>
      </c>
    </row>
    <row r="4967" spans="2:5">
      <c r="B4967" t="s">
        <v>7568</v>
      </c>
      <c r="C4967">
        <v>540791</v>
      </c>
      <c r="D4967" t="s">
        <v>7569</v>
      </c>
      <c r="E4967" t="s">
        <v>38</v>
      </c>
    </row>
    <row r="4968" spans="2:5">
      <c r="B4968" t="s">
        <v>7570</v>
      </c>
      <c r="C4968">
        <v>540792</v>
      </c>
      <c r="D4968" t="s">
        <v>7571</v>
      </c>
      <c r="E4968" t="s">
        <v>38</v>
      </c>
    </row>
    <row r="4969" spans="2:5">
      <c r="B4969" t="s">
        <v>7572</v>
      </c>
      <c r="C4969">
        <v>540793</v>
      </c>
      <c r="D4969" t="s">
        <v>7573</v>
      </c>
      <c r="E4969" t="s">
        <v>38</v>
      </c>
    </row>
    <row r="4970" spans="2:5">
      <c r="B4970" t="s">
        <v>7574</v>
      </c>
      <c r="C4970">
        <v>540794</v>
      </c>
      <c r="D4970" t="s">
        <v>7575</v>
      </c>
      <c r="E4970" t="s">
        <v>38</v>
      </c>
    </row>
    <row r="4971" spans="2:5">
      <c r="B4971" t="s">
        <v>7576</v>
      </c>
      <c r="C4971">
        <v>540799</v>
      </c>
      <c r="D4971" t="s">
        <v>7577</v>
      </c>
      <c r="E4971" t="s">
        <v>38</v>
      </c>
    </row>
    <row r="4972" spans="2:5">
      <c r="B4972" t="s">
        <v>7578</v>
      </c>
      <c r="C4972">
        <v>540800</v>
      </c>
      <c r="D4972" t="s">
        <v>7579</v>
      </c>
      <c r="E4972" t="s">
        <v>38</v>
      </c>
    </row>
    <row r="4973" spans="2:5">
      <c r="B4973" t="s">
        <v>7580</v>
      </c>
      <c r="C4973">
        <v>540801</v>
      </c>
      <c r="D4973" t="s">
        <v>7581</v>
      </c>
      <c r="E4973" t="s">
        <v>38</v>
      </c>
    </row>
    <row r="4974" spans="2:5">
      <c r="B4974" t="s">
        <v>7582</v>
      </c>
      <c r="C4974">
        <v>540802</v>
      </c>
      <c r="D4974" t="s">
        <v>7583</v>
      </c>
      <c r="E4974" t="s">
        <v>38</v>
      </c>
    </row>
    <row r="4975" spans="2:5">
      <c r="B4975" t="s">
        <v>7584</v>
      </c>
      <c r="C4975">
        <v>540825</v>
      </c>
      <c r="D4975" t="s">
        <v>7585</v>
      </c>
      <c r="E4975" t="s">
        <v>38</v>
      </c>
    </row>
    <row r="4976" spans="2:5">
      <c r="B4976" t="s">
        <v>7586</v>
      </c>
      <c r="C4976">
        <v>540826</v>
      </c>
      <c r="D4976" t="s">
        <v>7587</v>
      </c>
      <c r="E4976" t="s">
        <v>38</v>
      </c>
    </row>
    <row r="4977" spans="2:5">
      <c r="B4977" t="s">
        <v>7588</v>
      </c>
      <c r="C4977">
        <v>540827</v>
      </c>
      <c r="D4977" t="s">
        <v>7589</v>
      </c>
      <c r="E4977" t="s">
        <v>38</v>
      </c>
    </row>
    <row r="4978" spans="2:5">
      <c r="B4978" t="s">
        <v>7590</v>
      </c>
      <c r="C4978">
        <v>540828</v>
      </c>
      <c r="D4978" t="s">
        <v>7591</v>
      </c>
      <c r="E4978" t="s">
        <v>38</v>
      </c>
    </row>
    <row r="4979" spans="2:5">
      <c r="B4979" t="s">
        <v>7592</v>
      </c>
      <c r="C4979">
        <v>540861</v>
      </c>
      <c r="D4979" t="s">
        <v>7593</v>
      </c>
      <c r="E4979" t="s">
        <v>38</v>
      </c>
    </row>
    <row r="4980" spans="2:5">
      <c r="B4980" t="s">
        <v>7594</v>
      </c>
      <c r="C4980">
        <v>540862</v>
      </c>
      <c r="D4980" t="s">
        <v>7595</v>
      </c>
      <c r="E4980" t="s">
        <v>38</v>
      </c>
    </row>
    <row r="4981" spans="2:5">
      <c r="B4981" t="s">
        <v>7596</v>
      </c>
      <c r="C4981">
        <v>540863</v>
      </c>
      <c r="D4981" t="s">
        <v>7597</v>
      </c>
      <c r="E4981" t="s">
        <v>38</v>
      </c>
    </row>
    <row r="4982" spans="2:5">
      <c r="B4982" t="s">
        <v>7598</v>
      </c>
      <c r="C4982">
        <v>540864</v>
      </c>
      <c r="D4982" t="s">
        <v>7599</v>
      </c>
      <c r="E4982" t="s">
        <v>38</v>
      </c>
    </row>
    <row r="4983" spans="2:5">
      <c r="B4983" t="s">
        <v>7600</v>
      </c>
      <c r="C4983">
        <v>540896</v>
      </c>
      <c r="D4983" t="s">
        <v>7601</v>
      </c>
      <c r="E4983" t="s">
        <v>38</v>
      </c>
    </row>
    <row r="4984" spans="2:5">
      <c r="B4984" t="s">
        <v>7602</v>
      </c>
      <c r="C4984">
        <v>540897</v>
      </c>
      <c r="D4984" t="s">
        <v>7603</v>
      </c>
      <c r="E4984" t="s">
        <v>38</v>
      </c>
    </row>
    <row r="4985" spans="2:5">
      <c r="B4985" t="s">
        <v>7604</v>
      </c>
      <c r="C4985">
        <v>540898</v>
      </c>
      <c r="D4985" t="s">
        <v>7605</v>
      </c>
      <c r="E4985" t="s">
        <v>38</v>
      </c>
    </row>
    <row r="4986" spans="2:5">
      <c r="B4986" t="s">
        <v>7606</v>
      </c>
      <c r="C4986">
        <v>540899</v>
      </c>
      <c r="D4986" t="s">
        <v>7607</v>
      </c>
      <c r="E4986" t="s">
        <v>38</v>
      </c>
    </row>
    <row r="4987" spans="2:5">
      <c r="B4987" t="s">
        <v>7608</v>
      </c>
      <c r="C4987">
        <v>540947</v>
      </c>
      <c r="D4987" t="s">
        <v>7609</v>
      </c>
      <c r="E4987" t="s">
        <v>38</v>
      </c>
    </row>
    <row r="4988" spans="2:5">
      <c r="B4988" t="s">
        <v>7610</v>
      </c>
      <c r="C4988">
        <v>540949</v>
      </c>
      <c r="D4988" t="s">
        <v>7611</v>
      </c>
      <c r="E4988" t="s">
        <v>38</v>
      </c>
    </row>
    <row r="4989" spans="2:5">
      <c r="B4989" t="s">
        <v>7612</v>
      </c>
      <c r="C4989">
        <v>540950</v>
      </c>
      <c r="D4989" t="s">
        <v>7613</v>
      </c>
      <c r="E4989" t="s">
        <v>38</v>
      </c>
    </row>
    <row r="4990" spans="2:5">
      <c r="B4990" t="s">
        <v>7614</v>
      </c>
      <c r="C4990">
        <v>540951</v>
      </c>
      <c r="D4990" t="s">
        <v>7615</v>
      </c>
      <c r="E4990" t="s">
        <v>38</v>
      </c>
    </row>
    <row r="4991" spans="2:5">
      <c r="B4991" t="s">
        <v>7616</v>
      </c>
      <c r="C4991">
        <v>540981</v>
      </c>
      <c r="D4991" t="s">
        <v>7617</v>
      </c>
      <c r="E4991" t="s">
        <v>38</v>
      </c>
    </row>
    <row r="4992" spans="2:5">
      <c r="B4992" t="s">
        <v>7618</v>
      </c>
      <c r="C4992">
        <v>540982</v>
      </c>
      <c r="D4992" t="s">
        <v>7619</v>
      </c>
      <c r="E4992" t="s">
        <v>38</v>
      </c>
    </row>
    <row r="4993" spans="2:5">
      <c r="B4993" t="s">
        <v>7620</v>
      </c>
      <c r="C4993">
        <v>540983</v>
      </c>
      <c r="D4993" t="s">
        <v>7621</v>
      </c>
      <c r="E4993" t="s">
        <v>38</v>
      </c>
    </row>
    <row r="4994" spans="2:5">
      <c r="B4994" t="s">
        <v>7622</v>
      </c>
      <c r="C4994">
        <v>540984</v>
      </c>
      <c r="D4994" t="s">
        <v>7623</v>
      </c>
      <c r="E4994" t="s">
        <v>38</v>
      </c>
    </row>
    <row r="4995" spans="2:5">
      <c r="B4995" t="s">
        <v>7624</v>
      </c>
      <c r="C4995">
        <v>541068</v>
      </c>
      <c r="D4995" t="s">
        <v>7625</v>
      </c>
      <c r="E4995" t="s">
        <v>38</v>
      </c>
    </row>
    <row r="4996" spans="2:5">
      <c r="B4996" t="s">
        <v>7626</v>
      </c>
      <c r="C4996">
        <v>541069</v>
      </c>
      <c r="D4996" t="s">
        <v>7627</v>
      </c>
      <c r="E4996" t="s">
        <v>38</v>
      </c>
    </row>
    <row r="4997" spans="2:5">
      <c r="B4997" t="s">
        <v>7628</v>
      </c>
      <c r="C4997">
        <v>541070</v>
      </c>
      <c r="D4997" t="s">
        <v>7629</v>
      </c>
      <c r="E4997" t="s">
        <v>38</v>
      </c>
    </row>
    <row r="4998" spans="2:5">
      <c r="B4998" t="s">
        <v>7630</v>
      </c>
      <c r="C4998">
        <v>541071</v>
      </c>
      <c r="D4998" t="s">
        <v>7631</v>
      </c>
      <c r="E4998" t="s">
        <v>38</v>
      </c>
    </row>
    <row r="4999" spans="2:5">
      <c r="B4999" t="s">
        <v>7632</v>
      </c>
      <c r="C4999">
        <v>541084</v>
      </c>
      <c r="D4999" t="s">
        <v>7633</v>
      </c>
      <c r="E4999" t="s">
        <v>38</v>
      </c>
    </row>
    <row r="5000" spans="2:5">
      <c r="B5000" t="s">
        <v>7634</v>
      </c>
      <c r="C5000">
        <v>541085</v>
      </c>
      <c r="D5000" t="s">
        <v>7635</v>
      </c>
      <c r="E5000" t="s">
        <v>38</v>
      </c>
    </row>
    <row r="5001" spans="2:5">
      <c r="B5001" t="s">
        <v>7636</v>
      </c>
      <c r="C5001">
        <v>541086</v>
      </c>
      <c r="D5001" t="s">
        <v>7637</v>
      </c>
      <c r="E5001" t="s">
        <v>38</v>
      </c>
    </row>
    <row r="5002" spans="2:5">
      <c r="B5002" t="s">
        <v>7638</v>
      </c>
      <c r="C5002">
        <v>541087</v>
      </c>
      <c r="D5002" t="s">
        <v>7639</v>
      </c>
      <c r="E5002" t="s">
        <v>38</v>
      </c>
    </row>
    <row r="5003" spans="2:5">
      <c r="B5003" t="s">
        <v>7640</v>
      </c>
      <c r="C5003">
        <v>541092</v>
      </c>
      <c r="D5003" t="s">
        <v>7641</v>
      </c>
      <c r="E5003" t="s">
        <v>38</v>
      </c>
    </row>
    <row r="5004" spans="2:5">
      <c r="B5004" t="s">
        <v>7642</v>
      </c>
      <c r="C5004">
        <v>541093</v>
      </c>
      <c r="D5004" t="s">
        <v>7643</v>
      </c>
      <c r="E5004" t="s">
        <v>38</v>
      </c>
    </row>
    <row r="5005" spans="2:5">
      <c r="B5005" t="s">
        <v>7644</v>
      </c>
      <c r="C5005">
        <v>541094</v>
      </c>
      <c r="D5005" t="s">
        <v>7645</v>
      </c>
      <c r="E5005" t="s">
        <v>38</v>
      </c>
    </row>
    <row r="5006" spans="2:5">
      <c r="B5006" t="s">
        <v>7646</v>
      </c>
      <c r="C5006">
        <v>541095</v>
      </c>
      <c r="D5006" t="s">
        <v>7647</v>
      </c>
      <c r="E5006" t="s">
        <v>38</v>
      </c>
    </row>
    <row r="5007" spans="2:5">
      <c r="B5007" t="s">
        <v>7648</v>
      </c>
      <c r="C5007">
        <v>541252</v>
      </c>
      <c r="D5007" t="s">
        <v>7649</v>
      </c>
      <c r="E5007" t="s">
        <v>38</v>
      </c>
    </row>
    <row r="5008" spans="2:5">
      <c r="B5008" t="s">
        <v>7650</v>
      </c>
      <c r="C5008">
        <v>541253</v>
      </c>
      <c r="D5008" t="s">
        <v>7651</v>
      </c>
      <c r="E5008" t="s">
        <v>38</v>
      </c>
    </row>
    <row r="5009" spans="2:5">
      <c r="B5009" t="s">
        <v>7652</v>
      </c>
      <c r="C5009">
        <v>541254</v>
      </c>
      <c r="D5009" t="s">
        <v>7653</v>
      </c>
      <c r="E5009" t="s">
        <v>38</v>
      </c>
    </row>
    <row r="5010" spans="2:5">
      <c r="B5010" t="s">
        <v>7654</v>
      </c>
      <c r="C5010">
        <v>541255</v>
      </c>
      <c r="D5010" t="s">
        <v>7655</v>
      </c>
      <c r="E5010" t="s">
        <v>38</v>
      </c>
    </row>
    <row r="5011" spans="2:5">
      <c r="B5011" t="s">
        <v>7656</v>
      </c>
      <c r="C5011">
        <v>541300</v>
      </c>
      <c r="D5011" t="s">
        <v>7657</v>
      </c>
      <c r="E5011" t="s">
        <v>38</v>
      </c>
    </row>
    <row r="5012" spans="2:5">
      <c r="B5012" t="s">
        <v>7658</v>
      </c>
      <c r="C5012">
        <v>541309</v>
      </c>
      <c r="D5012" t="s">
        <v>7659</v>
      </c>
      <c r="E5012" t="s">
        <v>38</v>
      </c>
    </row>
    <row r="5013" spans="2:5">
      <c r="B5013" t="s">
        <v>7660</v>
      </c>
      <c r="C5013">
        <v>541310</v>
      </c>
      <c r="D5013" t="s">
        <v>7661</v>
      </c>
      <c r="E5013" t="s">
        <v>38</v>
      </c>
    </row>
    <row r="5014" spans="2:5">
      <c r="B5014" t="s">
        <v>7662</v>
      </c>
      <c r="C5014">
        <v>541311</v>
      </c>
      <c r="D5014" t="s">
        <v>7663</v>
      </c>
      <c r="E5014" t="s">
        <v>38</v>
      </c>
    </row>
    <row r="5015" spans="2:5">
      <c r="B5015" t="s">
        <v>7664</v>
      </c>
      <c r="C5015">
        <v>541312</v>
      </c>
      <c r="D5015" t="s">
        <v>7665</v>
      </c>
      <c r="E5015" t="s">
        <v>38</v>
      </c>
    </row>
    <row r="5016" spans="2:5">
      <c r="B5016" t="s">
        <v>7666</v>
      </c>
      <c r="C5016">
        <v>541313</v>
      </c>
      <c r="D5016" t="s">
        <v>7667</v>
      </c>
      <c r="E5016" t="s">
        <v>38</v>
      </c>
    </row>
    <row r="5017" spans="2:5">
      <c r="B5017" t="s">
        <v>7668</v>
      </c>
      <c r="C5017">
        <v>541341</v>
      </c>
      <c r="D5017" t="s">
        <v>7669</v>
      </c>
      <c r="E5017" t="s">
        <v>38</v>
      </c>
    </row>
    <row r="5018" spans="2:5">
      <c r="B5018" t="s">
        <v>7670</v>
      </c>
      <c r="C5018">
        <v>541343</v>
      </c>
      <c r="D5018" t="s">
        <v>7671</v>
      </c>
      <c r="E5018" t="s">
        <v>38</v>
      </c>
    </row>
    <row r="5019" spans="2:5">
      <c r="B5019" t="s">
        <v>7672</v>
      </c>
      <c r="C5019">
        <v>541345</v>
      </c>
      <c r="D5019" t="s">
        <v>7673</v>
      </c>
      <c r="E5019" t="s">
        <v>38</v>
      </c>
    </row>
    <row r="5020" spans="2:5">
      <c r="B5020" t="s">
        <v>7674</v>
      </c>
      <c r="C5020">
        <v>541346</v>
      </c>
      <c r="D5020" t="s">
        <v>7675</v>
      </c>
      <c r="E5020" t="s">
        <v>38</v>
      </c>
    </row>
    <row r="5021" spans="2:5">
      <c r="B5021" t="s">
        <v>7676</v>
      </c>
      <c r="C5021">
        <v>541672</v>
      </c>
      <c r="D5021" t="s">
        <v>7677</v>
      </c>
      <c r="E5021" t="s">
        <v>38</v>
      </c>
    </row>
    <row r="5022" spans="2:5">
      <c r="B5022" t="s">
        <v>7678</v>
      </c>
      <c r="C5022">
        <v>541673</v>
      </c>
      <c r="D5022" t="s">
        <v>7679</v>
      </c>
      <c r="E5022" t="s">
        <v>38</v>
      </c>
    </row>
    <row r="5023" spans="2:5">
      <c r="B5023" t="s">
        <v>7680</v>
      </c>
      <c r="C5023">
        <v>541674</v>
      </c>
      <c r="D5023" t="s">
        <v>7681</v>
      </c>
      <c r="E5023" t="s">
        <v>38</v>
      </c>
    </row>
    <row r="5024" spans="2:5">
      <c r="B5024" t="s">
        <v>7682</v>
      </c>
      <c r="C5024">
        <v>541675</v>
      </c>
      <c r="D5024" t="s">
        <v>7683</v>
      </c>
      <c r="E5024" t="s">
        <v>38</v>
      </c>
    </row>
    <row r="5025" spans="2:5">
      <c r="B5025" t="s">
        <v>7684</v>
      </c>
      <c r="C5025">
        <v>541676</v>
      </c>
      <c r="D5025" t="s">
        <v>7685</v>
      </c>
      <c r="E5025" t="s">
        <v>38</v>
      </c>
    </row>
    <row r="5026" spans="2:5">
      <c r="B5026" t="s">
        <v>7686</v>
      </c>
      <c r="C5026">
        <v>541677</v>
      </c>
      <c r="D5026" t="s">
        <v>7687</v>
      </c>
      <c r="E5026" t="s">
        <v>38</v>
      </c>
    </row>
    <row r="5027" spans="2:5">
      <c r="B5027" t="s">
        <v>7688</v>
      </c>
      <c r="C5027">
        <v>541678</v>
      </c>
      <c r="D5027" t="s">
        <v>7689</v>
      </c>
      <c r="E5027" t="s">
        <v>38</v>
      </c>
    </row>
    <row r="5028" spans="2:5">
      <c r="B5028" t="s">
        <v>7690</v>
      </c>
      <c r="C5028">
        <v>541679</v>
      </c>
      <c r="D5028" t="s">
        <v>7691</v>
      </c>
      <c r="E5028" t="s">
        <v>38</v>
      </c>
    </row>
    <row r="5029" spans="2:5">
      <c r="B5029" t="s">
        <v>7692</v>
      </c>
      <c r="C5029">
        <v>541725</v>
      </c>
      <c r="D5029" t="s">
        <v>7693</v>
      </c>
      <c r="E5029" t="s">
        <v>38</v>
      </c>
    </row>
    <row r="5030" spans="2:5">
      <c r="B5030" t="s">
        <v>7694</v>
      </c>
      <c r="C5030">
        <v>541726</v>
      </c>
      <c r="D5030" t="s">
        <v>7695</v>
      </c>
      <c r="E5030" t="s">
        <v>38</v>
      </c>
    </row>
    <row r="5031" spans="2:5">
      <c r="B5031" t="s">
        <v>7696</v>
      </c>
      <c r="C5031">
        <v>541727</v>
      </c>
      <c r="D5031" t="s">
        <v>7697</v>
      </c>
      <c r="E5031" t="s">
        <v>38</v>
      </c>
    </row>
    <row r="5032" spans="2:5">
      <c r="B5032" t="s">
        <v>7698</v>
      </c>
      <c r="C5032">
        <v>541728</v>
      </c>
      <c r="D5032" t="s">
        <v>7699</v>
      </c>
      <c r="E5032" t="s">
        <v>38</v>
      </c>
    </row>
    <row r="5033" spans="2:5">
      <c r="B5033" t="s">
        <v>7700</v>
      </c>
      <c r="C5033">
        <v>541742</v>
      </c>
      <c r="D5033" t="s">
        <v>7701</v>
      </c>
      <c r="E5033" t="s">
        <v>38</v>
      </c>
    </row>
    <row r="5034" spans="2:5">
      <c r="B5034" t="s">
        <v>7702</v>
      </c>
      <c r="C5034">
        <v>541743</v>
      </c>
      <c r="D5034" t="s">
        <v>7703</v>
      </c>
      <c r="E5034" t="s">
        <v>38</v>
      </c>
    </row>
    <row r="5035" spans="2:5">
      <c r="B5035" t="s">
        <v>7704</v>
      </c>
      <c r="C5035">
        <v>541744</v>
      </c>
      <c r="D5035" t="s">
        <v>7705</v>
      </c>
      <c r="E5035" t="s">
        <v>38</v>
      </c>
    </row>
    <row r="5036" spans="2:5">
      <c r="B5036" t="s">
        <v>7706</v>
      </c>
      <c r="C5036">
        <v>541745</v>
      </c>
      <c r="D5036" t="s">
        <v>7707</v>
      </c>
      <c r="E5036" t="s">
        <v>38</v>
      </c>
    </row>
    <row r="5037" spans="2:5">
      <c r="B5037" t="s">
        <v>7708</v>
      </c>
      <c r="C5037">
        <v>541804</v>
      </c>
      <c r="D5037" t="s">
        <v>7709</v>
      </c>
      <c r="E5037" t="s">
        <v>38</v>
      </c>
    </row>
    <row r="5038" spans="2:5">
      <c r="B5038" t="s">
        <v>7710</v>
      </c>
      <c r="C5038">
        <v>541805</v>
      </c>
      <c r="D5038" t="s">
        <v>7711</v>
      </c>
      <c r="E5038" t="s">
        <v>38</v>
      </c>
    </row>
    <row r="5039" spans="2:5">
      <c r="B5039" t="s">
        <v>7712</v>
      </c>
      <c r="C5039">
        <v>541806</v>
      </c>
      <c r="D5039" t="s">
        <v>7713</v>
      </c>
      <c r="E5039" t="s">
        <v>38</v>
      </c>
    </row>
    <row r="5040" spans="2:5">
      <c r="B5040" t="s">
        <v>7714</v>
      </c>
      <c r="C5040">
        <v>541807</v>
      </c>
      <c r="D5040" t="s">
        <v>7715</v>
      </c>
      <c r="E5040" t="s">
        <v>38</v>
      </c>
    </row>
    <row r="5041" spans="2:5">
      <c r="B5041" t="s">
        <v>7716</v>
      </c>
      <c r="C5041">
        <v>541809</v>
      </c>
      <c r="D5041" t="s">
        <v>7717</v>
      </c>
      <c r="E5041" t="s">
        <v>38</v>
      </c>
    </row>
    <row r="5042" spans="2:5">
      <c r="B5042" t="s">
        <v>7718</v>
      </c>
      <c r="C5042">
        <v>541879</v>
      </c>
      <c r="D5042" t="s">
        <v>7719</v>
      </c>
      <c r="E5042" t="s">
        <v>38</v>
      </c>
    </row>
    <row r="5043" spans="2:5">
      <c r="B5043" t="s">
        <v>7720</v>
      </c>
      <c r="C5043">
        <v>541881</v>
      </c>
      <c r="D5043" t="s">
        <v>7721</v>
      </c>
      <c r="E5043" t="s">
        <v>38</v>
      </c>
    </row>
    <row r="5044" spans="2:5">
      <c r="B5044" t="s">
        <v>7722</v>
      </c>
      <c r="C5044">
        <v>541882</v>
      </c>
      <c r="D5044" t="s">
        <v>7723</v>
      </c>
      <c r="E5044" t="s">
        <v>38</v>
      </c>
    </row>
    <row r="5045" spans="2:5">
      <c r="B5045" t="s">
        <v>7724</v>
      </c>
      <c r="C5045">
        <v>541884</v>
      </c>
      <c r="D5045" t="s">
        <v>7725</v>
      </c>
      <c r="E5045" t="s">
        <v>38</v>
      </c>
    </row>
    <row r="5046" spans="2:5">
      <c r="B5046" t="s">
        <v>7726</v>
      </c>
      <c r="C5046">
        <v>541972</v>
      </c>
      <c r="D5046" t="s">
        <v>7727</v>
      </c>
      <c r="E5046" t="s">
        <v>38</v>
      </c>
    </row>
    <row r="5047" spans="2:5">
      <c r="B5047" t="s">
        <v>7728</v>
      </c>
      <c r="C5047">
        <v>541984</v>
      </c>
      <c r="D5047" t="s">
        <v>7729</v>
      </c>
      <c r="E5047" t="s">
        <v>38</v>
      </c>
    </row>
    <row r="5048" spans="2:5">
      <c r="B5048" t="s">
        <v>7730</v>
      </c>
      <c r="C5048">
        <v>541985</v>
      </c>
      <c r="D5048" t="s">
        <v>7731</v>
      </c>
      <c r="E5048" t="s">
        <v>38</v>
      </c>
    </row>
    <row r="5049" spans="2:5">
      <c r="B5049" t="s">
        <v>7732</v>
      </c>
      <c r="C5049">
        <v>541986</v>
      </c>
      <c r="D5049" t="s">
        <v>7733</v>
      </c>
      <c r="E5049" t="s">
        <v>38</v>
      </c>
    </row>
    <row r="5050" spans="2:5">
      <c r="B5050" t="s">
        <v>7734</v>
      </c>
      <c r="C5050">
        <v>541987</v>
      </c>
      <c r="D5050" t="s">
        <v>7735</v>
      </c>
      <c r="E5050" t="s">
        <v>38</v>
      </c>
    </row>
    <row r="5051" spans="2:5">
      <c r="B5051" t="s">
        <v>7736</v>
      </c>
      <c r="C5051">
        <v>542131</v>
      </c>
      <c r="D5051" t="s">
        <v>7737</v>
      </c>
      <c r="E5051" t="s">
        <v>38</v>
      </c>
    </row>
    <row r="5052" spans="2:5">
      <c r="B5052" t="s">
        <v>7738</v>
      </c>
      <c r="C5052">
        <v>542156</v>
      </c>
      <c r="D5052" t="s">
        <v>7739</v>
      </c>
      <c r="E5052" t="s">
        <v>38</v>
      </c>
    </row>
    <row r="5053" spans="2:5">
      <c r="B5053" t="s">
        <v>7740</v>
      </c>
      <c r="C5053">
        <v>542158</v>
      </c>
      <c r="D5053" t="s">
        <v>7741</v>
      </c>
      <c r="E5053" t="s">
        <v>38</v>
      </c>
    </row>
    <row r="5054" spans="2:5">
      <c r="B5054" t="s">
        <v>7742</v>
      </c>
      <c r="C5054">
        <v>542160</v>
      </c>
      <c r="D5054" t="s">
        <v>7743</v>
      </c>
      <c r="E5054" t="s">
        <v>38</v>
      </c>
    </row>
    <row r="5055" spans="2:5">
      <c r="B5055" t="s">
        <v>7744</v>
      </c>
      <c r="C5055">
        <v>542163</v>
      </c>
      <c r="D5055" t="s">
        <v>7745</v>
      </c>
      <c r="E5055" t="s">
        <v>38</v>
      </c>
    </row>
    <row r="5056" spans="2:5">
      <c r="B5056" t="s">
        <v>7746</v>
      </c>
      <c r="C5056">
        <v>542230</v>
      </c>
      <c r="D5056" t="s">
        <v>7747</v>
      </c>
      <c r="E5056" t="s">
        <v>38</v>
      </c>
    </row>
    <row r="5057" spans="2:5">
      <c r="B5057" t="s">
        <v>7748</v>
      </c>
      <c r="C5057">
        <v>542244</v>
      </c>
      <c r="D5057" t="s">
        <v>7749</v>
      </c>
      <c r="E5057" t="s">
        <v>38</v>
      </c>
    </row>
    <row r="5058" spans="2:5">
      <c r="B5058" t="s">
        <v>7750</v>
      </c>
      <c r="C5058">
        <v>542245</v>
      </c>
      <c r="D5058" t="s">
        <v>7751</v>
      </c>
      <c r="E5058" t="s">
        <v>38</v>
      </c>
    </row>
    <row r="5059" spans="2:5">
      <c r="B5059" t="s">
        <v>7752</v>
      </c>
      <c r="C5059">
        <v>542246</v>
      </c>
      <c r="D5059" t="s">
        <v>7753</v>
      </c>
      <c r="E5059" t="s">
        <v>38</v>
      </c>
    </row>
    <row r="5060" spans="2:5">
      <c r="B5060" t="s">
        <v>7754</v>
      </c>
      <c r="C5060">
        <v>542247</v>
      </c>
      <c r="D5060" t="s">
        <v>7755</v>
      </c>
      <c r="E5060" t="s">
        <v>38</v>
      </c>
    </row>
    <row r="5061" spans="2:5">
      <c r="B5061" t="s">
        <v>7756</v>
      </c>
      <c r="C5061">
        <v>542513</v>
      </c>
      <c r="D5061" t="s">
        <v>7757</v>
      </c>
      <c r="E5061" t="s">
        <v>38</v>
      </c>
    </row>
    <row r="5062" spans="2:5">
      <c r="B5062" t="s">
        <v>7758</v>
      </c>
      <c r="C5062">
        <v>542543</v>
      </c>
      <c r="D5062" t="s">
        <v>7759</v>
      </c>
      <c r="E5062" t="s">
        <v>38</v>
      </c>
    </row>
    <row r="5063" spans="2:5">
      <c r="B5063" t="s">
        <v>7760</v>
      </c>
      <c r="C5063">
        <v>542694</v>
      </c>
      <c r="D5063" t="s">
        <v>7761</v>
      </c>
      <c r="E5063" t="s">
        <v>382</v>
      </c>
    </row>
    <row r="5064" spans="2:5">
      <c r="B5064" t="s">
        <v>7762</v>
      </c>
      <c r="C5064">
        <v>542721</v>
      </c>
      <c r="D5064" t="s">
        <v>7763</v>
      </c>
      <c r="E5064" t="s">
        <v>382</v>
      </c>
    </row>
    <row r="5065" spans="2:5">
      <c r="B5065" t="s">
        <v>7764</v>
      </c>
      <c r="C5065">
        <v>542724</v>
      </c>
      <c r="D5065" t="s">
        <v>7765</v>
      </c>
      <c r="E5065" t="s">
        <v>398</v>
      </c>
    </row>
    <row r="5066" spans="2:5">
      <c r="B5066" t="s">
        <v>7766</v>
      </c>
      <c r="C5066">
        <v>542725</v>
      </c>
      <c r="D5066" t="s">
        <v>7767</v>
      </c>
      <c r="E5066" t="s">
        <v>474</v>
      </c>
    </row>
    <row r="5067" spans="2:5">
      <c r="B5067" t="s">
        <v>7768</v>
      </c>
      <c r="C5067">
        <v>542726</v>
      </c>
      <c r="D5067" t="s">
        <v>7769</v>
      </c>
      <c r="E5067" t="s">
        <v>366</v>
      </c>
    </row>
    <row r="5068" spans="2:5">
      <c r="B5068" t="s">
        <v>7770</v>
      </c>
      <c r="C5068">
        <v>542727</v>
      </c>
      <c r="D5068" t="s">
        <v>7771</v>
      </c>
      <c r="E5068" t="s">
        <v>361</v>
      </c>
    </row>
    <row r="5069" spans="2:5">
      <c r="B5069" t="s">
        <v>7772</v>
      </c>
      <c r="C5069">
        <v>542728</v>
      </c>
      <c r="D5069" t="s">
        <v>7773</v>
      </c>
      <c r="E5069" t="s">
        <v>474</v>
      </c>
    </row>
    <row r="5070" spans="2:5">
      <c r="B5070" t="s">
        <v>7774</v>
      </c>
      <c r="C5070">
        <v>542729</v>
      </c>
      <c r="D5070" t="s">
        <v>7775</v>
      </c>
      <c r="E5070" t="s">
        <v>375</v>
      </c>
    </row>
    <row r="5071" spans="2:5">
      <c r="B5071" t="s">
        <v>7776</v>
      </c>
      <c r="C5071">
        <v>542730</v>
      </c>
      <c r="D5071" t="s">
        <v>7777</v>
      </c>
      <c r="E5071" t="s">
        <v>38</v>
      </c>
    </row>
    <row r="5072" spans="2:5">
      <c r="B5072" t="s">
        <v>7778</v>
      </c>
      <c r="C5072">
        <v>542747</v>
      </c>
      <c r="D5072" t="s">
        <v>7779</v>
      </c>
      <c r="E5072" t="s">
        <v>38</v>
      </c>
    </row>
    <row r="5073" spans="2:5">
      <c r="B5073" t="s">
        <v>7780</v>
      </c>
      <c r="C5073">
        <v>542752</v>
      </c>
      <c r="D5073" t="s">
        <v>7781</v>
      </c>
      <c r="E5073" t="s">
        <v>1962</v>
      </c>
    </row>
    <row r="5074" spans="2:5">
      <c r="B5074" t="s">
        <v>7782</v>
      </c>
      <c r="C5074">
        <v>542753</v>
      </c>
      <c r="D5074" t="s">
        <v>7783</v>
      </c>
      <c r="E5074" t="s">
        <v>394</v>
      </c>
    </row>
    <row r="5075" spans="2:5">
      <c r="B5075" t="s">
        <v>7784</v>
      </c>
      <c r="C5075">
        <v>542758</v>
      </c>
      <c r="D5075" t="s">
        <v>7785</v>
      </c>
      <c r="E5075" t="s">
        <v>38</v>
      </c>
    </row>
    <row r="5076" spans="2:5">
      <c r="B5076" t="s">
        <v>7786</v>
      </c>
      <c r="C5076">
        <v>542759</v>
      </c>
      <c r="D5076" t="s">
        <v>7787</v>
      </c>
      <c r="E5076" t="s">
        <v>377</v>
      </c>
    </row>
    <row r="5077" spans="2:5">
      <c r="B5077" t="s">
        <v>7788</v>
      </c>
      <c r="C5077">
        <v>542760</v>
      </c>
      <c r="D5077" t="s">
        <v>7789</v>
      </c>
      <c r="E5077" t="s">
        <v>403</v>
      </c>
    </row>
    <row r="5078" spans="2:5">
      <c r="B5078" t="s">
        <v>7790</v>
      </c>
      <c r="C5078">
        <v>542765</v>
      </c>
      <c r="D5078" t="s">
        <v>7791</v>
      </c>
      <c r="E5078" t="s">
        <v>1526</v>
      </c>
    </row>
    <row r="5079" spans="2:5">
      <c r="B5079" t="s">
        <v>7792</v>
      </c>
      <c r="C5079">
        <v>542770</v>
      </c>
      <c r="D5079" t="s">
        <v>7793</v>
      </c>
      <c r="E5079" t="s">
        <v>346</v>
      </c>
    </row>
    <row r="5080" spans="2:5">
      <c r="B5080" t="s">
        <v>7794</v>
      </c>
      <c r="C5080">
        <v>542771</v>
      </c>
      <c r="D5080" t="s">
        <v>7795</v>
      </c>
      <c r="E5080" t="s">
        <v>542</v>
      </c>
    </row>
    <row r="5081" spans="2:5">
      <c r="B5081" t="s">
        <v>7796</v>
      </c>
      <c r="C5081">
        <v>542772</v>
      </c>
      <c r="D5081" t="s">
        <v>7797</v>
      </c>
      <c r="E5081" t="s">
        <v>343</v>
      </c>
    </row>
    <row r="5082" spans="2:5">
      <c r="B5082" t="s">
        <v>7798</v>
      </c>
      <c r="C5082">
        <v>542773</v>
      </c>
      <c r="D5082" t="s">
        <v>7799</v>
      </c>
      <c r="E5082" t="s">
        <v>343</v>
      </c>
    </row>
    <row r="5083" spans="2:5">
      <c r="B5083" t="s">
        <v>7800</v>
      </c>
      <c r="C5083">
        <v>542774</v>
      </c>
      <c r="D5083" t="s">
        <v>7801</v>
      </c>
      <c r="E5083" t="s">
        <v>377</v>
      </c>
    </row>
    <row r="5084" spans="2:5">
      <c r="B5084" t="s">
        <v>7802</v>
      </c>
      <c r="C5084">
        <v>542801</v>
      </c>
      <c r="D5084" t="s">
        <v>7803</v>
      </c>
      <c r="E5084" t="s">
        <v>368</v>
      </c>
    </row>
    <row r="5085" spans="2:5">
      <c r="B5085" t="s">
        <v>7804</v>
      </c>
      <c r="C5085">
        <v>542802</v>
      </c>
      <c r="D5085" t="s">
        <v>7805</v>
      </c>
      <c r="E5085" t="s">
        <v>343</v>
      </c>
    </row>
    <row r="5086" spans="2:5">
      <c r="B5086" t="s">
        <v>7806</v>
      </c>
      <c r="C5086">
        <v>542803</v>
      </c>
      <c r="D5086" t="s">
        <v>7807</v>
      </c>
      <c r="E5086" t="s">
        <v>382</v>
      </c>
    </row>
    <row r="5087" spans="2:5">
      <c r="B5087" t="s">
        <v>7808</v>
      </c>
      <c r="C5087">
        <v>542804</v>
      </c>
      <c r="D5087" t="s">
        <v>7809</v>
      </c>
      <c r="E5087" t="s">
        <v>38</v>
      </c>
    </row>
    <row r="5088" spans="2:5">
      <c r="B5088" t="s">
        <v>7810</v>
      </c>
      <c r="C5088">
        <v>542805</v>
      </c>
      <c r="D5088" t="s">
        <v>7811</v>
      </c>
      <c r="E5088" t="s">
        <v>38</v>
      </c>
    </row>
    <row r="5089" spans="2:5">
      <c r="B5089" t="s">
        <v>7812</v>
      </c>
      <c r="C5089">
        <v>542806</v>
      </c>
      <c r="D5089" t="s">
        <v>7813</v>
      </c>
      <c r="E5089" t="s">
        <v>38</v>
      </c>
    </row>
    <row r="5090" spans="2:5">
      <c r="B5090" t="s">
        <v>7814</v>
      </c>
      <c r="C5090">
        <v>542807</v>
      </c>
      <c r="D5090" t="s">
        <v>7815</v>
      </c>
      <c r="E5090" t="s">
        <v>38</v>
      </c>
    </row>
    <row r="5091" spans="2:5">
      <c r="B5091" t="s">
        <v>7816</v>
      </c>
      <c r="C5091">
        <v>542808</v>
      </c>
      <c r="D5091" t="s">
        <v>7817</v>
      </c>
      <c r="E5091" t="s">
        <v>38</v>
      </c>
    </row>
    <row r="5092" spans="2:5">
      <c r="B5092" t="s">
        <v>7818</v>
      </c>
      <c r="C5092">
        <v>542809</v>
      </c>
      <c r="D5092" t="s">
        <v>7819</v>
      </c>
      <c r="E5092" t="s">
        <v>38</v>
      </c>
    </row>
    <row r="5093" spans="2:5">
      <c r="B5093" t="s">
        <v>7820</v>
      </c>
      <c r="C5093">
        <v>542810</v>
      </c>
      <c r="D5093" t="s">
        <v>7821</v>
      </c>
      <c r="E5093" t="s">
        <v>38</v>
      </c>
    </row>
    <row r="5094" spans="2:5">
      <c r="B5094" t="s">
        <v>7822</v>
      </c>
      <c r="C5094">
        <v>542811</v>
      </c>
      <c r="D5094" t="s">
        <v>7823</v>
      </c>
      <c r="E5094" t="s">
        <v>38</v>
      </c>
    </row>
    <row r="5095" spans="2:5">
      <c r="B5095" t="s">
        <v>7824</v>
      </c>
      <c r="C5095">
        <v>542812</v>
      </c>
      <c r="D5095" t="s">
        <v>7825</v>
      </c>
      <c r="E5095" t="s">
        <v>520</v>
      </c>
    </row>
    <row r="5096" spans="2:5">
      <c r="B5096" t="s">
        <v>7826</v>
      </c>
      <c r="C5096">
        <v>542813</v>
      </c>
      <c r="D5096" t="s">
        <v>7827</v>
      </c>
      <c r="E5096" t="s">
        <v>38</v>
      </c>
    </row>
    <row r="5097" spans="2:5">
      <c r="B5097" t="s">
        <v>7828</v>
      </c>
      <c r="C5097">
        <v>542814</v>
      </c>
      <c r="D5097" t="s">
        <v>7829</v>
      </c>
      <c r="E5097" t="s">
        <v>38</v>
      </c>
    </row>
    <row r="5098" spans="2:5">
      <c r="B5098" t="s">
        <v>7830</v>
      </c>
      <c r="C5098">
        <v>542815</v>
      </c>
      <c r="D5098" t="s">
        <v>7831</v>
      </c>
      <c r="E5098" t="s">
        <v>38</v>
      </c>
    </row>
    <row r="5099" spans="2:5">
      <c r="B5099" t="s">
        <v>7832</v>
      </c>
      <c r="C5099">
        <v>542816</v>
      </c>
      <c r="D5099" t="s">
        <v>7833</v>
      </c>
      <c r="E5099" t="s">
        <v>38</v>
      </c>
    </row>
    <row r="5100" spans="2:5">
      <c r="B5100" t="s">
        <v>7834</v>
      </c>
      <c r="C5100">
        <v>542817</v>
      </c>
      <c r="D5100" t="s">
        <v>7835</v>
      </c>
      <c r="E5100" t="s">
        <v>38</v>
      </c>
    </row>
    <row r="5101" spans="2:5">
      <c r="B5101" t="s">
        <v>7836</v>
      </c>
      <c r="C5101">
        <v>542818</v>
      </c>
      <c r="D5101" t="s">
        <v>7837</v>
      </c>
      <c r="E5101" t="s">
        <v>38</v>
      </c>
    </row>
    <row r="5102" spans="2:5">
      <c r="B5102" t="s">
        <v>7838</v>
      </c>
      <c r="C5102">
        <v>542819</v>
      </c>
      <c r="D5102" t="s">
        <v>7839</v>
      </c>
      <c r="E5102" t="s">
        <v>38</v>
      </c>
    </row>
    <row r="5103" spans="2:5">
      <c r="B5103" t="s">
        <v>7840</v>
      </c>
      <c r="C5103">
        <v>542820</v>
      </c>
      <c r="D5103" t="s">
        <v>7841</v>
      </c>
      <c r="E5103" t="s">
        <v>38</v>
      </c>
    </row>
    <row r="5104" spans="2:5">
      <c r="B5104" t="s">
        <v>7842</v>
      </c>
      <c r="C5104">
        <v>542830</v>
      </c>
      <c r="D5104" t="s">
        <v>7843</v>
      </c>
      <c r="E5104" t="s">
        <v>1362</v>
      </c>
    </row>
    <row r="5105" spans="2:5">
      <c r="B5105" t="s">
        <v>7844</v>
      </c>
      <c r="C5105">
        <v>542836</v>
      </c>
      <c r="D5105" t="s">
        <v>7845</v>
      </c>
      <c r="E5105" t="s">
        <v>38</v>
      </c>
    </row>
    <row r="5106" spans="2:5">
      <c r="B5106" t="s">
        <v>7846</v>
      </c>
      <c r="C5106">
        <v>542837</v>
      </c>
      <c r="D5106" t="s">
        <v>7847</v>
      </c>
      <c r="E5106" t="s">
        <v>38</v>
      </c>
    </row>
    <row r="5107" spans="2:5">
      <c r="B5107" t="s">
        <v>7848</v>
      </c>
      <c r="C5107">
        <v>542838</v>
      </c>
      <c r="D5107" t="s">
        <v>7849</v>
      </c>
      <c r="E5107" t="s">
        <v>38</v>
      </c>
    </row>
    <row r="5108" spans="2:5">
      <c r="B5108" t="s">
        <v>7850</v>
      </c>
      <c r="C5108">
        <v>542839</v>
      </c>
      <c r="D5108" t="s">
        <v>7851</v>
      </c>
      <c r="E5108" t="s">
        <v>38</v>
      </c>
    </row>
    <row r="5109" spans="2:5">
      <c r="B5109" t="s">
        <v>7852</v>
      </c>
      <c r="C5109">
        <v>542840</v>
      </c>
      <c r="D5109" t="s">
        <v>7853</v>
      </c>
      <c r="E5109" t="s">
        <v>38</v>
      </c>
    </row>
    <row r="5110" spans="2:5">
      <c r="B5110" t="s">
        <v>7854</v>
      </c>
      <c r="C5110">
        <v>542841</v>
      </c>
      <c r="D5110" t="s">
        <v>7855</v>
      </c>
      <c r="E5110" t="s">
        <v>38</v>
      </c>
    </row>
    <row r="5111" spans="2:5">
      <c r="B5111" t="s">
        <v>7856</v>
      </c>
      <c r="C5111">
        <v>542842</v>
      </c>
      <c r="D5111" t="s">
        <v>7857</v>
      </c>
      <c r="E5111" t="s">
        <v>38</v>
      </c>
    </row>
    <row r="5112" spans="2:5">
      <c r="B5112" t="s">
        <v>7858</v>
      </c>
      <c r="C5112">
        <v>542843</v>
      </c>
      <c r="D5112" t="s">
        <v>7859</v>
      </c>
      <c r="E5112" t="s">
        <v>38</v>
      </c>
    </row>
    <row r="5113" spans="2:5">
      <c r="B5113" t="s">
        <v>7860</v>
      </c>
      <c r="C5113">
        <v>542844</v>
      </c>
      <c r="D5113" t="s">
        <v>7861</v>
      </c>
      <c r="E5113" t="s">
        <v>38</v>
      </c>
    </row>
    <row r="5114" spans="2:5">
      <c r="B5114" t="s">
        <v>7862</v>
      </c>
      <c r="C5114">
        <v>542845</v>
      </c>
      <c r="D5114" t="s">
        <v>7863</v>
      </c>
      <c r="E5114" t="s">
        <v>38</v>
      </c>
    </row>
    <row r="5115" spans="2:5">
      <c r="B5115" t="s">
        <v>7864</v>
      </c>
      <c r="C5115">
        <v>542846</v>
      </c>
      <c r="D5115" t="s">
        <v>7865</v>
      </c>
      <c r="E5115" t="s">
        <v>38</v>
      </c>
    </row>
    <row r="5116" spans="2:5">
      <c r="B5116" t="s">
        <v>7866</v>
      </c>
      <c r="C5116">
        <v>542847</v>
      </c>
      <c r="D5116" t="s">
        <v>7867</v>
      </c>
      <c r="E5116" t="s">
        <v>38</v>
      </c>
    </row>
    <row r="5117" spans="2:5">
      <c r="B5117" t="s">
        <v>7868</v>
      </c>
      <c r="C5117">
        <v>542848</v>
      </c>
      <c r="D5117" t="s">
        <v>7869</v>
      </c>
      <c r="E5117" t="s">
        <v>38</v>
      </c>
    </row>
    <row r="5118" spans="2:5">
      <c r="B5118" t="s">
        <v>7870</v>
      </c>
      <c r="C5118">
        <v>542849</v>
      </c>
      <c r="D5118" t="s">
        <v>7871</v>
      </c>
      <c r="E5118" t="s">
        <v>38</v>
      </c>
    </row>
    <row r="5119" spans="2:5">
      <c r="B5119" t="s">
        <v>7872</v>
      </c>
      <c r="C5119">
        <v>542850</v>
      </c>
      <c r="D5119" t="s">
        <v>7873</v>
      </c>
      <c r="E5119" t="s">
        <v>474</v>
      </c>
    </row>
    <row r="5120" spans="2:5">
      <c r="B5120" t="s">
        <v>7874</v>
      </c>
      <c r="C5120">
        <v>542851</v>
      </c>
      <c r="D5120" t="s">
        <v>7875</v>
      </c>
      <c r="E5120" t="s">
        <v>444</v>
      </c>
    </row>
    <row r="5121" spans="2:5">
      <c r="B5121" t="s">
        <v>7876</v>
      </c>
      <c r="C5121">
        <v>542852</v>
      </c>
      <c r="D5121" t="s">
        <v>7877</v>
      </c>
      <c r="E5121" t="s">
        <v>1058</v>
      </c>
    </row>
    <row r="5122" spans="2:5">
      <c r="B5122" t="s">
        <v>7878</v>
      </c>
      <c r="C5122">
        <v>542857</v>
      </c>
      <c r="D5122" t="s">
        <v>7879</v>
      </c>
      <c r="E5122" t="s">
        <v>855</v>
      </c>
    </row>
    <row r="5123" spans="2:5">
      <c r="B5123" t="s">
        <v>7880</v>
      </c>
      <c r="C5123">
        <v>542862</v>
      </c>
      <c r="D5123" t="s">
        <v>7881</v>
      </c>
      <c r="E5123" t="s">
        <v>375</v>
      </c>
    </row>
    <row r="5124" spans="2:5">
      <c r="B5124" t="s">
        <v>7882</v>
      </c>
      <c r="C5124">
        <v>542863</v>
      </c>
      <c r="D5124" t="s">
        <v>7883</v>
      </c>
      <c r="E5124" t="s">
        <v>38</v>
      </c>
    </row>
    <row r="5125" spans="2:5">
      <c r="B5125" t="s">
        <v>7884</v>
      </c>
      <c r="C5125">
        <v>542864</v>
      </c>
      <c r="D5125" t="s">
        <v>7885</v>
      </c>
      <c r="E5125" t="s">
        <v>446</v>
      </c>
    </row>
    <row r="5126" spans="2:5">
      <c r="B5126" t="s">
        <v>7886</v>
      </c>
      <c r="C5126">
        <v>542865</v>
      </c>
      <c r="D5126" t="s">
        <v>7887</v>
      </c>
      <c r="E5126" t="s">
        <v>555</v>
      </c>
    </row>
    <row r="5127" spans="2:5">
      <c r="B5127" t="s">
        <v>7888</v>
      </c>
      <c r="C5127">
        <v>542866</v>
      </c>
      <c r="D5127" t="s">
        <v>7889</v>
      </c>
      <c r="E5127" t="s">
        <v>343</v>
      </c>
    </row>
    <row r="5128" spans="2:5">
      <c r="B5128" t="s">
        <v>7890</v>
      </c>
      <c r="C5128">
        <v>542867</v>
      </c>
      <c r="D5128" t="s">
        <v>7891</v>
      </c>
      <c r="E5128" t="s">
        <v>678</v>
      </c>
    </row>
    <row r="5129" spans="2:5">
      <c r="B5129" t="s">
        <v>7892</v>
      </c>
      <c r="C5129">
        <v>542904</v>
      </c>
      <c r="D5129" t="s">
        <v>7893</v>
      </c>
      <c r="E5129" t="s">
        <v>678</v>
      </c>
    </row>
    <row r="5130" spans="2:5">
      <c r="B5130" t="s">
        <v>7894</v>
      </c>
      <c r="C5130">
        <v>542905</v>
      </c>
      <c r="D5130" t="s">
        <v>7895</v>
      </c>
      <c r="E5130" t="s">
        <v>658</v>
      </c>
    </row>
    <row r="5131" spans="2:5">
      <c r="B5131" t="s">
        <v>7896</v>
      </c>
      <c r="C5131">
        <v>542906</v>
      </c>
      <c r="D5131" t="s">
        <v>7897</v>
      </c>
      <c r="E5131" t="s">
        <v>377</v>
      </c>
    </row>
    <row r="5132" spans="2:5">
      <c r="B5132" t="s">
        <v>7898</v>
      </c>
      <c r="C5132">
        <v>542907</v>
      </c>
      <c r="D5132" t="s">
        <v>7899</v>
      </c>
      <c r="E5132" t="s">
        <v>480</v>
      </c>
    </row>
    <row r="5133" spans="2:5">
      <c r="B5133" t="s">
        <v>7900</v>
      </c>
      <c r="C5133">
        <v>542910</v>
      </c>
      <c r="D5133" t="s">
        <v>7901</v>
      </c>
      <c r="E5133" t="s">
        <v>795</v>
      </c>
    </row>
    <row r="5134" spans="2:5">
      <c r="B5134" t="s">
        <v>7902</v>
      </c>
      <c r="C5134">
        <v>542911</v>
      </c>
      <c r="D5134" t="s">
        <v>7903</v>
      </c>
      <c r="E5134" t="s">
        <v>377</v>
      </c>
    </row>
    <row r="5135" spans="2:5">
      <c r="B5135" t="s">
        <v>7904</v>
      </c>
      <c r="C5135">
        <v>542918</v>
      </c>
      <c r="D5135" t="s">
        <v>7905</v>
      </c>
      <c r="E5135" t="s">
        <v>549</v>
      </c>
    </row>
    <row r="5136" spans="2:5">
      <c r="B5136" t="s">
        <v>7906</v>
      </c>
      <c r="C5136">
        <v>542919</v>
      </c>
      <c r="D5136" t="s">
        <v>7907</v>
      </c>
      <c r="E5136" t="s">
        <v>549</v>
      </c>
    </row>
    <row r="5137" spans="2:5">
      <c r="B5137" t="s">
        <v>7908</v>
      </c>
      <c r="C5137">
        <v>542920</v>
      </c>
      <c r="D5137" t="s">
        <v>7909</v>
      </c>
      <c r="E5137" t="s">
        <v>504</v>
      </c>
    </row>
    <row r="5138" spans="2:5">
      <c r="B5138" t="s">
        <v>7910</v>
      </c>
      <c r="C5138">
        <v>542921</v>
      </c>
      <c r="D5138" t="s">
        <v>7911</v>
      </c>
      <c r="E5138" t="s">
        <v>38</v>
      </c>
    </row>
    <row r="5139" spans="2:5">
      <c r="B5139" t="s">
        <v>7912</v>
      </c>
      <c r="C5139">
        <v>542922</v>
      </c>
      <c r="D5139" t="s">
        <v>7913</v>
      </c>
      <c r="E5139" t="s">
        <v>38</v>
      </c>
    </row>
    <row r="5140" spans="2:5">
      <c r="B5140" t="s">
        <v>7914</v>
      </c>
      <c r="C5140">
        <v>542923</v>
      </c>
      <c r="D5140" t="s">
        <v>7915</v>
      </c>
      <c r="E5140" t="s">
        <v>346</v>
      </c>
    </row>
    <row r="5141" spans="2:5">
      <c r="B5141" t="s">
        <v>7916</v>
      </c>
      <c r="C5141">
        <v>542924</v>
      </c>
      <c r="D5141" t="s">
        <v>7917</v>
      </c>
      <c r="E5141" t="s">
        <v>349</v>
      </c>
    </row>
    <row r="5142" spans="2:5">
      <c r="B5142" t="s">
        <v>7918</v>
      </c>
      <c r="C5142">
        <v>542931</v>
      </c>
      <c r="D5142" t="s">
        <v>7919</v>
      </c>
      <c r="E5142" t="s">
        <v>377</v>
      </c>
    </row>
    <row r="5143" spans="2:5">
      <c r="B5143" t="s">
        <v>7920</v>
      </c>
      <c r="C5143">
        <v>542932</v>
      </c>
      <c r="D5143" t="s">
        <v>7921</v>
      </c>
      <c r="E5143" t="s">
        <v>840</v>
      </c>
    </row>
    <row r="5144" spans="2:5">
      <c r="B5144" t="s">
        <v>7922</v>
      </c>
      <c r="C5144">
        <v>542933</v>
      </c>
      <c r="D5144" t="s">
        <v>7923</v>
      </c>
      <c r="E5144" t="s">
        <v>1598</v>
      </c>
    </row>
    <row r="5145" spans="2:5">
      <c r="B5145" t="s">
        <v>7924</v>
      </c>
      <c r="C5145">
        <v>542934</v>
      </c>
      <c r="D5145" t="s">
        <v>7925</v>
      </c>
      <c r="E5145" t="s">
        <v>398</v>
      </c>
    </row>
    <row r="5146" spans="2:5">
      <c r="B5146" t="s">
        <v>7926</v>
      </c>
      <c r="C5146">
        <v>542935</v>
      </c>
      <c r="D5146" t="s">
        <v>7927</v>
      </c>
      <c r="E5146" t="s">
        <v>420</v>
      </c>
    </row>
    <row r="5147" spans="2:5">
      <c r="B5147" t="s">
        <v>7928</v>
      </c>
      <c r="C5147">
        <v>542938</v>
      </c>
      <c r="D5147" t="s">
        <v>7929</v>
      </c>
      <c r="E5147" t="s">
        <v>767</v>
      </c>
    </row>
    <row r="5148" spans="2:5">
      <c r="B5148" t="s">
        <v>7930</v>
      </c>
      <c r="C5148">
        <v>543064</v>
      </c>
      <c r="D5148" t="s">
        <v>7931</v>
      </c>
      <c r="E5148" t="s">
        <v>398</v>
      </c>
    </row>
    <row r="5149" spans="2:5">
      <c r="B5149" t="s">
        <v>7932</v>
      </c>
      <c r="C5149">
        <v>543065</v>
      </c>
      <c r="D5149" t="s">
        <v>7933</v>
      </c>
      <c r="E5149" t="s">
        <v>545</v>
      </c>
    </row>
    <row r="5150" spans="2:5">
      <c r="B5150" t="s">
        <v>7934</v>
      </c>
      <c r="C5150">
        <v>543066</v>
      </c>
      <c r="D5150" t="s">
        <v>7935</v>
      </c>
      <c r="E5150" t="s">
        <v>377</v>
      </c>
    </row>
    <row r="5151" spans="2:5">
      <c r="B5151" t="s">
        <v>7936</v>
      </c>
      <c r="C5151">
        <v>543144</v>
      </c>
      <c r="D5151" t="s">
        <v>7937</v>
      </c>
      <c r="E5151" t="s">
        <v>38</v>
      </c>
    </row>
    <row r="5152" spans="2:5">
      <c r="B5152" t="s">
        <v>7938</v>
      </c>
      <c r="C5152">
        <v>543145</v>
      </c>
      <c r="D5152" t="s">
        <v>7939</v>
      </c>
      <c r="E5152" t="s">
        <v>38</v>
      </c>
    </row>
    <row r="5153" spans="2:5">
      <c r="B5153" t="s">
        <v>7936</v>
      </c>
      <c r="C5153">
        <v>543146</v>
      </c>
      <c r="D5153" t="s">
        <v>7940</v>
      </c>
      <c r="E5153" t="s">
        <v>38</v>
      </c>
    </row>
    <row r="5154" spans="2:5">
      <c r="B5154" t="s">
        <v>7941</v>
      </c>
      <c r="C5154">
        <v>543147</v>
      </c>
      <c r="D5154" t="s">
        <v>7942</v>
      </c>
      <c r="E5154" t="s">
        <v>38</v>
      </c>
    </row>
    <row r="5155" spans="2:5">
      <c r="B5155" t="s">
        <v>7941</v>
      </c>
      <c r="C5155">
        <v>543148</v>
      </c>
      <c r="D5155" t="s">
        <v>7943</v>
      </c>
      <c r="E5155" t="s">
        <v>38</v>
      </c>
    </row>
    <row r="5156" spans="2:5">
      <c r="B5156" t="s">
        <v>7944</v>
      </c>
      <c r="C5156">
        <v>543149</v>
      </c>
      <c r="D5156" t="s">
        <v>7945</v>
      </c>
      <c r="E5156" t="s">
        <v>38</v>
      </c>
    </row>
    <row r="5157" spans="2:5">
      <c r="B5157" t="s">
        <v>7946</v>
      </c>
      <c r="C5157">
        <v>543150</v>
      </c>
      <c r="D5157" t="s">
        <v>7947</v>
      </c>
      <c r="E5157" t="s">
        <v>38</v>
      </c>
    </row>
    <row r="5158" spans="2:5">
      <c r="B5158" t="s">
        <v>7948</v>
      </c>
      <c r="C5158">
        <v>543151</v>
      </c>
      <c r="D5158" t="s">
        <v>7949</v>
      </c>
      <c r="E5158" t="s">
        <v>38</v>
      </c>
    </row>
    <row r="5159" spans="2:5">
      <c r="B5159" t="s">
        <v>7950</v>
      </c>
      <c r="C5159">
        <v>543152</v>
      </c>
      <c r="D5159" t="s">
        <v>7951</v>
      </c>
      <c r="E5159" t="s">
        <v>38</v>
      </c>
    </row>
    <row r="5160" spans="2:5">
      <c r="B5160" t="s">
        <v>7952</v>
      </c>
      <c r="C5160">
        <v>543153</v>
      </c>
      <c r="D5160" t="s">
        <v>7953</v>
      </c>
      <c r="E5160" t="s">
        <v>38</v>
      </c>
    </row>
    <row r="5161" spans="2:5">
      <c r="B5161" t="s">
        <v>7950</v>
      </c>
      <c r="C5161">
        <v>543154</v>
      </c>
      <c r="D5161" t="s">
        <v>7954</v>
      </c>
      <c r="E5161" t="s">
        <v>38</v>
      </c>
    </row>
    <row r="5162" spans="2:5">
      <c r="B5162" t="s">
        <v>7955</v>
      </c>
      <c r="C5162">
        <v>543155</v>
      </c>
      <c r="D5162" t="s">
        <v>7956</v>
      </c>
      <c r="E5162" t="s">
        <v>38</v>
      </c>
    </row>
    <row r="5163" spans="2:5">
      <c r="B5163" t="s">
        <v>7957</v>
      </c>
      <c r="C5163">
        <v>543156</v>
      </c>
      <c r="D5163" t="s">
        <v>7958</v>
      </c>
      <c r="E5163" t="s">
        <v>38</v>
      </c>
    </row>
    <row r="5164" spans="2:5">
      <c r="B5164" t="s">
        <v>7955</v>
      </c>
      <c r="C5164">
        <v>543168</v>
      </c>
      <c r="D5164" t="s">
        <v>7959</v>
      </c>
      <c r="E5164" t="s">
        <v>38</v>
      </c>
    </row>
    <row r="5165" spans="2:5">
      <c r="B5165" t="s">
        <v>7957</v>
      </c>
      <c r="C5165">
        <v>543169</v>
      </c>
      <c r="D5165" t="s">
        <v>7960</v>
      </c>
      <c r="E5165" t="s">
        <v>38</v>
      </c>
    </row>
    <row r="5166" spans="2:5">
      <c r="B5166" t="s">
        <v>7938</v>
      </c>
      <c r="C5166">
        <v>543170</v>
      </c>
      <c r="D5166" t="s">
        <v>7961</v>
      </c>
      <c r="E5166" t="s">
        <v>38</v>
      </c>
    </row>
    <row r="5167" spans="2:5">
      <c r="B5167" t="s">
        <v>7962</v>
      </c>
      <c r="C5167">
        <v>543171</v>
      </c>
      <c r="D5167" t="s">
        <v>7963</v>
      </c>
      <c r="E5167" t="s">
        <v>474</v>
      </c>
    </row>
    <row r="5168" spans="2:5">
      <c r="B5168" t="s">
        <v>7964</v>
      </c>
      <c r="C5168">
        <v>543172</v>
      </c>
      <c r="D5168" t="s">
        <v>7965</v>
      </c>
      <c r="E5168" t="s">
        <v>368</v>
      </c>
    </row>
    <row r="5169" spans="2:5">
      <c r="B5169" t="s">
        <v>7966</v>
      </c>
      <c r="C5169">
        <v>543173</v>
      </c>
      <c r="D5169" t="s">
        <v>7967</v>
      </c>
      <c r="E5169" t="s">
        <v>38</v>
      </c>
    </row>
    <row r="5170" spans="2:5">
      <c r="B5170" t="s">
        <v>7968</v>
      </c>
      <c r="C5170">
        <v>543174</v>
      </c>
      <c r="D5170" t="s">
        <v>7969</v>
      </c>
      <c r="E5170" t="s">
        <v>38</v>
      </c>
    </row>
    <row r="5171" spans="2:5">
      <c r="B5171" t="s">
        <v>7970</v>
      </c>
      <c r="C5171">
        <v>543175</v>
      </c>
      <c r="D5171" t="s">
        <v>7971</v>
      </c>
      <c r="E5171" t="s">
        <v>38</v>
      </c>
    </row>
    <row r="5172" spans="2:5">
      <c r="B5172" t="s">
        <v>7972</v>
      </c>
      <c r="C5172">
        <v>543176</v>
      </c>
      <c r="D5172" t="s">
        <v>7973</v>
      </c>
      <c r="E5172" t="s">
        <v>38</v>
      </c>
    </row>
    <row r="5173" spans="2:5">
      <c r="B5173" t="s">
        <v>7974</v>
      </c>
      <c r="C5173">
        <v>543177</v>
      </c>
      <c r="D5173" t="s">
        <v>7975</v>
      </c>
      <c r="E5173" t="s">
        <v>38</v>
      </c>
    </row>
    <row r="5174" spans="2:5">
      <c r="B5174" t="s">
        <v>7976</v>
      </c>
      <c r="C5174">
        <v>543178</v>
      </c>
      <c r="D5174" t="s">
        <v>7977</v>
      </c>
      <c r="E5174" t="s">
        <v>38</v>
      </c>
    </row>
    <row r="5175" spans="2:5">
      <c r="B5175" t="s">
        <v>7978</v>
      </c>
      <c r="C5175">
        <v>543179</v>
      </c>
      <c r="D5175" t="s">
        <v>7979</v>
      </c>
      <c r="E5175" t="s">
        <v>38</v>
      </c>
    </row>
    <row r="5176" spans="2:5">
      <c r="B5176" t="s">
        <v>7980</v>
      </c>
      <c r="C5176">
        <v>543180</v>
      </c>
      <c r="D5176" t="s">
        <v>7981</v>
      </c>
      <c r="E5176" t="s">
        <v>38</v>
      </c>
    </row>
    <row r="5177" spans="2:5">
      <c r="B5177" t="s">
        <v>7982</v>
      </c>
      <c r="C5177">
        <v>543181</v>
      </c>
      <c r="D5177" t="s">
        <v>7983</v>
      </c>
      <c r="E5177" t="s">
        <v>38</v>
      </c>
    </row>
    <row r="5178" spans="2:5">
      <c r="B5178" t="s">
        <v>7984</v>
      </c>
      <c r="C5178">
        <v>543182</v>
      </c>
      <c r="D5178" t="s">
        <v>7985</v>
      </c>
      <c r="E5178" t="s">
        <v>38</v>
      </c>
    </row>
    <row r="5179" spans="2:5">
      <c r="B5179" t="s">
        <v>7986</v>
      </c>
      <c r="C5179">
        <v>543183</v>
      </c>
      <c r="D5179" t="s">
        <v>7987</v>
      </c>
      <c r="E5179" t="s">
        <v>38</v>
      </c>
    </row>
    <row r="5180" spans="2:5">
      <c r="B5180" t="s">
        <v>7988</v>
      </c>
      <c r="C5180">
        <v>543184</v>
      </c>
      <c r="D5180" t="s">
        <v>7989</v>
      </c>
      <c r="E5180" t="s">
        <v>38</v>
      </c>
    </row>
    <row r="5181" spans="2:5">
      <c r="B5181" t="s">
        <v>7990</v>
      </c>
      <c r="C5181">
        <v>543185</v>
      </c>
      <c r="D5181" t="s">
        <v>7991</v>
      </c>
      <c r="E5181" t="s">
        <v>38</v>
      </c>
    </row>
    <row r="5182" spans="2:5">
      <c r="B5182" t="s">
        <v>7992</v>
      </c>
      <c r="C5182">
        <v>543186</v>
      </c>
      <c r="D5182" t="s">
        <v>7993</v>
      </c>
      <c r="E5182" t="s">
        <v>38</v>
      </c>
    </row>
    <row r="5183" spans="2:5">
      <c r="B5183" t="s">
        <v>7994</v>
      </c>
      <c r="C5183">
        <v>543187</v>
      </c>
      <c r="D5183" t="s">
        <v>7995</v>
      </c>
      <c r="E5183" t="s">
        <v>403</v>
      </c>
    </row>
    <row r="5184" spans="2:5">
      <c r="B5184" t="s">
        <v>7996</v>
      </c>
      <c r="C5184">
        <v>543193</v>
      </c>
      <c r="D5184" t="s">
        <v>7997</v>
      </c>
      <c r="E5184" t="s">
        <v>681</v>
      </c>
    </row>
    <row r="5185" spans="2:5">
      <c r="B5185" t="s">
        <v>7998</v>
      </c>
      <c r="C5185">
        <v>543194</v>
      </c>
      <c r="D5185" t="s">
        <v>7999</v>
      </c>
      <c r="E5185" t="s">
        <v>7315</v>
      </c>
    </row>
    <row r="5186" spans="2:5">
      <c r="B5186" t="s">
        <v>8000</v>
      </c>
      <c r="C5186">
        <v>543207</v>
      </c>
      <c r="D5186" t="s">
        <v>8001</v>
      </c>
      <c r="E5186" t="s">
        <v>504</v>
      </c>
    </row>
    <row r="5187" spans="2:5">
      <c r="B5187" t="s">
        <v>8002</v>
      </c>
      <c r="C5187">
        <v>543208</v>
      </c>
      <c r="D5187" t="s">
        <v>8003</v>
      </c>
      <c r="E5187" t="s">
        <v>377</v>
      </c>
    </row>
    <row r="5188" spans="2:5">
      <c r="B5188" t="s">
        <v>8004</v>
      </c>
      <c r="C5188">
        <v>543209</v>
      </c>
      <c r="D5188" t="s">
        <v>8005</v>
      </c>
      <c r="E5188" t="s">
        <v>349</v>
      </c>
    </row>
    <row r="5189" spans="2:5">
      <c r="B5189" t="s">
        <v>8006</v>
      </c>
      <c r="C5189">
        <v>543210</v>
      </c>
      <c r="D5189" t="s">
        <v>8007</v>
      </c>
      <c r="E5189" t="s">
        <v>520</v>
      </c>
    </row>
    <row r="5190" spans="2:5">
      <c r="B5190" t="s">
        <v>8008</v>
      </c>
      <c r="C5190">
        <v>543211</v>
      </c>
      <c r="D5190" t="s">
        <v>8009</v>
      </c>
      <c r="E5190" t="s">
        <v>1279</v>
      </c>
    </row>
    <row r="5191" spans="2:5">
      <c r="B5191" t="s">
        <v>8010</v>
      </c>
      <c r="C5191">
        <v>543212</v>
      </c>
      <c r="D5191" t="s">
        <v>8011</v>
      </c>
      <c r="E5191" t="s">
        <v>1405</v>
      </c>
    </row>
    <row r="5192" spans="2:5">
      <c r="B5192" t="s">
        <v>8012</v>
      </c>
      <c r="C5192">
        <v>543213</v>
      </c>
      <c r="D5192" t="s">
        <v>8013</v>
      </c>
      <c r="E5192" t="s">
        <v>520</v>
      </c>
    </row>
    <row r="5193" spans="2:5">
      <c r="B5193" t="s">
        <v>8014</v>
      </c>
      <c r="C5193">
        <v>543214</v>
      </c>
      <c r="D5193" t="s">
        <v>8015</v>
      </c>
      <c r="E5193" t="s">
        <v>715</v>
      </c>
    </row>
    <row r="5194" spans="2:5">
      <c r="B5194" t="s">
        <v>8016</v>
      </c>
      <c r="C5194">
        <v>543217</v>
      </c>
      <c r="D5194" t="s">
        <v>8017</v>
      </c>
      <c r="E5194" t="s">
        <v>38</v>
      </c>
    </row>
    <row r="5195" spans="2:5">
      <c r="B5195" t="s">
        <v>8018</v>
      </c>
      <c r="C5195">
        <v>543218</v>
      </c>
      <c r="D5195" t="s">
        <v>8019</v>
      </c>
      <c r="E5195" t="s">
        <v>446</v>
      </c>
    </row>
    <row r="5196" spans="2:5">
      <c r="B5196" t="s">
        <v>8020</v>
      </c>
      <c r="C5196">
        <v>543219</v>
      </c>
      <c r="D5196" t="s">
        <v>8021</v>
      </c>
      <c r="E5196" t="s">
        <v>38</v>
      </c>
    </row>
    <row r="5197" spans="2:5">
      <c r="B5197" t="s">
        <v>8022</v>
      </c>
      <c r="C5197">
        <v>543220</v>
      </c>
      <c r="D5197" t="s">
        <v>8023</v>
      </c>
      <c r="E5197" t="s">
        <v>830</v>
      </c>
    </row>
    <row r="5198" spans="2:5">
      <c r="B5198" t="s">
        <v>8024</v>
      </c>
      <c r="C5198">
        <v>543221</v>
      </c>
      <c r="D5198" t="s">
        <v>8025</v>
      </c>
      <c r="E5198" t="s">
        <v>38</v>
      </c>
    </row>
    <row r="5199" spans="2:5">
      <c r="B5199" t="s">
        <v>8026</v>
      </c>
      <c r="C5199">
        <v>543222</v>
      </c>
      <c r="D5199" t="s">
        <v>8027</v>
      </c>
      <c r="E5199" t="s">
        <v>483</v>
      </c>
    </row>
    <row r="5200" spans="2:5">
      <c r="B5200" t="s">
        <v>8028</v>
      </c>
      <c r="C5200">
        <v>543223</v>
      </c>
      <c r="D5200" t="s">
        <v>4080</v>
      </c>
      <c r="E5200" t="s">
        <v>526</v>
      </c>
    </row>
    <row r="5201" spans="2:5">
      <c r="B5201" t="s">
        <v>8029</v>
      </c>
      <c r="C5201">
        <v>543224</v>
      </c>
      <c r="D5201" t="s">
        <v>8030</v>
      </c>
      <c r="E5201" t="s">
        <v>38</v>
      </c>
    </row>
    <row r="5202" spans="2:5">
      <c r="B5202" t="s">
        <v>8031</v>
      </c>
      <c r="C5202">
        <v>543225</v>
      </c>
      <c r="D5202" t="s">
        <v>8032</v>
      </c>
      <c r="E5202" t="s">
        <v>38</v>
      </c>
    </row>
    <row r="5203" spans="2:5">
      <c r="B5203" t="s">
        <v>8033</v>
      </c>
      <c r="C5203">
        <v>543226</v>
      </c>
      <c r="D5203" t="s">
        <v>8034</v>
      </c>
      <c r="E5203" t="s">
        <v>38</v>
      </c>
    </row>
    <row r="5204" spans="2:5">
      <c r="B5204" t="s">
        <v>8035</v>
      </c>
      <c r="C5204">
        <v>543227</v>
      </c>
      <c r="D5204" t="s">
        <v>8036</v>
      </c>
      <c r="E5204" t="s">
        <v>346</v>
      </c>
    </row>
    <row r="5205" spans="2:5">
      <c r="B5205" t="s">
        <v>8037</v>
      </c>
      <c r="C5205">
        <v>543228</v>
      </c>
      <c r="D5205" t="s">
        <v>8038</v>
      </c>
      <c r="E5205" t="s">
        <v>366</v>
      </c>
    </row>
    <row r="5206" spans="2:5">
      <c r="B5206" t="s">
        <v>8039</v>
      </c>
      <c r="C5206">
        <v>543230</v>
      </c>
      <c r="D5206" t="s">
        <v>8040</v>
      </c>
      <c r="E5206" t="s">
        <v>658</v>
      </c>
    </row>
    <row r="5207" spans="2:5">
      <c r="B5207" t="s">
        <v>8041</v>
      </c>
      <c r="C5207">
        <v>543231</v>
      </c>
      <c r="D5207" t="s">
        <v>8042</v>
      </c>
      <c r="E5207" t="s">
        <v>855</v>
      </c>
    </row>
    <row r="5208" spans="2:5">
      <c r="B5208" t="s">
        <v>8043</v>
      </c>
      <c r="C5208">
        <v>543232</v>
      </c>
      <c r="D5208" t="s">
        <v>8044</v>
      </c>
      <c r="E5208" t="s">
        <v>343</v>
      </c>
    </row>
    <row r="5209" spans="2:5">
      <c r="B5209" t="s">
        <v>8045</v>
      </c>
      <c r="C5209">
        <v>543233</v>
      </c>
      <c r="D5209" t="s">
        <v>8046</v>
      </c>
      <c r="E5209" t="s">
        <v>520</v>
      </c>
    </row>
    <row r="5210" spans="2:5">
      <c r="B5210" t="s">
        <v>8047</v>
      </c>
      <c r="C5210">
        <v>543234</v>
      </c>
      <c r="D5210" t="s">
        <v>8048</v>
      </c>
      <c r="E5210" t="s">
        <v>346</v>
      </c>
    </row>
    <row r="5211" spans="2:5">
      <c r="B5211" t="s">
        <v>8049</v>
      </c>
      <c r="C5211">
        <v>543235</v>
      </c>
      <c r="D5211" t="s">
        <v>8050</v>
      </c>
      <c r="E5211" t="s">
        <v>343</v>
      </c>
    </row>
    <row r="5212" spans="2:5">
      <c r="B5212" t="s">
        <v>8051</v>
      </c>
      <c r="C5212">
        <v>543236</v>
      </c>
      <c r="D5212" t="s">
        <v>8052</v>
      </c>
      <c r="E5212" t="s">
        <v>368</v>
      </c>
    </row>
    <row r="5213" spans="2:5">
      <c r="B5213" t="s">
        <v>8053</v>
      </c>
      <c r="C5213">
        <v>543237</v>
      </c>
      <c r="D5213" t="s">
        <v>8054</v>
      </c>
      <c r="E5213" t="s">
        <v>833</v>
      </c>
    </row>
    <row r="5214" spans="2:5">
      <c r="B5214" t="s">
        <v>8055</v>
      </c>
      <c r="C5214">
        <v>543238</v>
      </c>
      <c r="D5214" t="s">
        <v>8056</v>
      </c>
      <c r="E5214" t="s">
        <v>2765</v>
      </c>
    </row>
    <row r="5215" spans="2:5">
      <c r="B5215" t="s">
        <v>8057</v>
      </c>
      <c r="C5215">
        <v>543239</v>
      </c>
      <c r="D5215" t="s">
        <v>8058</v>
      </c>
      <c r="E5215" t="s">
        <v>480</v>
      </c>
    </row>
    <row r="5216" spans="2:5">
      <c r="B5216" t="s">
        <v>8059</v>
      </c>
      <c r="C5216">
        <v>543240</v>
      </c>
      <c r="D5216" t="s">
        <v>8060</v>
      </c>
      <c r="E5216" t="s">
        <v>758</v>
      </c>
    </row>
    <row r="5217" spans="2:5">
      <c r="B5217" t="s">
        <v>8061</v>
      </c>
      <c r="C5217">
        <v>543241</v>
      </c>
      <c r="D5217" t="s">
        <v>8062</v>
      </c>
      <c r="E5217" t="s">
        <v>446</v>
      </c>
    </row>
    <row r="5218" spans="2:5">
      <c r="B5218" t="s">
        <v>8063</v>
      </c>
      <c r="C5218">
        <v>543242</v>
      </c>
      <c r="D5218" t="s">
        <v>8064</v>
      </c>
      <c r="E5218" t="s">
        <v>446</v>
      </c>
    </row>
    <row r="5219" spans="2:5">
      <c r="B5219" t="s">
        <v>8065</v>
      </c>
      <c r="C5219">
        <v>543243</v>
      </c>
      <c r="D5219" t="s">
        <v>8066</v>
      </c>
      <c r="E5219" t="s">
        <v>678</v>
      </c>
    </row>
    <row r="5220" spans="2:5">
      <c r="B5220" t="s">
        <v>8067</v>
      </c>
      <c r="C5220">
        <v>543244</v>
      </c>
      <c r="D5220" t="s">
        <v>8068</v>
      </c>
      <c r="E5220" t="s">
        <v>375</v>
      </c>
    </row>
    <row r="5221" spans="2:5">
      <c r="B5221" t="s">
        <v>8069</v>
      </c>
      <c r="C5221">
        <v>500270</v>
      </c>
      <c r="D5221" t="s">
        <v>8070</v>
      </c>
      <c r="E5221" t="s">
        <v>8071</v>
      </c>
    </row>
    <row r="5222" spans="2:5">
      <c r="B5222" t="s">
        <v>8072</v>
      </c>
      <c r="C5222">
        <v>503685</v>
      </c>
      <c r="D5222" t="s">
        <v>8073</v>
      </c>
      <c r="E5222" t="s">
        <v>8074</v>
      </c>
    </row>
    <row r="5223" spans="2:5">
      <c r="B5223" t="s">
        <v>8075</v>
      </c>
      <c r="C5223">
        <v>505100</v>
      </c>
      <c r="D5223" t="s">
        <v>8076</v>
      </c>
      <c r="E5223" t="s">
        <v>8077</v>
      </c>
    </row>
    <row r="5224" spans="2:5">
      <c r="B5224" t="s">
        <v>8078</v>
      </c>
      <c r="C5224">
        <v>506580</v>
      </c>
      <c r="D5224" t="s">
        <v>8079</v>
      </c>
      <c r="E5224" t="s">
        <v>8080</v>
      </c>
    </row>
    <row r="5225" spans="2:5">
      <c r="B5225" t="s">
        <v>8081</v>
      </c>
      <c r="C5225">
        <v>509069</v>
      </c>
      <c r="D5225" t="s">
        <v>8082</v>
      </c>
      <c r="E5225" t="s">
        <v>8083</v>
      </c>
    </row>
    <row r="5226" spans="2:5">
      <c r="B5226" t="s">
        <v>8084</v>
      </c>
      <c r="C5226">
        <v>509960</v>
      </c>
      <c r="D5226" t="s">
        <v>8085</v>
      </c>
      <c r="E5226" t="s">
        <v>8086</v>
      </c>
    </row>
    <row r="5227" spans="2:5">
      <c r="B5227" t="s">
        <v>8087</v>
      </c>
      <c r="C5227">
        <v>511016</v>
      </c>
      <c r="D5227" t="s">
        <v>8088</v>
      </c>
      <c r="E5227" t="s">
        <v>8089</v>
      </c>
    </row>
    <row r="5228" spans="2:5">
      <c r="B5228" t="s">
        <v>8090</v>
      </c>
      <c r="C5228">
        <v>511194</v>
      </c>
      <c r="D5228" t="s">
        <v>8091</v>
      </c>
      <c r="E5228" t="s">
        <v>7315</v>
      </c>
    </row>
    <row r="5229" spans="2:5">
      <c r="B5229" t="s">
        <v>8092</v>
      </c>
      <c r="C5229">
        <v>512097</v>
      </c>
      <c r="D5229" t="s">
        <v>8093</v>
      </c>
      <c r="E5229" t="s">
        <v>8094</v>
      </c>
    </row>
    <row r="5230" spans="2:5">
      <c r="B5230" t="s">
        <v>8095</v>
      </c>
      <c r="C5230">
        <v>512115</v>
      </c>
      <c r="D5230" t="s">
        <v>8096</v>
      </c>
      <c r="E5230" t="s">
        <v>8094</v>
      </c>
    </row>
    <row r="5231" spans="2:5">
      <c r="B5231" t="s">
        <v>8097</v>
      </c>
      <c r="C5231">
        <v>514260</v>
      </c>
      <c r="D5231" t="s">
        <v>8098</v>
      </c>
      <c r="E5231" t="s">
        <v>8071</v>
      </c>
    </row>
    <row r="5232" spans="2:5">
      <c r="B5232" t="s">
        <v>8099</v>
      </c>
      <c r="C5232">
        <v>523309</v>
      </c>
      <c r="D5232" t="s">
        <v>8100</v>
      </c>
      <c r="E5232" t="s">
        <v>8101</v>
      </c>
    </row>
    <row r="5233" spans="2:5">
      <c r="B5233" t="s">
        <v>8102</v>
      </c>
      <c r="C5233">
        <v>523868</v>
      </c>
      <c r="D5233" t="s">
        <v>8103</v>
      </c>
      <c r="E5233" t="s">
        <v>368</v>
      </c>
    </row>
    <row r="5234" spans="2:5">
      <c r="B5234" t="s">
        <v>8104</v>
      </c>
      <c r="C5234">
        <v>524046</v>
      </c>
      <c r="D5234" t="s">
        <v>8105</v>
      </c>
      <c r="E5234" t="s">
        <v>8106</v>
      </c>
    </row>
    <row r="5235" spans="2:5">
      <c r="B5235" t="s">
        <v>8107</v>
      </c>
      <c r="C5235">
        <v>526345</v>
      </c>
      <c r="D5235" t="s">
        <v>8108</v>
      </c>
      <c r="E5235" t="s">
        <v>420</v>
      </c>
    </row>
    <row r="5236" spans="2:5">
      <c r="B5236" t="s">
        <v>8109</v>
      </c>
      <c r="C5236">
        <v>526468</v>
      </c>
      <c r="D5236" t="s">
        <v>8110</v>
      </c>
      <c r="E5236" t="s">
        <v>8111</v>
      </c>
    </row>
    <row r="5237" spans="2:5">
      <c r="B5237" t="s">
        <v>8112</v>
      </c>
      <c r="C5237">
        <v>526677</v>
      </c>
      <c r="D5237" t="s">
        <v>8113</v>
      </c>
      <c r="E5237" t="s">
        <v>465</v>
      </c>
    </row>
    <row r="5238" spans="2:5">
      <c r="B5238" t="s">
        <v>8114</v>
      </c>
      <c r="C5238">
        <v>526877</v>
      </c>
      <c r="D5238" t="s">
        <v>8115</v>
      </c>
      <c r="E5238" t="s">
        <v>8094</v>
      </c>
    </row>
    <row r="5239" spans="2:5">
      <c r="B5239" t="s">
        <v>8116</v>
      </c>
      <c r="C5239">
        <v>530027</v>
      </c>
      <c r="D5239" t="s">
        <v>8117</v>
      </c>
      <c r="E5239" t="s">
        <v>574</v>
      </c>
    </row>
    <row r="5240" spans="2:5">
      <c r="B5240" t="s">
        <v>8118</v>
      </c>
      <c r="C5240">
        <v>531240</v>
      </c>
      <c r="D5240" t="s">
        <v>8119</v>
      </c>
      <c r="E5240" t="s">
        <v>8094</v>
      </c>
    </row>
    <row r="5241" spans="2:5">
      <c r="B5241" t="s">
        <v>8120</v>
      </c>
      <c r="C5241">
        <v>531399</v>
      </c>
      <c r="D5241" t="s">
        <v>8121</v>
      </c>
      <c r="E5241" t="s">
        <v>8077</v>
      </c>
    </row>
    <row r="5242" spans="2:5">
      <c r="B5242" t="s">
        <v>8122</v>
      </c>
      <c r="C5242">
        <v>531812</v>
      </c>
      <c r="D5242" t="s">
        <v>8123</v>
      </c>
      <c r="E5242" t="s">
        <v>8089</v>
      </c>
    </row>
    <row r="5243" spans="2:5">
      <c r="B5243" t="s">
        <v>8124</v>
      </c>
      <c r="C5243">
        <v>532019</v>
      </c>
      <c r="D5243" t="s">
        <v>8125</v>
      </c>
      <c r="E5243" t="s">
        <v>8126</v>
      </c>
    </row>
    <row r="5244" spans="2:5">
      <c r="B5244" t="s">
        <v>8127</v>
      </c>
      <c r="C5244">
        <v>532335</v>
      </c>
      <c r="D5244" t="s">
        <v>8128</v>
      </c>
      <c r="E5244" t="s">
        <v>2178</v>
      </c>
    </row>
    <row r="5245" spans="2:5">
      <c r="B5245" t="s">
        <v>8129</v>
      </c>
      <c r="C5245">
        <v>537709</v>
      </c>
      <c r="D5245" t="s">
        <v>8130</v>
      </c>
      <c r="E5245" t="s">
        <v>1058</v>
      </c>
    </row>
    <row r="5246" spans="2:5">
      <c r="B5246" t="s">
        <v>8131</v>
      </c>
      <c r="C5246">
        <v>543229</v>
      </c>
      <c r="D5246" t="s">
        <v>8132</v>
      </c>
      <c r="E5246" t="s">
        <v>8133</v>
      </c>
    </row>
    <row r="5247" spans="2:5">
      <c r="B5247" t="s">
        <v>8134</v>
      </c>
      <c r="C5247">
        <v>543245</v>
      </c>
      <c r="D5247" t="s">
        <v>8135</v>
      </c>
      <c r="E5247" t="s">
        <v>398</v>
      </c>
    </row>
    <row r="5248" spans="2:5">
      <c r="B5248" t="s">
        <v>8136</v>
      </c>
      <c r="C5248">
        <v>543246</v>
      </c>
      <c r="D5248" t="s">
        <v>8137</v>
      </c>
      <c r="E5248" t="s">
        <v>38</v>
      </c>
    </row>
    <row r="5249" spans="2:5">
      <c r="B5249" t="s">
        <v>8138</v>
      </c>
      <c r="C5249">
        <v>543247</v>
      </c>
      <c r="D5249" t="s">
        <v>8139</v>
      </c>
      <c r="E5249" t="s">
        <v>8074</v>
      </c>
    </row>
    <row r="5250" spans="2:5">
      <c r="B5250" t="s">
        <v>8140</v>
      </c>
      <c r="C5250">
        <v>543248</v>
      </c>
      <c r="D5250" t="s">
        <v>8141</v>
      </c>
      <c r="E5250" t="s">
        <v>849</v>
      </c>
    </row>
    <row r="5251" spans="2:5">
      <c r="B5251" t="s">
        <v>8142</v>
      </c>
      <c r="C5251">
        <v>543249</v>
      </c>
      <c r="D5251" t="s">
        <v>8143</v>
      </c>
      <c r="E5251" t="s">
        <v>8144</v>
      </c>
    </row>
    <row r="5252" spans="2:5">
      <c r="B5252" t="s">
        <v>8145</v>
      </c>
      <c r="C5252">
        <v>543251</v>
      </c>
      <c r="D5252" t="s">
        <v>8146</v>
      </c>
      <c r="E5252" t="s">
        <v>8144</v>
      </c>
    </row>
    <row r="5253" spans="2:5">
      <c r="B5253" t="s">
        <v>8147</v>
      </c>
      <c r="C5253">
        <v>543252</v>
      </c>
      <c r="D5253" t="s">
        <v>8148</v>
      </c>
      <c r="E5253" t="s">
        <v>520</v>
      </c>
    </row>
    <row r="5254" spans="2:5">
      <c r="B5254" t="s">
        <v>8149</v>
      </c>
      <c r="C5254">
        <v>543253</v>
      </c>
      <c r="D5254" t="s">
        <v>8150</v>
      </c>
      <c r="E5254" t="s">
        <v>420</v>
      </c>
    </row>
    <row r="5255" spans="2:5">
      <c r="B5255" t="s">
        <v>8151</v>
      </c>
      <c r="C5255">
        <v>543254</v>
      </c>
      <c r="D5255" t="s">
        <v>8152</v>
      </c>
      <c r="E5255" t="s">
        <v>8153</v>
      </c>
    </row>
    <row r="5256" spans="2:5">
      <c r="B5256" t="s">
        <v>8154</v>
      </c>
      <c r="C5256">
        <v>543255</v>
      </c>
      <c r="D5256" t="s">
        <v>8155</v>
      </c>
      <c r="E5256" t="s">
        <v>38</v>
      </c>
    </row>
    <row r="5257" spans="2:5">
      <c r="B5257" t="s">
        <v>8156</v>
      </c>
      <c r="C5257">
        <v>543256</v>
      </c>
      <c r="D5257" t="s">
        <v>8157</v>
      </c>
      <c r="E5257" t="s">
        <v>8158</v>
      </c>
    </row>
    <row r="5258" spans="2:5">
      <c r="B5258" t="s">
        <v>8159</v>
      </c>
      <c r="C5258">
        <v>543257</v>
      </c>
      <c r="D5258" t="s">
        <v>8160</v>
      </c>
      <c r="E5258" t="s">
        <v>8161</v>
      </c>
    </row>
    <row r="5259" spans="2:5">
      <c r="B5259" t="s">
        <v>8162</v>
      </c>
      <c r="C5259">
        <v>543258</v>
      </c>
      <c r="D5259" t="s">
        <v>8163</v>
      </c>
      <c r="E5259" t="s">
        <v>8164</v>
      </c>
    </row>
    <row r="5260" spans="2:5">
      <c r="B5260" t="s">
        <v>8165</v>
      </c>
      <c r="C5260">
        <v>543259</v>
      </c>
      <c r="D5260" t="s">
        <v>8166</v>
      </c>
      <c r="E5260" t="s">
        <v>8167</v>
      </c>
    </row>
    <row r="5261" spans="2:5">
      <c r="B5261" t="s">
        <v>8168</v>
      </c>
      <c r="C5261">
        <v>543260</v>
      </c>
      <c r="D5261" t="s">
        <v>8169</v>
      </c>
      <c r="E5261" t="s">
        <v>1124</v>
      </c>
    </row>
    <row r="5262" spans="2:5">
      <c r="B5262" t="s">
        <v>8170</v>
      </c>
      <c r="C5262">
        <v>543261</v>
      </c>
      <c r="D5262" t="s">
        <v>8171</v>
      </c>
      <c r="E5262" t="s">
        <v>8172</v>
      </c>
    </row>
    <row r="5263" spans="2:5">
      <c r="B5263" t="s">
        <v>8173</v>
      </c>
      <c r="C5263">
        <v>543262</v>
      </c>
      <c r="D5263" t="s">
        <v>8174</v>
      </c>
      <c r="E5263" t="s">
        <v>394</v>
      </c>
    </row>
    <row r="5264" spans="2:5">
      <c r="B5264" t="s">
        <v>8175</v>
      </c>
      <c r="C5264">
        <v>543263</v>
      </c>
      <c r="D5264" t="s">
        <v>8176</v>
      </c>
      <c r="E5264" t="s">
        <v>8177</v>
      </c>
    </row>
    <row r="5265" spans="2:5">
      <c r="B5265" t="s">
        <v>8178</v>
      </c>
      <c r="C5265">
        <v>543264</v>
      </c>
      <c r="D5265" t="s">
        <v>8179</v>
      </c>
      <c r="E5265" t="s">
        <v>8180</v>
      </c>
    </row>
    <row r="5266" spans="2:5">
      <c r="B5266" t="s">
        <v>8181</v>
      </c>
      <c r="C5266">
        <v>543265</v>
      </c>
      <c r="D5266" t="s">
        <v>8182</v>
      </c>
      <c r="E5266" t="s">
        <v>1306</v>
      </c>
    </row>
    <row r="5267" spans="2:5">
      <c r="B5267" t="s">
        <v>8183</v>
      </c>
      <c r="C5267">
        <v>543266</v>
      </c>
      <c r="D5267" t="s">
        <v>8184</v>
      </c>
      <c r="E5267" t="s">
        <v>8080</v>
      </c>
    </row>
    <row r="5268" spans="2:5">
      <c r="B5268" t="s">
        <v>8185</v>
      </c>
      <c r="C5268">
        <v>543267</v>
      </c>
      <c r="D5268" t="s">
        <v>8186</v>
      </c>
      <c r="E5268" t="s">
        <v>1058</v>
      </c>
    </row>
    <row r="5269" spans="2:5">
      <c r="B5269" t="s">
        <v>8187</v>
      </c>
      <c r="C5269">
        <v>543269</v>
      </c>
      <c r="D5269" t="s">
        <v>8188</v>
      </c>
      <c r="E5269" t="s">
        <v>8189</v>
      </c>
    </row>
    <row r="5270" spans="2:5">
      <c r="B5270" t="s">
        <v>8190</v>
      </c>
      <c r="C5270">
        <v>543270</v>
      </c>
      <c r="D5270" t="s">
        <v>8191</v>
      </c>
      <c r="E5270" t="s">
        <v>8192</v>
      </c>
    </row>
    <row r="5271" spans="2:5">
      <c r="B5271" t="s">
        <v>8193</v>
      </c>
      <c r="C5271">
        <v>543271</v>
      </c>
      <c r="D5271" t="s">
        <v>8194</v>
      </c>
      <c r="E5271" t="s">
        <v>520</v>
      </c>
    </row>
    <row r="5272" spans="2:5">
      <c r="B5272" t="s">
        <v>8195</v>
      </c>
      <c r="C5272">
        <v>543272</v>
      </c>
      <c r="D5272" t="s">
        <v>8196</v>
      </c>
      <c r="E5272" t="s">
        <v>8197</v>
      </c>
    </row>
    <row r="5273" spans="2:5">
      <c r="B5273" t="s">
        <v>8198</v>
      </c>
      <c r="C5273">
        <v>543273</v>
      </c>
      <c r="D5273" t="s">
        <v>8199</v>
      </c>
      <c r="E5273" t="s">
        <v>1607</v>
      </c>
    </row>
    <row r="5274" spans="2:5">
      <c r="B5274" t="s">
        <v>8200</v>
      </c>
      <c r="C5274">
        <v>543274</v>
      </c>
      <c r="D5274" t="s">
        <v>8201</v>
      </c>
      <c r="E5274" t="s">
        <v>8071</v>
      </c>
    </row>
    <row r="5275" spans="2:5">
      <c r="B5275" t="s">
        <v>8202</v>
      </c>
      <c r="C5275">
        <v>543275</v>
      </c>
      <c r="D5275" t="s">
        <v>8203</v>
      </c>
      <c r="E5275" t="s">
        <v>520</v>
      </c>
    </row>
    <row r="5276" spans="2:5">
      <c r="B5276" t="s">
        <v>8204</v>
      </c>
      <c r="C5276">
        <v>543276</v>
      </c>
      <c r="D5276" t="s">
        <v>8205</v>
      </c>
      <c r="E5276" t="s">
        <v>8077</v>
      </c>
    </row>
    <row r="5277" spans="2:5">
      <c r="B5277" t="s">
        <v>8206</v>
      </c>
      <c r="C5277">
        <v>543277</v>
      </c>
      <c r="D5277" t="s">
        <v>8207</v>
      </c>
      <c r="E5277" t="s">
        <v>520</v>
      </c>
    </row>
    <row r="5278" spans="2:5">
      <c r="B5278" t="s">
        <v>8208</v>
      </c>
      <c r="C5278">
        <v>543278</v>
      </c>
      <c r="D5278" t="s">
        <v>8209</v>
      </c>
      <c r="E5278" t="s">
        <v>8111</v>
      </c>
    </row>
    <row r="5279" spans="2:5">
      <c r="B5279" t="s">
        <v>8210</v>
      </c>
      <c r="C5279">
        <v>543279</v>
      </c>
      <c r="D5279" t="s">
        <v>8211</v>
      </c>
      <c r="E5279" t="s">
        <v>8212</v>
      </c>
    </row>
    <row r="5280" spans="2:5">
      <c r="B5280" t="s">
        <v>8213</v>
      </c>
      <c r="C5280">
        <v>543280</v>
      </c>
      <c r="D5280" t="s">
        <v>8214</v>
      </c>
      <c r="E5280" t="s">
        <v>8215</v>
      </c>
    </row>
    <row r="5281" spans="2:5">
      <c r="B5281" t="s">
        <v>8216</v>
      </c>
      <c r="C5281">
        <v>543281</v>
      </c>
      <c r="D5281" t="s">
        <v>8217</v>
      </c>
      <c r="E5281" t="s">
        <v>8218</v>
      </c>
    </row>
    <row r="5282" spans="2:5">
      <c r="B5282" t="s">
        <v>8219</v>
      </c>
      <c r="C5282">
        <v>543282</v>
      </c>
      <c r="D5282" t="s">
        <v>8220</v>
      </c>
      <c r="E5282" t="s">
        <v>8189</v>
      </c>
    </row>
    <row r="5283" spans="2:5">
      <c r="B5283" t="s">
        <v>8221</v>
      </c>
      <c r="C5283">
        <v>543283</v>
      </c>
      <c r="D5283" t="s">
        <v>8222</v>
      </c>
      <c r="E5283" t="s">
        <v>849</v>
      </c>
    </row>
    <row r="5284" spans="2:5">
      <c r="B5284" t="s">
        <v>8223</v>
      </c>
      <c r="C5284">
        <v>543284</v>
      </c>
      <c r="D5284" t="s">
        <v>8224</v>
      </c>
      <c r="E5284" t="s">
        <v>444</v>
      </c>
    </row>
    <row r="5285" spans="2:5">
      <c r="B5285" t="s">
        <v>8225</v>
      </c>
      <c r="C5285">
        <v>543285</v>
      </c>
      <c r="D5285" t="s">
        <v>8226</v>
      </c>
      <c r="E5285" t="s">
        <v>8227</v>
      </c>
    </row>
    <row r="5286" spans="2:5">
      <c r="B5286" t="s">
        <v>8228</v>
      </c>
      <c r="C5286">
        <v>543286</v>
      </c>
      <c r="D5286" t="s">
        <v>8229</v>
      </c>
      <c r="E5286" t="s">
        <v>440</v>
      </c>
    </row>
    <row r="5287" spans="2:5">
      <c r="B5287" t="s">
        <v>8230</v>
      </c>
      <c r="C5287">
        <v>543287</v>
      </c>
      <c r="D5287" t="s">
        <v>8231</v>
      </c>
      <c r="E5287" t="s">
        <v>8144</v>
      </c>
    </row>
    <row r="5288" spans="2:5">
      <c r="B5288" t="s">
        <v>8232</v>
      </c>
      <c r="C5288">
        <v>543288</v>
      </c>
      <c r="D5288" t="s">
        <v>1868</v>
      </c>
      <c r="E5288" t="s">
        <v>8233</v>
      </c>
    </row>
    <row r="5289" spans="2:5">
      <c r="B5289" t="s">
        <v>8234</v>
      </c>
      <c r="C5289">
        <v>543289</v>
      </c>
      <c r="D5289" t="s">
        <v>8235</v>
      </c>
      <c r="E5289" t="s">
        <v>465</v>
      </c>
    </row>
    <row r="5290" spans="2:5">
      <c r="B5290" t="s">
        <v>8236</v>
      </c>
      <c r="C5290">
        <v>543290</v>
      </c>
      <c r="D5290" t="s">
        <v>8237</v>
      </c>
      <c r="E5290" t="s">
        <v>8238</v>
      </c>
    </row>
    <row r="5291" spans="2:5">
      <c r="B5291" t="s">
        <v>8239</v>
      </c>
      <c r="C5291">
        <v>543291</v>
      </c>
      <c r="D5291" t="s">
        <v>8240</v>
      </c>
      <c r="E5291" t="s">
        <v>38</v>
      </c>
    </row>
    <row r="5292" spans="2:5">
      <c r="B5292" t="s">
        <v>8241</v>
      </c>
      <c r="C5292">
        <v>543292</v>
      </c>
      <c r="D5292" t="s">
        <v>8242</v>
      </c>
      <c r="E5292" t="s">
        <v>38</v>
      </c>
    </row>
    <row r="5293" spans="2:5">
      <c r="B5293" t="s">
        <v>8243</v>
      </c>
      <c r="C5293">
        <v>543297</v>
      </c>
      <c r="D5293" t="s">
        <v>8244</v>
      </c>
      <c r="E5293" t="s">
        <v>403</v>
      </c>
    </row>
    <row r="5294" spans="2:5">
      <c r="B5294" t="s">
        <v>8245</v>
      </c>
      <c r="C5294">
        <v>543298</v>
      </c>
      <c r="D5294" t="s">
        <v>8246</v>
      </c>
      <c r="E5294" t="s">
        <v>398</v>
      </c>
    </row>
    <row r="5295" spans="2:5">
      <c r="B5295" t="s">
        <v>8247</v>
      </c>
      <c r="C5295">
        <v>543299</v>
      </c>
      <c r="D5295" t="s">
        <v>8248</v>
      </c>
      <c r="E5295" t="s">
        <v>8249</v>
      </c>
    </row>
    <row r="5296" spans="2:5">
      <c r="B5296" t="s">
        <v>8250</v>
      </c>
      <c r="C5296">
        <v>543300</v>
      </c>
      <c r="D5296" t="s">
        <v>8251</v>
      </c>
      <c r="E5296" t="s">
        <v>8077</v>
      </c>
    </row>
    <row r="5297" spans="2:5">
      <c r="B5297" t="s">
        <v>8252</v>
      </c>
      <c r="C5297">
        <v>543305</v>
      </c>
      <c r="D5297" t="s">
        <v>8253</v>
      </c>
      <c r="E5297" t="s">
        <v>444</v>
      </c>
    </row>
    <row r="5298" spans="2:5">
      <c r="B5298" t="s">
        <v>8254</v>
      </c>
      <c r="C5298">
        <v>543306</v>
      </c>
      <c r="D5298" t="s">
        <v>8255</v>
      </c>
      <c r="E5298" t="s">
        <v>8256</v>
      </c>
    </row>
    <row r="5299" spans="2:5">
      <c r="B5299" t="s">
        <v>8257</v>
      </c>
      <c r="C5299">
        <v>543308</v>
      </c>
      <c r="D5299" t="s">
        <v>8258</v>
      </c>
      <c r="E5299" t="s">
        <v>8259</v>
      </c>
    </row>
    <row r="5300" spans="2:5">
      <c r="B5300" t="s">
        <v>8260</v>
      </c>
      <c r="C5300">
        <v>543309</v>
      </c>
      <c r="D5300" t="s">
        <v>8261</v>
      </c>
      <c r="E5300" t="s">
        <v>8262</v>
      </c>
    </row>
    <row r="5301" spans="2:5">
      <c r="B5301" t="s">
        <v>8263</v>
      </c>
      <c r="C5301">
        <v>543310</v>
      </c>
      <c r="D5301" t="s">
        <v>8264</v>
      </c>
      <c r="E5301" t="s">
        <v>558</v>
      </c>
    </row>
    <row r="5302" spans="2:5">
      <c r="B5302" t="s">
        <v>8265</v>
      </c>
      <c r="C5302">
        <v>543311</v>
      </c>
      <c r="D5302" t="s">
        <v>8266</v>
      </c>
      <c r="E5302" t="s">
        <v>8080</v>
      </c>
    </row>
    <row r="5303" spans="2:5">
      <c r="B5303" t="s">
        <v>8267</v>
      </c>
      <c r="C5303">
        <v>543312</v>
      </c>
      <c r="D5303" t="s">
        <v>2283</v>
      </c>
      <c r="E5303" t="s">
        <v>8189</v>
      </c>
    </row>
    <row r="5304" spans="2:5">
      <c r="B5304" t="s">
        <v>8268</v>
      </c>
      <c r="C5304">
        <v>543317</v>
      </c>
      <c r="D5304" t="s">
        <v>8269</v>
      </c>
      <c r="E5304" t="s">
        <v>8270</v>
      </c>
    </row>
    <row r="5305" spans="2:5">
      <c r="B5305" t="s">
        <v>8271</v>
      </c>
      <c r="C5305">
        <v>543318</v>
      </c>
      <c r="D5305" t="s">
        <v>8272</v>
      </c>
      <c r="E5305" t="s">
        <v>408</v>
      </c>
    </row>
    <row r="5306" spans="2:5">
      <c r="B5306" t="s">
        <v>8273</v>
      </c>
      <c r="C5306">
        <v>543319</v>
      </c>
      <c r="D5306" t="s">
        <v>8274</v>
      </c>
      <c r="E5306" t="s">
        <v>8094</v>
      </c>
    </row>
    <row r="5307" spans="2:5">
      <c r="B5307" t="s">
        <v>8275</v>
      </c>
      <c r="C5307">
        <v>543320</v>
      </c>
      <c r="D5307" t="s">
        <v>8276</v>
      </c>
      <c r="E5307" t="s">
        <v>8277</v>
      </c>
    </row>
    <row r="5308" spans="2:5">
      <c r="B5308" t="s">
        <v>8278</v>
      </c>
      <c r="C5308">
        <v>543321</v>
      </c>
      <c r="D5308" t="s">
        <v>8279</v>
      </c>
      <c r="E5308" t="s">
        <v>520</v>
      </c>
    </row>
    <row r="5309" spans="2:5">
      <c r="B5309" t="s">
        <v>8280</v>
      </c>
      <c r="C5309">
        <v>543322</v>
      </c>
      <c r="D5309" t="s">
        <v>8281</v>
      </c>
      <c r="E5309" t="s">
        <v>398</v>
      </c>
    </row>
    <row r="5310" spans="2:5">
      <c r="B5310" t="s">
        <v>8282</v>
      </c>
      <c r="C5310">
        <v>543323</v>
      </c>
      <c r="D5310" t="s">
        <v>8283</v>
      </c>
      <c r="E5310" t="s">
        <v>38</v>
      </c>
    </row>
    <row r="5311" spans="2:5">
      <c r="B5311" t="s">
        <v>8284</v>
      </c>
      <c r="C5311">
        <v>543324</v>
      </c>
      <c r="D5311" t="s">
        <v>8285</v>
      </c>
      <c r="E5311" t="s">
        <v>8286</v>
      </c>
    </row>
    <row r="5312" spans="2:5">
      <c r="B5312" t="s">
        <v>8287</v>
      </c>
      <c r="C5312">
        <v>543325</v>
      </c>
      <c r="D5312" t="s">
        <v>8288</v>
      </c>
      <c r="E5312" t="s">
        <v>8077</v>
      </c>
    </row>
    <row r="5313" spans="2:5">
      <c r="B5313" t="s">
        <v>8289</v>
      </c>
      <c r="C5313">
        <v>543326</v>
      </c>
      <c r="D5313" t="s">
        <v>8290</v>
      </c>
      <c r="E5313" t="s">
        <v>38</v>
      </c>
    </row>
    <row r="5314" spans="2:5">
      <c r="B5314" t="s">
        <v>8291</v>
      </c>
      <c r="C5314">
        <v>543327</v>
      </c>
      <c r="D5314" t="s">
        <v>8292</v>
      </c>
      <c r="E5314" t="s">
        <v>8293</v>
      </c>
    </row>
    <row r="5315" spans="2:5">
      <c r="B5315" t="s">
        <v>8294</v>
      </c>
      <c r="C5315">
        <v>543328</v>
      </c>
      <c r="D5315" t="s">
        <v>8295</v>
      </c>
      <c r="E5315" t="s">
        <v>8296</v>
      </c>
    </row>
    <row r="5316" spans="2:5">
      <c r="B5316" t="s">
        <v>8297</v>
      </c>
      <c r="C5316">
        <v>543329</v>
      </c>
      <c r="D5316" t="s">
        <v>8298</v>
      </c>
      <c r="E5316" t="s">
        <v>398</v>
      </c>
    </row>
    <row r="5317" spans="2:5">
      <c r="B5317" t="s">
        <v>8299</v>
      </c>
      <c r="C5317">
        <v>543330</v>
      </c>
      <c r="D5317" t="s">
        <v>8300</v>
      </c>
      <c r="E5317" t="s">
        <v>849</v>
      </c>
    </row>
    <row r="5318" spans="2:5">
      <c r="B5318" t="s">
        <v>8301</v>
      </c>
      <c r="C5318">
        <v>543331</v>
      </c>
      <c r="D5318" t="s">
        <v>8302</v>
      </c>
      <c r="E5318" t="s">
        <v>8080</v>
      </c>
    </row>
    <row r="5319" spans="2:5">
      <c r="B5319" t="s">
        <v>8303</v>
      </c>
      <c r="C5319">
        <v>543332</v>
      </c>
      <c r="D5319" t="s">
        <v>8304</v>
      </c>
      <c r="E5319" t="s">
        <v>520</v>
      </c>
    </row>
    <row r="5320" spans="2:5">
      <c r="B5320" t="s">
        <v>8305</v>
      </c>
      <c r="C5320">
        <v>543333</v>
      </c>
      <c r="D5320" t="s">
        <v>8306</v>
      </c>
      <c r="E5320" t="s">
        <v>8277</v>
      </c>
    </row>
    <row r="5321" spans="2:5">
      <c r="B5321" t="s">
        <v>8307</v>
      </c>
      <c r="C5321">
        <v>543334</v>
      </c>
      <c r="D5321" t="s">
        <v>8308</v>
      </c>
      <c r="E5321" t="s">
        <v>373</v>
      </c>
    </row>
    <row r="5322" spans="2:5">
      <c r="B5322" t="s">
        <v>8309</v>
      </c>
      <c r="C5322">
        <v>543335</v>
      </c>
      <c r="D5322" t="s">
        <v>8310</v>
      </c>
      <c r="E5322" t="s">
        <v>8167</v>
      </c>
    </row>
    <row r="5323" spans="2:5">
      <c r="B5323" t="s">
        <v>8311</v>
      </c>
      <c r="C5323">
        <v>543336</v>
      </c>
      <c r="D5323" t="s">
        <v>8312</v>
      </c>
      <c r="E5323" t="s">
        <v>408</v>
      </c>
    </row>
    <row r="5324" spans="2:5">
      <c r="B5324" t="s">
        <v>8313</v>
      </c>
      <c r="C5324">
        <v>543341</v>
      </c>
      <c r="D5324" t="s">
        <v>8314</v>
      </c>
      <c r="E5324" t="s">
        <v>8315</v>
      </c>
    </row>
    <row r="5325" spans="2:5">
      <c r="B5325" t="s">
        <v>8316</v>
      </c>
      <c r="C5325">
        <v>543346</v>
      </c>
      <c r="D5325" t="s">
        <v>8317</v>
      </c>
      <c r="E5325" t="s">
        <v>8259</v>
      </c>
    </row>
    <row r="5326" spans="2:5">
      <c r="B5326" t="s">
        <v>8318</v>
      </c>
      <c r="C5326">
        <v>543347</v>
      </c>
      <c r="D5326" t="s">
        <v>8319</v>
      </c>
      <c r="E5326" t="s">
        <v>38</v>
      </c>
    </row>
    <row r="5327" spans="2:5">
      <c r="B5327" t="s">
        <v>8320</v>
      </c>
      <c r="C5327">
        <v>543348</v>
      </c>
      <c r="D5327" t="s">
        <v>8321</v>
      </c>
      <c r="E5327" t="s">
        <v>38</v>
      </c>
    </row>
    <row r="5328" spans="2:5">
      <c r="B5328" t="s">
        <v>8322</v>
      </c>
      <c r="C5328">
        <v>543349</v>
      </c>
      <c r="D5328" t="s">
        <v>8323</v>
      </c>
      <c r="E5328" t="s">
        <v>398</v>
      </c>
    </row>
    <row r="5329" spans="2:5">
      <c r="B5329" t="s">
        <v>8324</v>
      </c>
      <c r="C5329">
        <v>543350</v>
      </c>
      <c r="D5329" t="s">
        <v>8325</v>
      </c>
      <c r="E5329" t="s">
        <v>8296</v>
      </c>
    </row>
    <row r="5330" spans="2:5">
      <c r="B5330" t="s">
        <v>8326</v>
      </c>
      <c r="C5330">
        <v>543351</v>
      </c>
      <c r="D5330" t="s">
        <v>8327</v>
      </c>
      <c r="E5330" t="s">
        <v>8189</v>
      </c>
    </row>
    <row r="5331" spans="2:5">
      <c r="B5331" t="s">
        <v>8328</v>
      </c>
      <c r="C5331">
        <v>543352</v>
      </c>
      <c r="D5331" t="s">
        <v>8329</v>
      </c>
      <c r="E5331" t="s">
        <v>8330</v>
      </c>
    </row>
    <row r="5332" spans="2:5">
      <c r="B5332" t="s">
        <v>8331</v>
      </c>
      <c r="C5332">
        <v>543357</v>
      </c>
      <c r="D5332" t="s">
        <v>8332</v>
      </c>
      <c r="E5332" t="s">
        <v>38</v>
      </c>
    </row>
    <row r="5333" spans="2:5">
      <c r="B5333" t="s">
        <v>8333</v>
      </c>
      <c r="C5333">
        <v>543358</v>
      </c>
      <c r="D5333" t="s">
        <v>8334</v>
      </c>
      <c r="E5333" t="s">
        <v>8077</v>
      </c>
    </row>
    <row r="5334" spans="2:5">
      <c r="B5334" t="s">
        <v>8335</v>
      </c>
      <c r="C5334">
        <v>543363</v>
      </c>
      <c r="D5334" t="s">
        <v>8336</v>
      </c>
      <c r="E5334" t="s">
        <v>8180</v>
      </c>
    </row>
    <row r="5335" spans="2:5">
      <c r="B5335" t="s">
        <v>8337</v>
      </c>
      <c r="C5335">
        <v>543364</v>
      </c>
      <c r="D5335" t="s">
        <v>8338</v>
      </c>
      <c r="E5335" t="s">
        <v>8270</v>
      </c>
    </row>
    <row r="5336" spans="2:5">
      <c r="B5336" t="s">
        <v>8339</v>
      </c>
      <c r="C5336">
        <v>543365</v>
      </c>
      <c r="D5336" t="s">
        <v>8340</v>
      </c>
      <c r="E5336" t="s">
        <v>38</v>
      </c>
    </row>
    <row r="5337" spans="2:5">
      <c r="B5337" t="s">
        <v>8341</v>
      </c>
      <c r="C5337">
        <v>543366</v>
      </c>
      <c r="D5337" t="s">
        <v>8342</v>
      </c>
      <c r="E5337" t="s">
        <v>8144</v>
      </c>
    </row>
    <row r="5338" spans="2:5">
      <c r="B5338" t="s">
        <v>8343</v>
      </c>
      <c r="C5338">
        <v>543367</v>
      </c>
      <c r="D5338" t="s">
        <v>8344</v>
      </c>
      <c r="E5338" t="s">
        <v>8192</v>
      </c>
    </row>
    <row r="5339" spans="2:5">
      <c r="B5339" t="s">
        <v>8345</v>
      </c>
      <c r="C5339">
        <v>543372</v>
      </c>
      <c r="D5339" t="s">
        <v>8346</v>
      </c>
      <c r="E5339" t="s">
        <v>8347</v>
      </c>
    </row>
    <row r="5340" spans="2:5">
      <c r="B5340" t="s">
        <v>8348</v>
      </c>
      <c r="C5340">
        <v>543373</v>
      </c>
      <c r="D5340" t="s">
        <v>8349</v>
      </c>
      <c r="E5340" t="s">
        <v>8101</v>
      </c>
    </row>
    <row r="5341" spans="2:5">
      <c r="B5341" t="s">
        <v>8350</v>
      </c>
      <c r="C5341">
        <v>543374</v>
      </c>
      <c r="D5341" t="s">
        <v>8351</v>
      </c>
      <c r="E5341" t="s">
        <v>8352</v>
      </c>
    </row>
    <row r="5342" spans="2:5">
      <c r="B5342" t="s">
        <v>8353</v>
      </c>
      <c r="C5342">
        <v>543375</v>
      </c>
      <c r="D5342" t="s">
        <v>8354</v>
      </c>
      <c r="E5342" t="s">
        <v>8355</v>
      </c>
    </row>
    <row r="5343" spans="2:5">
      <c r="B5343" t="s">
        <v>8356</v>
      </c>
      <c r="C5343">
        <v>543376</v>
      </c>
      <c r="D5343" t="s">
        <v>8357</v>
      </c>
      <c r="E5343" t="s">
        <v>8144</v>
      </c>
    </row>
    <row r="5344" spans="2:5">
      <c r="B5344" t="s">
        <v>8358</v>
      </c>
      <c r="C5344">
        <v>543377</v>
      </c>
      <c r="D5344" t="s">
        <v>8359</v>
      </c>
      <c r="E5344" t="s">
        <v>683</v>
      </c>
    </row>
    <row r="5345" spans="2:5">
      <c r="B5345" t="s">
        <v>8360</v>
      </c>
      <c r="C5345">
        <v>543378</v>
      </c>
      <c r="D5345" t="s">
        <v>8361</v>
      </c>
      <c r="E5345" t="s">
        <v>729</v>
      </c>
    </row>
    <row r="5346" spans="2:5">
      <c r="B5346" t="s">
        <v>8362</v>
      </c>
      <c r="C5346">
        <v>543383</v>
      </c>
      <c r="D5346" t="s">
        <v>8363</v>
      </c>
      <c r="E5346" t="s">
        <v>38</v>
      </c>
    </row>
    <row r="5347" spans="2:5">
      <c r="B5347" t="s">
        <v>8364</v>
      </c>
      <c r="C5347">
        <v>543384</v>
      </c>
      <c r="D5347" t="s">
        <v>8365</v>
      </c>
      <c r="E5347" t="s">
        <v>8277</v>
      </c>
    </row>
    <row r="5348" spans="2:5">
      <c r="B5348" t="s">
        <v>8366</v>
      </c>
      <c r="C5348">
        <v>543385</v>
      </c>
      <c r="D5348" t="s">
        <v>8367</v>
      </c>
      <c r="E5348" t="s">
        <v>8270</v>
      </c>
    </row>
    <row r="5349" spans="2:5">
      <c r="B5349" t="s">
        <v>8368</v>
      </c>
      <c r="C5349">
        <v>543386</v>
      </c>
      <c r="D5349" t="s">
        <v>8369</v>
      </c>
      <c r="E5349" t="s">
        <v>8212</v>
      </c>
    </row>
    <row r="5350" spans="2:5">
      <c r="B5350" t="s">
        <v>8370</v>
      </c>
      <c r="C5350">
        <v>543387</v>
      </c>
      <c r="D5350" t="s">
        <v>8371</v>
      </c>
      <c r="E5350" t="s">
        <v>8077</v>
      </c>
    </row>
    <row r="5351" spans="2:5">
      <c r="B5351" t="s">
        <v>8372</v>
      </c>
      <c r="C5351">
        <v>543388</v>
      </c>
      <c r="D5351" t="s">
        <v>8373</v>
      </c>
      <c r="E5351" t="s">
        <v>38</v>
      </c>
    </row>
    <row r="5352" spans="2:5">
      <c r="B5352" t="s">
        <v>8374</v>
      </c>
      <c r="C5352">
        <v>543389</v>
      </c>
      <c r="D5352" t="s">
        <v>8375</v>
      </c>
      <c r="E5352" t="s">
        <v>398</v>
      </c>
    </row>
    <row r="5353" spans="2:5">
      <c r="B5353" t="s">
        <v>8376</v>
      </c>
      <c r="C5353">
        <v>543390</v>
      </c>
      <c r="D5353" t="s">
        <v>8377</v>
      </c>
      <c r="E5353" t="s">
        <v>8218</v>
      </c>
    </row>
    <row r="5354" spans="2:5">
      <c r="B5354" t="s">
        <v>8378</v>
      </c>
      <c r="C5354">
        <v>543391</v>
      </c>
      <c r="D5354" t="s">
        <v>8379</v>
      </c>
      <c r="E5354" t="s">
        <v>8270</v>
      </c>
    </row>
    <row r="5355" spans="2:5">
      <c r="B5355" t="s">
        <v>8380</v>
      </c>
      <c r="C5355">
        <v>543396</v>
      </c>
      <c r="D5355" t="s">
        <v>8381</v>
      </c>
      <c r="E5355" t="s">
        <v>8218</v>
      </c>
    </row>
    <row r="5356" spans="2:5">
      <c r="B5356" t="s">
        <v>8382</v>
      </c>
      <c r="C5356">
        <v>543397</v>
      </c>
      <c r="D5356" t="s">
        <v>8383</v>
      </c>
      <c r="E5356" t="s">
        <v>849</v>
      </c>
    </row>
    <row r="5357" spans="2:5">
      <c r="B5357" t="s">
        <v>8384</v>
      </c>
      <c r="C5357">
        <v>543398</v>
      </c>
      <c r="D5357" t="s">
        <v>8385</v>
      </c>
      <c r="E5357" t="s">
        <v>8189</v>
      </c>
    </row>
    <row r="5358" spans="2:5">
      <c r="B5358" t="s">
        <v>8386</v>
      </c>
      <c r="C5358">
        <v>543399</v>
      </c>
      <c r="D5358" t="s">
        <v>8387</v>
      </c>
      <c r="E5358" t="s">
        <v>8180</v>
      </c>
    </row>
    <row r="5359" spans="2:5">
      <c r="B5359" t="s">
        <v>8388</v>
      </c>
      <c r="C5359">
        <v>543400</v>
      </c>
      <c r="D5359" t="s">
        <v>8389</v>
      </c>
      <c r="E5359" t="s">
        <v>8390</v>
      </c>
    </row>
    <row r="5360" spans="2:5">
      <c r="B5360" t="s">
        <v>8391</v>
      </c>
      <c r="C5360">
        <v>543401</v>
      </c>
      <c r="D5360" t="s">
        <v>8392</v>
      </c>
      <c r="E5360" t="s">
        <v>8393</v>
      </c>
    </row>
    <row r="5361" spans="2:5">
      <c r="B5361" t="s">
        <v>8394</v>
      </c>
      <c r="C5361">
        <v>543410</v>
      </c>
      <c r="D5361" t="s">
        <v>8395</v>
      </c>
      <c r="E5361" t="s">
        <v>444</v>
      </c>
    </row>
    <row r="5362" spans="2:5">
      <c r="B5362" t="s">
        <v>8396</v>
      </c>
      <c r="C5362">
        <v>543411</v>
      </c>
      <c r="D5362" t="s">
        <v>2889</v>
      </c>
      <c r="E5362" t="s">
        <v>683</v>
      </c>
    </row>
    <row r="5363" spans="2:5">
      <c r="B5363" t="s">
        <v>8397</v>
      </c>
      <c r="C5363">
        <v>543412</v>
      </c>
      <c r="D5363" t="s">
        <v>8398</v>
      </c>
      <c r="E5363" t="s">
        <v>2442</v>
      </c>
    </row>
    <row r="5364" spans="2:5">
      <c r="B5364" t="s">
        <v>8399</v>
      </c>
      <c r="C5364">
        <v>543413</v>
      </c>
      <c r="D5364" t="s">
        <v>8400</v>
      </c>
      <c r="E5364" t="s">
        <v>8401</v>
      </c>
    </row>
    <row r="5365" spans="2:5">
      <c r="B5365" t="s">
        <v>8402</v>
      </c>
      <c r="C5365">
        <v>543414</v>
      </c>
      <c r="D5365" t="s">
        <v>8403</v>
      </c>
      <c r="E5365" t="s">
        <v>38</v>
      </c>
    </row>
    <row r="5366" spans="2:5">
      <c r="B5366" t="s">
        <v>8404</v>
      </c>
      <c r="C5366">
        <v>543415</v>
      </c>
      <c r="D5366" t="s">
        <v>8405</v>
      </c>
      <c r="E5366" t="s">
        <v>8406</v>
      </c>
    </row>
    <row r="5367" spans="2:5">
      <c r="B5367" t="s">
        <v>8407</v>
      </c>
      <c r="C5367">
        <v>543416</v>
      </c>
      <c r="D5367" t="s">
        <v>7288</v>
      </c>
      <c r="E5367" t="s">
        <v>8355</v>
      </c>
    </row>
    <row r="5368" spans="2:5">
      <c r="B5368" t="s">
        <v>8408</v>
      </c>
      <c r="C5368">
        <v>543417</v>
      </c>
      <c r="D5368" t="s">
        <v>8409</v>
      </c>
      <c r="E5368" t="s">
        <v>8189</v>
      </c>
    </row>
    <row r="5369" spans="2:5">
      <c r="B5369" t="s">
        <v>8410</v>
      </c>
      <c r="C5369">
        <v>543419</v>
      </c>
      <c r="D5369" t="s">
        <v>8411</v>
      </c>
      <c r="E5369" t="s">
        <v>8144</v>
      </c>
    </row>
    <row r="5370" spans="2:5">
      <c r="B5370" t="s">
        <v>8412</v>
      </c>
      <c r="C5370">
        <v>543420</v>
      </c>
      <c r="D5370" t="s">
        <v>3334</v>
      </c>
      <c r="E5370" t="s">
        <v>8413</v>
      </c>
    </row>
    <row r="5371" spans="2:5">
      <c r="B5371" t="s">
        <v>8414</v>
      </c>
      <c r="C5371">
        <v>543425</v>
      </c>
      <c r="D5371" t="s">
        <v>8415</v>
      </c>
      <c r="E5371" t="s">
        <v>8416</v>
      </c>
    </row>
    <row r="5372" spans="2:5">
      <c r="B5372" t="s">
        <v>8417</v>
      </c>
      <c r="C5372">
        <v>543426</v>
      </c>
      <c r="D5372" t="s">
        <v>8418</v>
      </c>
      <c r="E5372" t="s">
        <v>786</v>
      </c>
    </row>
    <row r="5373" spans="2:5">
      <c r="B5373" t="s">
        <v>8419</v>
      </c>
      <c r="C5373">
        <v>543427</v>
      </c>
      <c r="D5373" t="s">
        <v>8420</v>
      </c>
      <c r="E5373" t="s">
        <v>8421</v>
      </c>
    </row>
    <row r="5374" spans="2:5">
      <c r="B5374" t="s">
        <v>8422</v>
      </c>
      <c r="C5374">
        <v>543428</v>
      </c>
      <c r="D5374" t="s">
        <v>8423</v>
      </c>
      <c r="E5374" t="s">
        <v>8192</v>
      </c>
    </row>
    <row r="5375" spans="2:5">
      <c r="B5375" t="s">
        <v>8424</v>
      </c>
      <c r="C5375">
        <v>543433</v>
      </c>
      <c r="D5375" t="s">
        <v>8425</v>
      </c>
      <c r="E5375" t="s">
        <v>520</v>
      </c>
    </row>
    <row r="5376" spans="2:5">
      <c r="B5376" t="s">
        <v>8426</v>
      </c>
      <c r="C5376">
        <v>543434</v>
      </c>
      <c r="D5376" t="s">
        <v>8427</v>
      </c>
      <c r="E5376" t="s">
        <v>398</v>
      </c>
    </row>
    <row r="5377" spans="2:5">
      <c r="B5377" t="s">
        <v>8428</v>
      </c>
      <c r="C5377">
        <v>543435</v>
      </c>
      <c r="D5377" t="s">
        <v>8429</v>
      </c>
      <c r="E5377" t="s">
        <v>8227</v>
      </c>
    </row>
    <row r="5378" spans="2:5">
      <c r="B5378" t="s">
        <v>8430</v>
      </c>
      <c r="C5378">
        <v>543436</v>
      </c>
      <c r="D5378" t="s">
        <v>8431</v>
      </c>
      <c r="E5378" t="s">
        <v>8189</v>
      </c>
    </row>
    <row r="5379" spans="2:5">
      <c r="B5379" t="s">
        <v>8432</v>
      </c>
      <c r="C5379">
        <v>543437</v>
      </c>
      <c r="D5379" t="s">
        <v>8433</v>
      </c>
      <c r="E5379" t="s">
        <v>38</v>
      </c>
    </row>
    <row r="5380" spans="2:5">
      <c r="B5380" t="s">
        <v>8434</v>
      </c>
      <c r="C5380">
        <v>543438</v>
      </c>
      <c r="D5380" t="s">
        <v>8435</v>
      </c>
      <c r="E5380" t="s">
        <v>38</v>
      </c>
    </row>
    <row r="5381" spans="2:5">
      <c r="B5381" t="s">
        <v>8436</v>
      </c>
      <c r="C5381">
        <v>543439</v>
      </c>
      <c r="D5381" t="s">
        <v>8437</v>
      </c>
      <c r="E5381" t="s">
        <v>8315</v>
      </c>
    </row>
    <row r="5382" spans="2:5">
      <c r="B5382" t="s">
        <v>8438</v>
      </c>
      <c r="C5382">
        <v>543440</v>
      </c>
      <c r="D5382" t="s">
        <v>8439</v>
      </c>
      <c r="E5382" t="s">
        <v>38</v>
      </c>
    </row>
    <row r="5383" spans="2:5">
      <c r="B5383" t="s">
        <v>8440</v>
      </c>
      <c r="C5383">
        <v>543441</v>
      </c>
      <c r="D5383" t="s">
        <v>8441</v>
      </c>
      <c r="E5383" t="s">
        <v>7315</v>
      </c>
    </row>
    <row r="5384" spans="2:5">
      <c r="B5384" t="s">
        <v>8442</v>
      </c>
      <c r="C5384">
        <v>543442</v>
      </c>
      <c r="D5384" t="s">
        <v>1416</v>
      </c>
      <c r="E5384" t="s">
        <v>8393</v>
      </c>
    </row>
    <row r="5385" spans="2:5">
      <c r="B5385" t="s">
        <v>8443</v>
      </c>
      <c r="C5385">
        <v>543443</v>
      </c>
      <c r="D5385" t="s">
        <v>8444</v>
      </c>
      <c r="E5385" t="s">
        <v>465</v>
      </c>
    </row>
    <row r="5386" spans="2:5">
      <c r="B5386" t="s">
        <v>8445</v>
      </c>
      <c r="C5386">
        <v>543444</v>
      </c>
      <c r="D5386" t="s">
        <v>8446</v>
      </c>
      <c r="E5386" t="s">
        <v>398</v>
      </c>
    </row>
    <row r="5387" spans="2:5">
      <c r="B5387" t="s">
        <v>8447</v>
      </c>
      <c r="C5387">
        <v>543449</v>
      </c>
      <c r="D5387" t="s">
        <v>8448</v>
      </c>
      <c r="E5387" t="s">
        <v>1124</v>
      </c>
    </row>
    <row r="5388" spans="2:5">
      <c r="B5388" t="s">
        <v>8449</v>
      </c>
      <c r="C5388">
        <v>543450</v>
      </c>
      <c r="D5388" t="s">
        <v>8450</v>
      </c>
      <c r="E5388" t="s">
        <v>38</v>
      </c>
    </row>
    <row r="5389" spans="2:5">
      <c r="B5389" t="s">
        <v>8451</v>
      </c>
      <c r="C5389">
        <v>543451</v>
      </c>
      <c r="D5389" t="s">
        <v>8452</v>
      </c>
      <c r="E5389" t="s">
        <v>7315</v>
      </c>
    </row>
    <row r="5390" spans="2:5">
      <c r="B5390" t="s">
        <v>8453</v>
      </c>
      <c r="C5390">
        <v>543452</v>
      </c>
      <c r="D5390" t="s">
        <v>8454</v>
      </c>
      <c r="E5390" t="s">
        <v>38</v>
      </c>
    </row>
    <row r="5391" spans="2:5">
      <c r="B5391" t="s">
        <v>8455</v>
      </c>
      <c r="C5391">
        <v>543453</v>
      </c>
      <c r="D5391" t="s">
        <v>8456</v>
      </c>
      <c r="E5391" t="s">
        <v>8457</v>
      </c>
    </row>
    <row r="5392" spans="2:5">
      <c r="B5392" t="s">
        <v>8458</v>
      </c>
      <c r="C5392">
        <v>543454</v>
      </c>
      <c r="D5392" t="s">
        <v>8459</v>
      </c>
      <c r="E5392" t="s">
        <v>38</v>
      </c>
    </row>
    <row r="5393" spans="2:5">
      <c r="B5393" t="s">
        <v>8460</v>
      </c>
      <c r="C5393">
        <v>543458</v>
      </c>
      <c r="D5393" t="s">
        <v>8461</v>
      </c>
      <c r="E5393" t="s">
        <v>8101</v>
      </c>
    </row>
    <row r="5394" spans="2:5">
      <c r="B5394" t="s">
        <v>8462</v>
      </c>
      <c r="C5394">
        <v>543460</v>
      </c>
      <c r="D5394" t="s">
        <v>8463</v>
      </c>
      <c r="E5394" t="s">
        <v>368</v>
      </c>
    </row>
    <row r="5395" spans="2:5">
      <c r="B5395" t="s">
        <v>8464</v>
      </c>
      <c r="C5395">
        <v>543461</v>
      </c>
      <c r="D5395" t="s">
        <v>8465</v>
      </c>
      <c r="E5395" t="s">
        <v>8094</v>
      </c>
    </row>
    <row r="5396" spans="2:5">
      <c r="B5396" t="s">
        <v>8466</v>
      </c>
      <c r="C5396">
        <v>543462</v>
      </c>
      <c r="D5396" t="s">
        <v>1891</v>
      </c>
      <c r="E5396" t="s">
        <v>8467</v>
      </c>
    </row>
    <row r="5397" spans="2:5">
      <c r="B5397" t="s">
        <v>8468</v>
      </c>
      <c r="C5397">
        <v>543463</v>
      </c>
      <c r="D5397" t="s">
        <v>8469</v>
      </c>
      <c r="E5397" t="s">
        <v>8393</v>
      </c>
    </row>
    <row r="5398" spans="2:5">
      <c r="B5398" t="s">
        <v>8470</v>
      </c>
      <c r="C5398">
        <v>543464</v>
      </c>
      <c r="D5398" t="s">
        <v>8471</v>
      </c>
      <c r="E5398" t="s">
        <v>1405</v>
      </c>
    </row>
    <row r="5399" spans="2:5">
      <c r="B5399" t="s">
        <v>8472</v>
      </c>
      <c r="C5399">
        <v>543465</v>
      </c>
      <c r="D5399" t="s">
        <v>8473</v>
      </c>
      <c r="E5399" t="s">
        <v>38</v>
      </c>
    </row>
    <row r="5400" spans="2:5">
      <c r="B5400" t="s">
        <v>8474</v>
      </c>
      <c r="C5400">
        <v>543470</v>
      </c>
      <c r="D5400" t="s">
        <v>6016</v>
      </c>
      <c r="E5400" t="s">
        <v>8189</v>
      </c>
    </row>
    <row r="5401" spans="2:5">
      <c r="B5401" t="s">
        <v>8475</v>
      </c>
      <c r="C5401">
        <v>543471</v>
      </c>
      <c r="D5401" t="s">
        <v>8476</v>
      </c>
      <c r="E5401" t="s">
        <v>38</v>
      </c>
    </row>
    <row r="5402" spans="2:5">
      <c r="B5402" t="s">
        <v>8477</v>
      </c>
      <c r="C5402">
        <v>543472</v>
      </c>
      <c r="D5402" t="s">
        <v>8478</v>
      </c>
      <c r="E5402" t="s">
        <v>38</v>
      </c>
    </row>
    <row r="5403" spans="2:5">
      <c r="B5403" t="s">
        <v>8479</v>
      </c>
      <c r="C5403">
        <v>543473</v>
      </c>
      <c r="D5403" t="s">
        <v>8480</v>
      </c>
      <c r="E5403" t="s">
        <v>38</v>
      </c>
    </row>
    <row r="5404" spans="2:5">
      <c r="B5404" t="s">
        <v>8481</v>
      </c>
      <c r="C5404">
        <v>543474</v>
      </c>
      <c r="D5404" t="s">
        <v>8482</v>
      </c>
      <c r="E5404" t="s">
        <v>38</v>
      </c>
    </row>
    <row r="5405" spans="2:5">
      <c r="B5405" t="s">
        <v>8483</v>
      </c>
      <c r="C5405">
        <v>543475</v>
      </c>
      <c r="D5405" t="s">
        <v>8484</v>
      </c>
      <c r="E5405" t="s">
        <v>8467</v>
      </c>
    </row>
    <row r="5406" spans="2:5">
      <c r="B5406" t="s">
        <v>8485</v>
      </c>
      <c r="C5406">
        <v>543481</v>
      </c>
      <c r="D5406" t="s">
        <v>8486</v>
      </c>
      <c r="E5406" t="s">
        <v>38</v>
      </c>
    </row>
    <row r="5407" spans="2:5">
      <c r="B5407" t="s">
        <v>8487</v>
      </c>
      <c r="C5407">
        <v>543482</v>
      </c>
      <c r="D5407" t="s">
        <v>8488</v>
      </c>
      <c r="E5407" t="s">
        <v>1124</v>
      </c>
    </row>
    <row r="5408" spans="2:5">
      <c r="B5408" t="s">
        <v>8489</v>
      </c>
      <c r="C5408">
        <v>543489</v>
      </c>
      <c r="D5408" t="s">
        <v>8490</v>
      </c>
      <c r="E5408" t="s">
        <v>8413</v>
      </c>
    </row>
    <row r="5409" spans="2:5">
      <c r="B5409" t="s">
        <v>8491</v>
      </c>
      <c r="C5409">
        <v>543490</v>
      </c>
      <c r="D5409" t="s">
        <v>8492</v>
      </c>
      <c r="E5409" t="s">
        <v>8355</v>
      </c>
    </row>
    <row r="5410" spans="2:5">
      <c r="B5410" t="s">
        <v>8493</v>
      </c>
      <c r="C5410">
        <v>543497</v>
      </c>
      <c r="D5410" t="s">
        <v>8494</v>
      </c>
      <c r="E5410" t="s">
        <v>520</v>
      </c>
    </row>
    <row r="5411" spans="2:5">
      <c r="B5411" t="s">
        <v>8495</v>
      </c>
      <c r="C5411">
        <v>543498</v>
      </c>
      <c r="D5411" t="s">
        <v>8496</v>
      </c>
      <c r="E5411" t="s">
        <v>8077</v>
      </c>
    </row>
    <row r="5412" spans="2:5">
      <c r="B5412" t="s">
        <v>8497</v>
      </c>
      <c r="C5412">
        <v>543499</v>
      </c>
      <c r="D5412" t="s">
        <v>8498</v>
      </c>
      <c r="E5412" t="s">
        <v>398</v>
      </c>
    </row>
    <row r="5413" spans="2:5">
      <c r="B5413" t="s">
        <v>8499</v>
      </c>
      <c r="C5413">
        <v>543500</v>
      </c>
      <c r="D5413" t="s">
        <v>8500</v>
      </c>
      <c r="E5413" t="s">
        <v>8094</v>
      </c>
    </row>
    <row r="5414" spans="2:5">
      <c r="B5414" t="s">
        <v>8501</v>
      </c>
      <c r="C5414">
        <v>543501</v>
      </c>
      <c r="D5414" t="s">
        <v>8502</v>
      </c>
      <c r="E5414" t="s">
        <v>38</v>
      </c>
    </row>
    <row r="5415" spans="2:5">
      <c r="B5415" t="s">
        <v>8503</v>
      </c>
      <c r="C5415">
        <v>543512</v>
      </c>
      <c r="D5415" t="s">
        <v>8504</v>
      </c>
      <c r="E5415" t="s">
        <v>8505</v>
      </c>
    </row>
    <row r="5416" spans="2:5">
      <c r="B5416" t="s">
        <v>8506</v>
      </c>
      <c r="C5416">
        <v>543513</v>
      </c>
      <c r="D5416" t="s">
        <v>8507</v>
      </c>
      <c r="E5416" t="s">
        <v>8094</v>
      </c>
    </row>
    <row r="5417" spans="2:5">
      <c r="B5417" t="s">
        <v>8508</v>
      </c>
      <c r="C5417">
        <v>543514</v>
      </c>
      <c r="D5417" t="s">
        <v>8509</v>
      </c>
      <c r="E5417" t="s">
        <v>8126</v>
      </c>
    </row>
    <row r="5418" spans="2:5">
      <c r="B5418" t="s">
        <v>8510</v>
      </c>
      <c r="C5418">
        <v>543515</v>
      </c>
      <c r="D5418" t="s">
        <v>8511</v>
      </c>
      <c r="E5418" t="s">
        <v>8094</v>
      </c>
    </row>
    <row r="5419" spans="2:5">
      <c r="B5419" t="s">
        <v>8512</v>
      </c>
      <c r="C5419">
        <v>543516</v>
      </c>
      <c r="D5419" t="s">
        <v>8513</v>
      </c>
      <c r="E5419" t="s">
        <v>8094</v>
      </c>
    </row>
    <row r="5420" spans="2:5">
      <c r="B5420" t="s">
        <v>8514</v>
      </c>
      <c r="C5420">
        <v>543517</v>
      </c>
      <c r="D5420" t="s">
        <v>8515</v>
      </c>
      <c r="E5420" t="s">
        <v>683</v>
      </c>
    </row>
    <row r="5421" spans="2:5">
      <c r="B5421" t="s">
        <v>8516</v>
      </c>
      <c r="C5421">
        <v>543518</v>
      </c>
      <c r="D5421" t="s">
        <v>8517</v>
      </c>
      <c r="E5421" t="s">
        <v>8111</v>
      </c>
    </row>
    <row r="5422" spans="2:5">
      <c r="B5422" t="s">
        <v>8518</v>
      </c>
      <c r="C5422">
        <v>543519</v>
      </c>
      <c r="D5422" t="s">
        <v>8519</v>
      </c>
      <c r="E5422" t="s">
        <v>8293</v>
      </c>
    </row>
    <row r="5423" spans="2:5">
      <c r="B5423" t="s">
        <v>8520</v>
      </c>
      <c r="C5423">
        <v>543520</v>
      </c>
      <c r="D5423" t="s">
        <v>8521</v>
      </c>
      <c r="E5423" t="s">
        <v>8259</v>
      </c>
    </row>
    <row r="5424" spans="2:5">
      <c r="B5424" t="s">
        <v>8522</v>
      </c>
      <c r="C5424">
        <v>543521</v>
      </c>
      <c r="D5424" t="s">
        <v>8523</v>
      </c>
      <c r="E5424" t="s">
        <v>8277</v>
      </c>
    </row>
    <row r="5425" spans="2:5">
      <c r="B5425" t="s">
        <v>8524</v>
      </c>
      <c r="C5425">
        <v>543522</v>
      </c>
      <c r="D5425" t="s">
        <v>8525</v>
      </c>
      <c r="E5425" t="s">
        <v>8526</v>
      </c>
    </row>
    <row r="5426" spans="2:5">
      <c r="B5426" t="s">
        <v>8527</v>
      </c>
      <c r="C5426">
        <v>543523</v>
      </c>
      <c r="D5426" t="s">
        <v>8528</v>
      </c>
      <c r="E5426" t="s">
        <v>786</v>
      </c>
    </row>
    <row r="5427" spans="2:5">
      <c r="B5427" t="s">
        <v>8529</v>
      </c>
      <c r="C5427">
        <v>543524</v>
      </c>
      <c r="D5427" t="s">
        <v>8530</v>
      </c>
      <c r="E5427" t="s">
        <v>8259</v>
      </c>
    </row>
    <row r="5428" spans="2:5">
      <c r="B5428" t="s">
        <v>8531</v>
      </c>
      <c r="C5428">
        <v>543525</v>
      </c>
      <c r="D5428" t="s">
        <v>5929</v>
      </c>
      <c r="E5428" t="s">
        <v>8467</v>
      </c>
    </row>
    <row r="5429" spans="2:5">
      <c r="B5429" t="s">
        <v>8532</v>
      </c>
      <c r="C5429">
        <v>543526</v>
      </c>
      <c r="D5429" t="s">
        <v>8533</v>
      </c>
      <c r="E5429" t="s">
        <v>2772</v>
      </c>
    </row>
    <row r="5430" spans="2:5">
      <c r="B5430" t="s">
        <v>8534</v>
      </c>
      <c r="C5430">
        <v>543527</v>
      </c>
      <c r="D5430" t="s">
        <v>8535</v>
      </c>
      <c r="E5430" t="s">
        <v>8406</v>
      </c>
    </row>
    <row r="5431" spans="2:5">
      <c r="B5431" t="s">
        <v>8536</v>
      </c>
      <c r="C5431">
        <v>543528</v>
      </c>
      <c r="D5431" t="s">
        <v>8537</v>
      </c>
      <c r="E5431" t="s">
        <v>683</v>
      </c>
    </row>
    <row r="5432" spans="2:5">
      <c r="B5432" t="s">
        <v>8538</v>
      </c>
      <c r="C5432">
        <v>543529</v>
      </c>
      <c r="D5432" t="s">
        <v>8539</v>
      </c>
      <c r="E5432" t="s">
        <v>8413</v>
      </c>
    </row>
    <row r="5433" spans="2:5">
      <c r="B5433" t="s">
        <v>8540</v>
      </c>
      <c r="C5433">
        <v>543530</v>
      </c>
      <c r="D5433" t="s">
        <v>8541</v>
      </c>
      <c r="E5433" t="s">
        <v>868</v>
      </c>
    </row>
    <row r="5434" spans="2:5">
      <c r="B5434" t="s">
        <v>8542</v>
      </c>
      <c r="C5434">
        <v>543531</v>
      </c>
      <c r="D5434" t="s">
        <v>8543</v>
      </c>
      <c r="E5434" t="s">
        <v>558</v>
      </c>
    </row>
    <row r="5435" spans="2:5">
      <c r="B5435" t="s">
        <v>8544</v>
      </c>
      <c r="C5435">
        <v>543532</v>
      </c>
      <c r="D5435" t="s">
        <v>8545</v>
      </c>
      <c r="E5435" t="s">
        <v>8111</v>
      </c>
    </row>
    <row r="5436" spans="2:5">
      <c r="B5436" t="s">
        <v>8546</v>
      </c>
      <c r="C5436">
        <v>543533</v>
      </c>
      <c r="D5436" t="s">
        <v>8547</v>
      </c>
      <c r="E5436" t="s">
        <v>8467</v>
      </c>
    </row>
    <row r="5437" spans="2:5">
      <c r="B5437" t="s">
        <v>8548</v>
      </c>
      <c r="C5437">
        <v>543534</v>
      </c>
      <c r="D5437" t="s">
        <v>8549</v>
      </c>
      <c r="E5437" t="s">
        <v>520</v>
      </c>
    </row>
    <row r="5438" spans="2:5">
      <c r="B5438" t="s">
        <v>8550</v>
      </c>
      <c r="C5438">
        <v>543535</v>
      </c>
      <c r="D5438" t="s">
        <v>8551</v>
      </c>
      <c r="E5438" t="s">
        <v>8330</v>
      </c>
    </row>
    <row r="5439" spans="2:5">
      <c r="B5439" t="s">
        <v>8552</v>
      </c>
      <c r="C5439">
        <v>543536</v>
      </c>
      <c r="D5439" t="s">
        <v>8553</v>
      </c>
      <c r="E5439" t="s">
        <v>8086</v>
      </c>
    </row>
    <row r="5440" spans="2:5">
      <c r="B5440" t="s">
        <v>8554</v>
      </c>
      <c r="C5440">
        <v>590136</v>
      </c>
      <c r="D5440" t="s">
        <v>8555</v>
      </c>
      <c r="E5440" t="s">
        <v>38</v>
      </c>
    </row>
    <row r="5441" spans="2:5">
      <c r="B5441" t="s">
        <v>8556</v>
      </c>
      <c r="C5441">
        <v>590137</v>
      </c>
      <c r="D5441" t="s">
        <v>8557</v>
      </c>
      <c r="E5441" t="s">
        <v>38</v>
      </c>
    </row>
    <row r="5442" spans="2:5">
      <c r="B5442" t="s">
        <v>8558</v>
      </c>
      <c r="C5442">
        <v>590138</v>
      </c>
      <c r="D5442" t="s">
        <v>8559</v>
      </c>
      <c r="E5442" t="s">
        <v>38</v>
      </c>
    </row>
  </sheetData>
  <autoFilter ref="B2:E5442" xr:uid="{3F5A4FAD-9014-4CE1-B80B-40822D7266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Data&gt;</vt:lpstr>
      <vt:lpstr>Data Room&gt;</vt:lpstr>
      <vt:lpstr>Football Field Analysis</vt:lpstr>
      <vt:lpstr>VAR</vt:lpstr>
      <vt:lpstr>Altman Z Score</vt:lpstr>
      <vt:lpstr>DCF&gt;</vt:lpstr>
      <vt:lpstr>WACC</vt:lpstr>
      <vt:lpstr>Intrisic Growth</vt:lpstr>
      <vt:lpstr>Beta - Regression</vt:lpstr>
      <vt:lpstr>Relative valuation</vt:lpstr>
      <vt:lpstr>Beta - Comps</vt:lpstr>
      <vt:lpstr>Rm</vt:lpstr>
      <vt:lpstr>Analysis</vt:lpstr>
      <vt:lpstr>HistoricalFS</vt:lpstr>
      <vt:lpstr>Raw FS</vt:lpstr>
      <vt:lpstr>Data Sheet</vt:lpstr>
      <vt:lpstr>Data Sheet 2</vt:lpstr>
      <vt:lpstr>Relative Data</vt:lpstr>
      <vt:lpstr>List Of Stocks</vt:lpstr>
      <vt:lpstr>'Altman Z Score'!Print_Area</vt:lpstr>
      <vt:lpstr>Analysis!Print_Area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Valuation School</dc:creator>
  <cp:lastModifiedBy>harshit narwat</cp:lastModifiedBy>
  <cp:lastPrinted>2026-07-04T13:49:35Z</cp:lastPrinted>
  <dcterms:created xsi:type="dcterms:W3CDTF">2023-02-06T14:53:36Z</dcterms:created>
  <dcterms:modified xsi:type="dcterms:W3CDTF">2026-08-24T08:04:07Z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{1EE99B22-FCBF-4602-91E6-C0830BFCF47D}</vt:lpwstr>
  </property>
</Properties>
</file>